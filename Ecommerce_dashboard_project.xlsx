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c\Desktop\Excels_projects\"/>
    </mc:Choice>
  </mc:AlternateContent>
  <xr:revisionPtr revIDLastSave="0" documentId="13_ncr:1_{47B0A888-FA57-42DD-BCF3-DDC1DC151551}" xr6:coauthVersionLast="47" xr6:coauthVersionMax="47" xr10:uidLastSave="{00000000-0000-0000-0000-000000000000}"/>
  <bookViews>
    <workbookView xWindow="-110" yWindow="-110" windowWidth="19420" windowHeight="10300" activeTab="2" xr2:uid="{00000000-000D-0000-FFFF-FFFF00000000}"/>
  </bookViews>
  <sheets>
    <sheet name="Dashboard" sheetId="3" r:id="rId1"/>
    <sheet name="Data" sheetId="1" r:id="rId2"/>
    <sheet name="Questions &amp; KPIs" sheetId="2" r:id="rId3"/>
    <sheet name="Pivots" sheetId="5" r:id="rId4"/>
    <sheet name="Pivots_2" sheetId="6" r:id="rId5"/>
    <sheet name="Logo &amp; Colors" sheetId="4" r:id="rId6"/>
  </sheets>
  <definedNames>
    <definedName name="_xlchart.v5.0" hidden="1">Pivots!$G$204:$H$204</definedName>
    <definedName name="_xlchart.v5.1" hidden="1">Pivots!$G$205:$H$262</definedName>
    <definedName name="_xlchart.v5.2" hidden="1">Pivots!$I$204</definedName>
    <definedName name="_xlchart.v5.3" hidden="1">Pivots!$I$205:$I$262</definedName>
    <definedName name="_xlchart.v5.4" hidden="1">Pivots!$M$204:$N$204</definedName>
    <definedName name="_xlchart.v5.5" hidden="1">Pivots!$M$205:$N$262</definedName>
    <definedName name="_xlchart.v5.6" hidden="1">Pivots!$O$204</definedName>
    <definedName name="_xlchart.v5.7" hidden="1">Pivots!$O$205:$O$262</definedName>
    <definedName name="Slicer_Gender_Value">#N/A</definedName>
    <definedName name="Slicer_Order_Mod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06" i="5" l="1"/>
  <c r="N206" i="5"/>
  <c r="M207" i="5"/>
  <c r="N207" i="5"/>
  <c r="M208" i="5"/>
  <c r="N208" i="5"/>
  <c r="M209" i="5"/>
  <c r="N209" i="5"/>
  <c r="M210" i="5"/>
  <c r="N210" i="5"/>
  <c r="M211" i="5"/>
  <c r="N211" i="5"/>
  <c r="M212" i="5"/>
  <c r="N212" i="5"/>
  <c r="M213" i="5"/>
  <c r="N213" i="5"/>
  <c r="M214" i="5"/>
  <c r="N214" i="5"/>
  <c r="M215" i="5"/>
  <c r="N215" i="5"/>
  <c r="M216" i="5"/>
  <c r="N216" i="5"/>
  <c r="M217" i="5"/>
  <c r="N217" i="5"/>
  <c r="M218" i="5"/>
  <c r="N218" i="5"/>
  <c r="M219" i="5"/>
  <c r="N219" i="5"/>
  <c r="M220" i="5"/>
  <c r="N220" i="5"/>
  <c r="M221" i="5"/>
  <c r="N221" i="5"/>
  <c r="M222" i="5"/>
  <c r="N222" i="5"/>
  <c r="M223" i="5"/>
  <c r="N223" i="5"/>
  <c r="M224" i="5"/>
  <c r="N224" i="5"/>
  <c r="M225" i="5"/>
  <c r="N225" i="5"/>
  <c r="M226" i="5"/>
  <c r="N226" i="5"/>
  <c r="M227" i="5"/>
  <c r="N227" i="5"/>
  <c r="M228" i="5"/>
  <c r="N228" i="5"/>
  <c r="M229" i="5"/>
  <c r="N229" i="5"/>
  <c r="M230" i="5"/>
  <c r="N230" i="5"/>
  <c r="M231" i="5"/>
  <c r="N231" i="5"/>
  <c r="M232" i="5"/>
  <c r="N232" i="5"/>
  <c r="M233" i="5"/>
  <c r="N233" i="5"/>
  <c r="M234" i="5"/>
  <c r="N234" i="5"/>
  <c r="M235" i="5"/>
  <c r="N235" i="5"/>
  <c r="M236" i="5"/>
  <c r="N236" i="5"/>
  <c r="M237" i="5"/>
  <c r="N237" i="5"/>
  <c r="M238" i="5"/>
  <c r="N238" i="5"/>
  <c r="M239" i="5"/>
  <c r="N239" i="5"/>
  <c r="M240" i="5"/>
  <c r="N240" i="5"/>
  <c r="M241" i="5"/>
  <c r="N241" i="5"/>
  <c r="M242" i="5"/>
  <c r="N242" i="5"/>
  <c r="M243" i="5"/>
  <c r="N243" i="5"/>
  <c r="M244" i="5"/>
  <c r="N244" i="5"/>
  <c r="M245" i="5"/>
  <c r="N245" i="5"/>
  <c r="M246" i="5"/>
  <c r="N246" i="5"/>
  <c r="M247" i="5"/>
  <c r="N247" i="5"/>
  <c r="M248" i="5"/>
  <c r="N248" i="5"/>
  <c r="M249" i="5"/>
  <c r="N249" i="5"/>
  <c r="M250" i="5"/>
  <c r="N250" i="5"/>
  <c r="M251" i="5"/>
  <c r="N251" i="5"/>
  <c r="M252" i="5"/>
  <c r="N252" i="5"/>
  <c r="M253" i="5"/>
  <c r="N253" i="5"/>
  <c r="M254" i="5"/>
  <c r="N254" i="5"/>
  <c r="M255" i="5"/>
  <c r="N255" i="5"/>
  <c r="M256" i="5"/>
  <c r="N256" i="5"/>
  <c r="M257" i="5"/>
  <c r="N257" i="5"/>
  <c r="M258" i="5"/>
  <c r="N258" i="5"/>
  <c r="M259" i="5"/>
  <c r="N259" i="5"/>
  <c r="M260" i="5"/>
  <c r="N260" i="5"/>
  <c r="M261" i="5"/>
  <c r="N261" i="5"/>
  <c r="M262" i="5"/>
  <c r="N262" i="5"/>
  <c r="O204" i="5"/>
  <c r="N205" i="5"/>
  <c r="M205" i="5"/>
  <c r="N204" i="5"/>
  <c r="M204" i="5"/>
  <c r="G206" i="5"/>
  <c r="H206" i="5"/>
  <c r="I206" i="5"/>
  <c r="G207" i="5"/>
  <c r="H207" i="5"/>
  <c r="I207" i="5"/>
  <c r="G208" i="5"/>
  <c r="H208" i="5"/>
  <c r="I208" i="5"/>
  <c r="G209" i="5"/>
  <c r="H209" i="5"/>
  <c r="I209" i="5"/>
  <c r="G210" i="5"/>
  <c r="H210" i="5"/>
  <c r="I210" i="5"/>
  <c r="G211" i="5"/>
  <c r="H211" i="5"/>
  <c r="I211" i="5"/>
  <c r="G212" i="5"/>
  <c r="H212" i="5"/>
  <c r="I212" i="5"/>
  <c r="G213" i="5"/>
  <c r="H213" i="5"/>
  <c r="I213" i="5"/>
  <c r="G214" i="5"/>
  <c r="H214" i="5"/>
  <c r="I214" i="5"/>
  <c r="G215" i="5"/>
  <c r="H215" i="5"/>
  <c r="I215" i="5"/>
  <c r="G216" i="5"/>
  <c r="H216" i="5"/>
  <c r="I216" i="5"/>
  <c r="G217" i="5"/>
  <c r="H217" i="5"/>
  <c r="I217" i="5"/>
  <c r="G218" i="5"/>
  <c r="H218" i="5"/>
  <c r="I218" i="5"/>
  <c r="G219" i="5"/>
  <c r="H219" i="5"/>
  <c r="I219" i="5"/>
  <c r="G220" i="5"/>
  <c r="H220" i="5"/>
  <c r="I220" i="5"/>
  <c r="G221" i="5"/>
  <c r="H221" i="5"/>
  <c r="I221" i="5"/>
  <c r="G222" i="5"/>
  <c r="H222" i="5"/>
  <c r="I222" i="5"/>
  <c r="G223" i="5"/>
  <c r="H223" i="5"/>
  <c r="I223" i="5"/>
  <c r="G224" i="5"/>
  <c r="H224" i="5"/>
  <c r="I224" i="5"/>
  <c r="G225" i="5"/>
  <c r="H225" i="5"/>
  <c r="I225" i="5"/>
  <c r="G226" i="5"/>
  <c r="H226" i="5"/>
  <c r="I226" i="5"/>
  <c r="G227" i="5"/>
  <c r="H227" i="5"/>
  <c r="I227" i="5"/>
  <c r="G228" i="5"/>
  <c r="H228" i="5"/>
  <c r="I228" i="5"/>
  <c r="G229" i="5"/>
  <c r="H229" i="5"/>
  <c r="I229" i="5"/>
  <c r="G230" i="5"/>
  <c r="H230" i="5"/>
  <c r="I230" i="5"/>
  <c r="G231" i="5"/>
  <c r="H231" i="5"/>
  <c r="I231" i="5"/>
  <c r="G232" i="5"/>
  <c r="H232" i="5"/>
  <c r="I232" i="5"/>
  <c r="G233" i="5"/>
  <c r="H233" i="5"/>
  <c r="I233" i="5"/>
  <c r="G234" i="5"/>
  <c r="H234" i="5"/>
  <c r="I234" i="5"/>
  <c r="G235" i="5"/>
  <c r="H235" i="5"/>
  <c r="I235" i="5"/>
  <c r="G236" i="5"/>
  <c r="H236" i="5"/>
  <c r="I236" i="5"/>
  <c r="G237" i="5"/>
  <c r="H237" i="5"/>
  <c r="I237" i="5"/>
  <c r="G238" i="5"/>
  <c r="H238" i="5"/>
  <c r="I238" i="5"/>
  <c r="G239" i="5"/>
  <c r="H239" i="5"/>
  <c r="I239" i="5"/>
  <c r="G240" i="5"/>
  <c r="H240" i="5"/>
  <c r="I240" i="5"/>
  <c r="G241" i="5"/>
  <c r="H241" i="5"/>
  <c r="I241" i="5"/>
  <c r="G242" i="5"/>
  <c r="H242" i="5"/>
  <c r="I242" i="5"/>
  <c r="G243" i="5"/>
  <c r="H243" i="5"/>
  <c r="I243" i="5"/>
  <c r="G244" i="5"/>
  <c r="H244" i="5"/>
  <c r="I244" i="5"/>
  <c r="G245" i="5"/>
  <c r="H245" i="5"/>
  <c r="I245" i="5"/>
  <c r="G246" i="5"/>
  <c r="H246" i="5"/>
  <c r="I246" i="5"/>
  <c r="G247" i="5"/>
  <c r="H247" i="5"/>
  <c r="I247" i="5"/>
  <c r="G248" i="5"/>
  <c r="H248" i="5"/>
  <c r="I248" i="5"/>
  <c r="G249" i="5"/>
  <c r="H249" i="5"/>
  <c r="I249" i="5"/>
  <c r="G250" i="5"/>
  <c r="H250" i="5"/>
  <c r="I250" i="5"/>
  <c r="G251" i="5"/>
  <c r="H251" i="5"/>
  <c r="I251" i="5"/>
  <c r="G252" i="5"/>
  <c r="H252" i="5"/>
  <c r="I252" i="5"/>
  <c r="G253" i="5"/>
  <c r="H253" i="5"/>
  <c r="I253" i="5"/>
  <c r="G254" i="5"/>
  <c r="H254" i="5"/>
  <c r="I254" i="5"/>
  <c r="G255" i="5"/>
  <c r="H255" i="5"/>
  <c r="I255" i="5"/>
  <c r="G256" i="5"/>
  <c r="H256" i="5"/>
  <c r="I256" i="5"/>
  <c r="G257" i="5"/>
  <c r="H257" i="5"/>
  <c r="I257" i="5"/>
  <c r="G258" i="5"/>
  <c r="H258" i="5"/>
  <c r="I258" i="5"/>
  <c r="G259" i="5"/>
  <c r="H259" i="5"/>
  <c r="I259" i="5"/>
  <c r="G260" i="5"/>
  <c r="H260" i="5"/>
  <c r="I260" i="5"/>
  <c r="G261" i="5"/>
  <c r="H261" i="5"/>
  <c r="I261" i="5"/>
  <c r="G262" i="5"/>
  <c r="H262" i="5"/>
  <c r="I262" i="5"/>
  <c r="H205" i="5"/>
  <c r="I205" i="5"/>
  <c r="G205" i="5"/>
  <c r="H204" i="5"/>
  <c r="I204" i="5"/>
  <c r="G204" i="5"/>
  <c r="J6" i="6"/>
  <c r="K6" i="6"/>
  <c r="L6" i="6"/>
  <c r="I6" i="6"/>
  <c r="I7" i="6"/>
  <c r="J7" i="6"/>
  <c r="K7" i="6"/>
  <c r="L7" i="6"/>
  <c r="I8" i="6"/>
  <c r="J8" i="6"/>
  <c r="K8" i="6"/>
  <c r="L8" i="6"/>
  <c r="I9" i="6"/>
  <c r="J9" i="6"/>
  <c r="K9" i="6"/>
  <c r="L9" i="6"/>
  <c r="I10" i="6"/>
  <c r="J10" i="6"/>
  <c r="K10" i="6"/>
  <c r="L10" i="6"/>
  <c r="I11" i="6"/>
  <c r="J11" i="6"/>
  <c r="K11" i="6"/>
  <c r="L11" i="6"/>
  <c r="H8" i="6"/>
  <c r="H9" i="6"/>
  <c r="H10" i="6"/>
  <c r="H11" i="6"/>
  <c r="H7" i="6"/>
  <c r="K7" i="5"/>
  <c r="J7" i="5"/>
  <c r="I7" i="5"/>
  <c r="H7" i="5"/>
  <c r="G7" i="5"/>
  <c r="N2401" i="1" l="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 r="O2401" i="1" a="1"/>
  <c r="O2073" i="1" a="1"/>
  <c r="O2377" i="1" a="1"/>
  <c r="O2037" i="1" a="1"/>
  <c r="O2336" i="1" a="1"/>
  <c r="O2094" i="1" a="1"/>
  <c r="O2389" i="1" a="1"/>
  <c r="O2057" i="1" a="1"/>
  <c r="O2353" i="1" a="1"/>
  <c r="O2020" i="1" a="1"/>
  <c r="O2354" i="1" a="1"/>
  <c r="O1819" i="1" a="1"/>
  <c r="O2365" i="1" a="1"/>
  <c r="O2341" i="1" a="1"/>
  <c r="O2310" i="1" a="1"/>
  <c r="O2229" i="1" a="1"/>
  <c r="O2187" i="1" a="1"/>
  <c r="O2135" i="1" a="1"/>
  <c r="O1670" i="1" a="1"/>
  <c r="O2086" i="1" a="1"/>
  <c r="O2248" i="1" a="1"/>
  <c r="O2221" i="1" a="1"/>
  <c r="O2237" i="1" a="1"/>
  <c r="O2046" i="1" a="1"/>
  <c r="O2021" i="1" a="1"/>
  <c r="O2102" i="1" a="1"/>
  <c r="O1615" i="1" a="1"/>
  <c r="O1694" i="1" a="1"/>
  <c r="O2369" i="1" a="1"/>
  <c r="O2180" i="1" a="1"/>
  <c r="O1996" i="1" a="1"/>
  <c r="O1416" i="1" a="1"/>
  <c r="O2244" i="1" a="1"/>
  <c r="O1741" i="1" a="1"/>
  <c r="O2215" i="1" a="1"/>
  <c r="O1714" i="1" a="1"/>
  <c r="O2257" i="1" a="1"/>
  <c r="O1759" i="1" a="1"/>
  <c r="O2239" i="1" a="1"/>
  <c r="O1730" i="1" a="1"/>
  <c r="O2198" i="1" a="1"/>
  <c r="O1701" i="1" a="1"/>
  <c r="O2144" i="1" a="1"/>
  <c r="O1345" i="1" a="1"/>
  <c r="O2070" i="1" a="1"/>
  <c r="O2061" i="1" a="1"/>
  <c r="O2212" i="1" a="1"/>
  <c r="O1583" i="1" a="1"/>
  <c r="O1530" i="1" a="1"/>
  <c r="O1788" i="1" a="1"/>
  <c r="O1292" i="1" a="1"/>
  <c r="O1929" i="1" a="1"/>
  <c r="O1983" i="1" a="1"/>
  <c r="O2399" i="1" a="1"/>
  <c r="O2133" i="1" a="1"/>
  <c r="O2368" i="1" a="1"/>
  <c r="O1473" i="1" a="1"/>
  <c r="O1576" i="1" a="1"/>
  <c r="O1237" i="1" a="1"/>
  <c r="O1798" i="1" a="1"/>
  <c r="O1718" i="1" a="1"/>
  <c r="O1860" i="1" a="1"/>
  <c r="O1495" i="1" a="1"/>
  <c r="O1444" i="1" a="1"/>
  <c r="O2179" i="1" a="1"/>
  <c r="O2148" i="1" a="1"/>
  <c r="O2197" i="1" a="1"/>
  <c r="O2167" i="1" a="1"/>
  <c r="O2122" i="1" a="1"/>
  <c r="O1711" i="1" a="1"/>
  <c r="O1969" i="1" a="1"/>
  <c r="O2112" i="1" a="1"/>
  <c r="O1465" i="1" a="1"/>
  <c r="O1224" i="1" a="1"/>
  <c r="O2214" i="1" a="1"/>
  <c r="O2071" i="1" a="1"/>
  <c r="O1384" i="1" a="1"/>
  <c r="O1172" i="1" a="1"/>
  <c r="O2152" i="1" a="1"/>
  <c r="O2331" i="1" a="1"/>
  <c r="O1733" i="1" a="1"/>
  <c r="O659" i="1" a="1"/>
  <c r="O1276" i="1" a="1"/>
  <c r="O2023" i="1" a="1"/>
  <c r="O1721" i="1" a="1"/>
  <c r="O658" i="1" a="1"/>
  <c r="O1264" i="1" a="1"/>
  <c r="O1623" i="1" a="1"/>
  <c r="O610" i="1" a="1"/>
  <c r="O1716" i="1" a="1"/>
  <c r="O2238" i="1" a="1"/>
  <c r="O2284" i="1" a="1"/>
  <c r="O2255" i="1" a="1"/>
  <c r="O2220" i="1" a="1"/>
  <c r="O2041" i="1" a="1"/>
  <c r="O2275" i="1" a="1"/>
  <c r="O2288" i="1" a="1"/>
  <c r="O1829" i="1" a="1"/>
  <c r="O1500" i="1" a="1"/>
  <c r="O2158" i="1" a="1"/>
  <c r="O2231" i="1" a="1"/>
  <c r="O1748" i="1" a="1"/>
  <c r="O1458" i="1" a="1"/>
  <c r="O2138" i="1" a="1"/>
  <c r="O1333" i="1" a="1"/>
  <c r="O1323" i="1" a="1"/>
  <c r="O771" i="1" a="1"/>
  <c r="O1625" i="1" a="1"/>
  <c r="O2224" i="1" a="1"/>
  <c r="O1322" i="1" a="1"/>
  <c r="O770" i="1" a="1"/>
  <c r="O1614" i="1" a="1"/>
  <c r="O2373" i="1" a="1"/>
  <c r="O860" i="1" a="1"/>
  <c r="O1918" i="1" a="1"/>
  <c r="O547" i="1" a="1"/>
  <c r="O1494" i="1" a="1"/>
  <c r="O2304" i="1" a="1"/>
  <c r="O2249" i="1" a="1"/>
  <c r="O2038" i="1" a="1"/>
  <c r="O1629" i="1" a="1"/>
  <c r="O2392" i="1" a="1"/>
  <c r="O2115" i="1" a="1"/>
  <c r="O2292" i="1" a="1"/>
  <c r="O2199" i="1" a="1"/>
  <c r="O1365" i="1" a="1"/>
  <c r="O2050" i="1" a="1"/>
  <c r="O2232" i="1" a="1"/>
  <c r="O1666" i="1" a="1"/>
  <c r="O1779" i="1" a="1"/>
  <c r="O2282" i="1" a="1"/>
  <c r="O1675" i="1" a="1"/>
  <c r="O1790" i="1" a="1"/>
  <c r="O2166" i="1" a="1"/>
  <c r="O1632" i="1" a="1"/>
  <c r="O1420" i="1" a="1"/>
  <c r="O2032" i="1" a="1"/>
  <c r="O1940" i="1" a="1"/>
  <c r="O1656" i="1" a="1"/>
  <c r="O1262" i="1" a="1"/>
  <c r="O1975" i="1" a="1"/>
  <c r="O2264" i="1" a="1"/>
  <c r="O1915" i="1" a="1"/>
  <c r="O1781" i="1" a="1"/>
  <c r="O1601" i="1" a="1"/>
  <c r="O1188" i="1" a="1"/>
  <c r="O1888" i="1" a="1"/>
  <c r="O2000" i="1" a="1"/>
  <c r="O2303" i="1" a="1"/>
  <c r="O1961" i="1" a="1"/>
  <c r="O1589" i="1" a="1"/>
  <c r="O2357" i="1" a="1"/>
  <c r="O2314" i="1" a="1"/>
  <c r="O1894" i="1" a="1"/>
  <c r="O2384" i="1" a="1"/>
  <c r="O2329" i="1" a="1"/>
  <c r="O1907" i="1" a="1"/>
  <c r="O2263" i="1" a="1"/>
  <c r="O2363" i="1" a="1"/>
  <c r="O2343" i="1" a="1"/>
  <c r="O1791" i="1" a="1"/>
  <c r="O2383" i="1" a="1"/>
  <c r="O1982" i="1" a="1"/>
  <c r="O1520" i="1" a="1"/>
  <c r="O1585" i="1" a="1"/>
  <c r="O1343" i="1" a="1"/>
  <c r="O1655" i="1" a="1"/>
  <c r="O2305" i="1" a="1"/>
  <c r="O2045" i="1" a="1"/>
  <c r="O1460" i="1" a="1"/>
  <c r="O1511" i="1" a="1"/>
  <c r="O1230" i="1" a="1"/>
  <c r="O1681" i="1" a="1"/>
  <c r="O1517" i="1" a="1"/>
  <c r="O1875" i="1" a="1"/>
  <c r="O2385" i="1" a="1"/>
  <c r="O1528" i="1" a="1"/>
  <c r="O2218" i="1" a="1"/>
  <c r="O2277" i="1" a="1"/>
  <c r="O1449" i="1" a="1"/>
  <c r="O1789" i="1" a="1"/>
  <c r="O2319" i="1" a="1"/>
  <c r="O1397" i="1" a="1"/>
  <c r="O1729" i="1" a="1"/>
  <c r="O2003" i="1" a="1"/>
  <c r="O1340" i="1" a="1"/>
  <c r="O1815" i="1" a="1"/>
  <c r="O1181" i="1" a="1"/>
  <c r="O946" i="1" a="1"/>
  <c r="O1926" i="1" a="1"/>
  <c r="O1167" i="1" a="1"/>
  <c r="O941" i="1" a="1"/>
  <c r="O1255" i="1" a="1"/>
  <c r="O1238" i="1" a="1"/>
  <c r="O1836" i="1" a="1"/>
  <c r="O2092" i="1" a="1"/>
  <c r="O1924" i="1" a="1"/>
  <c r="O1774" i="1" a="1"/>
  <c r="O1773" i="1" a="1"/>
  <c r="O1893" i="1" a="1"/>
  <c r="O2325" i="1" a="1"/>
  <c r="O2352" i="1" a="1"/>
  <c r="O1803" i="1" a="1"/>
  <c r="O2171" i="1" a="1"/>
  <c r="O2109" i="1" a="1"/>
  <c r="O1134" i="1" a="1"/>
  <c r="O1032" i="1" a="1"/>
  <c r="O1147" i="1" a="1"/>
  <c r="O1637" i="1" a="1"/>
  <c r="O1027" i="1" a="1"/>
  <c r="O1144" i="1" a="1"/>
  <c r="O1427" i="1" a="1"/>
  <c r="O947" i="1" a="1"/>
  <c r="O1109" i="1" a="1"/>
  <c r="O1301" i="1" a="1"/>
  <c r="O1941" i="1" a="1"/>
  <c r="O1225" i="1" a="1"/>
  <c r="O1821" i="1" a="1"/>
  <c r="O2132" i="1" a="1"/>
  <c r="O2074" i="1" a="1"/>
  <c r="O2060" i="1" a="1"/>
  <c r="O1648" i="1" a="1"/>
  <c r="O1298" i="1" a="1"/>
  <c r="O2324" i="1" a="1"/>
  <c r="O1634" i="1" a="1"/>
  <c r="O1202" i="1" a="1"/>
  <c r="O1624" i="1" a="1"/>
  <c r="O1199" i="1" a="1"/>
  <c r="O479" i="1" a="1"/>
  <c r="O790" i="1" a="1"/>
  <c r="O1407" i="1" a="1"/>
  <c r="O2185" i="1" a="1"/>
  <c r="O1535" i="1" a="1"/>
  <c r="O1184" i="1" a="1"/>
  <c r="O1335" i="1" a="1"/>
  <c r="O328" i="1" a="1"/>
  <c r="O938" i="1" a="1"/>
  <c r="O1797" i="1" a="1"/>
  <c r="O1331" i="1" a="1"/>
  <c r="O323" i="1" a="1"/>
  <c r="O937" i="1" a="1"/>
  <c r="O2099" i="1" a="1"/>
  <c r="O1067" i="1" a="1"/>
  <c r="O1937" i="1" a="1"/>
  <c r="O1363" i="1" a="1"/>
  <c r="O1354" i="1" a="1"/>
  <c r="O2371" i="1" a="1"/>
  <c r="O1728" i="1" a="1"/>
  <c r="O1734" i="1" a="1"/>
  <c r="O1770" i="1" a="1"/>
  <c r="O1680" i="1" a="1"/>
  <c r="O2242" i="1" a="1"/>
  <c r="O2128" i="1" a="1"/>
  <c r="O1946" i="1" a="1"/>
  <c r="O2011" i="1" a="1"/>
  <c r="O2318" i="1" a="1"/>
  <c r="O975" i="1" a="1"/>
  <c r="O715" i="1" a="1"/>
  <c r="O970" i="1" a="1"/>
  <c r="O712" i="1" a="1"/>
  <c r="O807" i="1" a="1"/>
  <c r="O965" i="1" a="1"/>
  <c r="O982" i="1" a="1"/>
  <c r="O1559" i="1" a="1"/>
  <c r="O2015" i="1" a="1"/>
  <c r="O2078" i="1" a="1"/>
  <c r="O1051" i="1" a="1"/>
  <c r="O1104" i="1" a="1"/>
  <c r="O837" i="1" a="1"/>
  <c r="O1112" i="1" a="1"/>
  <c r="O1046" i="1" a="1"/>
  <c r="O1101" i="1" a="1"/>
  <c r="O834" i="1" a="1"/>
  <c r="O1374" i="1" a="1"/>
  <c r="O978" i="1" a="1"/>
  <c r="O1079" i="1" a="1"/>
  <c r="O2062" i="1" a="1"/>
  <c r="O752" i="1" a="1"/>
  <c r="O1697" i="1" a="1"/>
  <c r="O1782" i="1" a="1"/>
  <c r="O1272" i="1" a="1"/>
  <c r="O1304" i="1" a="1"/>
  <c r="O1263" i="1" a="1"/>
  <c r="O1621" i="1" a="1"/>
  <c r="O1424" i="1" a="1"/>
  <c r="O949" i="1" a="1"/>
  <c r="O2177" i="1" a="1"/>
  <c r="O591" i="1" a="1"/>
  <c r="O2127" i="1" a="1"/>
  <c r="O1768" i="1" a="1"/>
  <c r="O2273" i="1" a="1"/>
  <c r="O2247" i="1" a="1"/>
  <c r="O306" i="1" a="1"/>
  <c r="O298" i="1" a="1"/>
  <c r="O1346" i="1" a="1"/>
  <c r="O2209" i="1" a="1"/>
  <c r="O2048" i="1" a="1"/>
  <c r="O735" i="1" a="1"/>
  <c r="O2219" i="1" a="1"/>
  <c r="O734" i="1" a="1"/>
  <c r="O2156" i="1" a="1"/>
  <c r="O2192" i="1" a="1"/>
  <c r="O1286" i="1" a="1"/>
  <c r="O1310" i="1" a="1"/>
  <c r="O1747" i="1" a="1"/>
  <c r="O1497" i="1" a="1"/>
  <c r="O606" i="1" a="1"/>
  <c r="O1509" i="1" a="1"/>
  <c r="O1052" i="1" a="1"/>
  <c r="O1329" i="1" a="1"/>
  <c r="O569" i="1" a="1"/>
  <c r="O555" i="1" a="1"/>
  <c r="O491" i="1" a="1"/>
  <c r="O412" i="1" a="1"/>
  <c r="O345" i="1" a="1"/>
  <c r="O270" i="1" a="1"/>
  <c r="O1575" i="1" a="1"/>
  <c r="O1761" i="1" a="1"/>
  <c r="O799" i="1" a="1"/>
  <c r="O2300" i="1" a="1"/>
  <c r="O792" i="1" a="1"/>
  <c r="O2108" i="1" a="1"/>
  <c r="O1610" i="1" a="1"/>
  <c r="O1663" i="1" a="1"/>
  <c r="O864" i="1" a="1"/>
  <c r="O1356" i="1" a="1"/>
  <c r="O815" i="1" a="1"/>
  <c r="O849" i="1" a="1"/>
  <c r="O393" i="1" a="1"/>
  <c r="O640" i="1" a="1"/>
  <c r="O867" i="1" a="1"/>
  <c r="O512" i="1" a="1"/>
  <c r="O2136" i="1" a="1"/>
  <c r="O1505" i="1" a="1"/>
  <c r="O1481" i="1" a="1"/>
  <c r="O473" i="1" a="1"/>
  <c r="O1425" i="1" a="1"/>
  <c r="O228" i="1" a="1"/>
  <c r="O87" i="1" a="1"/>
  <c r="O183" i="1" a="1"/>
  <c r="O193" i="1" a="1"/>
  <c r="O91" i="1" a="1"/>
  <c r="O176" i="1" a="1"/>
  <c r="O85" i="1" a="1"/>
  <c r="O1889" i="1" a="1"/>
  <c r="O2103" i="1" a="1"/>
  <c r="O2169" i="1" a="1"/>
  <c r="O2233" i="1" a="1"/>
  <c r="O782" i="1" a="1"/>
  <c r="O778" i="1" a="1"/>
  <c r="O251" i="1" a="1"/>
  <c r="O2400" i="1" a="1"/>
  <c r="O2316" i="1" a="1"/>
  <c r="O1342" i="1" a="1"/>
  <c r="O1366" i="1" a="1"/>
  <c r="O1337" i="1" a="1"/>
  <c r="O1708" i="1" a="1"/>
  <c r="O2034" i="1" a="1"/>
  <c r="O1008" i="1" a="1"/>
  <c r="O1566" i="1" a="1"/>
  <c r="O972" i="1" a="1"/>
  <c r="O753" i="1" a="1"/>
  <c r="O2190" i="1" a="1"/>
  <c r="O1568" i="1" a="1"/>
  <c r="O823" i="1" a="1"/>
  <c r="O461" i="1" a="1"/>
  <c r="O241" i="1" a="1"/>
  <c r="O142" i="1" a="1"/>
  <c r="O99" i="1" a="1"/>
  <c r="O1035" i="1" a="1"/>
  <c r="O206" i="1" a="1"/>
  <c r="O732" i="1" a="1"/>
  <c r="O1837" i="1" a="1"/>
  <c r="O1981" i="1" a="1"/>
  <c r="O1382" i="1" a="1"/>
  <c r="O1402" i="1" a="1"/>
  <c r="O1370" i="1" a="1"/>
  <c r="O1833" i="1" a="1"/>
  <c r="O1341" i="1" a="1"/>
  <c r="O1041" i="1" a="1"/>
  <c r="O1727" i="1" a="1"/>
  <c r="O626" i="1" a="1"/>
  <c r="O1800" i="1" a="1"/>
  <c r="O1977" i="1" a="1"/>
  <c r="O2017" i="1" a="1"/>
  <c r="O2216" i="1" a="1"/>
  <c r="O2262" i="1" a="1"/>
  <c r="O1854" i="1" a="1"/>
  <c r="O1596" i="1" a="1"/>
  <c r="O2005" i="1" a="1"/>
  <c r="O2149" i="1" a="1"/>
  <c r="O2380" i="1" a="1"/>
  <c r="O1519" i="1" a="1"/>
  <c r="O1809" i="1" a="1"/>
  <c r="O2338" i="1" a="1"/>
  <c r="O1592" i="1" a="1"/>
  <c r="O1309" i="1" a="1"/>
  <c r="O1531" i="1" a="1"/>
  <c r="O1725" i="1" a="1"/>
  <c r="O1824" i="1" a="1"/>
  <c r="O1920" i="1" a="1"/>
  <c r="O1978" i="1" a="1"/>
  <c r="O2010" i="1" a="1"/>
  <c r="O2345" i="1" a="1"/>
  <c r="O2093" i="1" a="1"/>
  <c r="O1881" i="1" a="1"/>
  <c r="O2230" i="1" a="1"/>
  <c r="O1753" i="1" a="1"/>
  <c r="O2008" i="1" a="1"/>
  <c r="O1806" i="1" a="1"/>
  <c r="O2058" i="1" a="1"/>
  <c r="O2269" i="1" a="1"/>
  <c r="O1808" i="1" a="1"/>
  <c r="O1115" i="1" a="1"/>
  <c r="O1717" i="1" a="1"/>
  <c r="O2042" i="1" a="1"/>
  <c r="O1967" i="1" a="1"/>
  <c r="O2268" i="1" a="1"/>
  <c r="O2206" i="1" a="1"/>
  <c r="O1565" i="1" a="1"/>
  <c r="O2294" i="1" a="1"/>
  <c r="O2375" i="1" a="1"/>
  <c r="O1436" i="1" a="1"/>
  <c r="O1539" i="1" a="1"/>
  <c r="O1807" i="1" a="1"/>
  <c r="O1693" i="1" a="1"/>
  <c r="O2091" i="1" a="1"/>
  <c r="O382" i="1" a="1"/>
  <c r="O643" i="1" a="1"/>
  <c r="O901" i="1" a="1"/>
  <c r="O1284" i="1" a="1"/>
  <c r="O1227" i="1" a="1"/>
  <c r="O2072" i="1" a="1"/>
  <c r="O1856" i="1" a="1"/>
  <c r="O1890" i="1" a="1"/>
  <c r="O2251" i="1" a="1"/>
  <c r="O1108" i="1" a="1"/>
  <c r="O1201" i="1" a="1"/>
  <c r="O1722" i="1" a="1"/>
  <c r="O1900" i="1" a="1"/>
  <c r="O1949" i="1" a="1"/>
  <c r="O527" i="1" a="1"/>
  <c r="O822" i="1" a="1"/>
  <c r="O1469" i="1" a="1"/>
  <c r="O845" i="1" a="1"/>
  <c r="O334" i="1" a="1"/>
  <c r="O1055" i="1" a="1"/>
  <c r="O730" i="1" a="1"/>
  <c r="O2124" i="1" a="1"/>
  <c r="O2110" i="1" a="1"/>
  <c r="O2258" i="1" a="1"/>
  <c r="O1213" i="1" a="1"/>
  <c r="O1152" i="1" a="1"/>
  <c r="O1903" i="1" a="1"/>
  <c r="O2024" i="1" a="1"/>
  <c r="O1192" i="1" a="1"/>
  <c r="O1084" i="1" a="1"/>
  <c r="O1767" i="1" a="1"/>
  <c r="O1404" i="1" a="1"/>
  <c r="O1095" i="1" a="1"/>
  <c r="O2081" i="1" a="1"/>
  <c r="O1922" i="1" a="1"/>
  <c r="O1099" i="1" a="1"/>
  <c r="O903" i="1" a="1"/>
  <c r="O1552" i="1" a="1"/>
  <c r="O1098" i="1" a="1"/>
  <c r="O902" i="1" a="1"/>
  <c r="O1857" i="1" a="1"/>
  <c r="O1140" i="1" a="1"/>
  <c r="O713" i="1" a="1"/>
  <c r="O1454" i="1" a="1"/>
  <c r="O2358" i="1" a="1"/>
  <c r="O2309" i="1" a="1"/>
  <c r="O2066" i="1" a="1"/>
  <c r="O2295" i="1" a="1"/>
  <c r="O2340" i="1" a="1"/>
  <c r="O1979" i="1" a="1"/>
  <c r="O1542" i="1" a="1"/>
  <c r="O1308" i="1" a="1"/>
  <c r="O1058" i="1" a="1"/>
  <c r="O451" i="1" a="1"/>
  <c r="O1313" i="1" a="1"/>
  <c r="O685" i="1" a="1"/>
  <c r="O316" i="1" a="1"/>
  <c r="O1617" i="1" a="1"/>
  <c r="O1619" i="1" a="1"/>
  <c r="O786" i="1" a="1"/>
  <c r="O1156" i="1" a="1"/>
  <c r="O1692" i="1" a="1"/>
  <c r="O785" i="1" a="1"/>
  <c r="O1155" i="1" a="1"/>
  <c r="O1483" i="1" a="1"/>
  <c r="O2026" i="1" a="1"/>
  <c r="O1170" i="1" a="1"/>
  <c r="O1381" i="1" a="1"/>
  <c r="O1731" i="1" a="1"/>
  <c r="O1142" i="1" a="1"/>
  <c r="O1835" i="1" a="1"/>
  <c r="O1250" i="1" a="1"/>
  <c r="O1198" i="1" a="1"/>
  <c r="O1598" i="1" a="1"/>
  <c r="O1214" i="1" a="1"/>
  <c r="O1216" i="1" a="1"/>
  <c r="O2106" i="1" a="1"/>
  <c r="O2360" i="1" a="1"/>
  <c r="O1554" i="1" a="1"/>
  <c r="O2327" i="1" a="1"/>
  <c r="O397" i="1" a="1"/>
  <c r="O1919" i="1" a="1"/>
  <c r="O1303" i="1" a="1"/>
  <c r="O1502" i="1" a="1"/>
  <c r="O1447" i="1" a="1"/>
  <c r="O1584" i="1" a="1"/>
  <c r="O1124" i="1" a="1"/>
  <c r="O1504" i="1" a="1"/>
  <c r="O1595" i="1" a="1"/>
  <c r="O1388" i="1" a="1"/>
  <c r="O2120" i="1" a="1"/>
  <c r="O1653" i="1" a="1"/>
  <c r="O330" i="1" a="1"/>
  <c r="O856" i="1" a="1"/>
  <c r="O708" i="1" a="1"/>
  <c r="O55" i="1" a="1"/>
  <c r="O499" i="1" a="1"/>
  <c r="O1422" i="1" a="1"/>
  <c r="O263" i="1" a="1"/>
  <c r="O1360" i="1" a="1"/>
  <c r="O885" i="1" a="1"/>
  <c r="O1665" i="1" a="1"/>
  <c r="O239" i="1" a="1"/>
  <c r="O2236" i="1" a="1"/>
  <c r="O806" i="1" a="1"/>
  <c r="O172" i="1" a="1"/>
  <c r="O1285" i="1" a="1"/>
  <c r="O277" i="1" a="1"/>
  <c r="O2321" i="1" a="1"/>
  <c r="O743" i="1" a="1"/>
  <c r="O2387" i="1" a="1"/>
  <c r="O1529" i="1" a="1"/>
  <c r="O1688" i="1" a="1"/>
  <c r="O607" i="1" a="1"/>
  <c r="O765" i="1" a="1"/>
  <c r="O629" i="1" a="1"/>
  <c r="O1452" i="1" a="1"/>
  <c r="O1871" i="1" a="1"/>
  <c r="O1488" i="1" a="1"/>
  <c r="O1667" i="1" a="1"/>
  <c r="O1281" i="1" a="1"/>
  <c r="O1499" i="1" a="1"/>
  <c r="O2259" i="1" a="1"/>
  <c r="O1626" i="1" a="1"/>
  <c r="O677" i="1" a="1"/>
  <c r="O1787" i="1" a="1"/>
  <c r="O1355" i="1" a="1"/>
  <c r="O2193" i="1" a="1"/>
  <c r="O2118" i="1" a="1"/>
  <c r="O754" i="1" a="1"/>
  <c r="O1361" i="1" a="1"/>
  <c r="O1173" i="1" a="1"/>
  <c r="O699" i="1" a="1"/>
  <c r="O1289" i="1" a="1"/>
  <c r="O199" i="1" a="1"/>
  <c r="O374" i="1" a="1"/>
  <c r="O335" i="1" a="1"/>
  <c r="O826" i="1" a="1"/>
  <c r="O2204" i="1" a="1"/>
  <c r="O1482" i="1" a="1"/>
  <c r="O1311" i="1" a="1"/>
  <c r="O1252" i="1" a="1"/>
  <c r="O1752" i="1" a="1"/>
  <c r="O329" i="1" a="1"/>
  <c r="O1287" i="1" a="1"/>
  <c r="O1121" i="1" a="1"/>
  <c r="O523" i="1" a="1"/>
  <c r="O440" i="1" a="1"/>
  <c r="O355" i="1" a="1"/>
  <c r="O278" i="1" a="1"/>
  <c r="O198" i="1" a="1"/>
  <c r="O2013" i="1" a="1"/>
  <c r="O2308" i="1" a="1"/>
  <c r="O1775" i="1" a="1"/>
  <c r="O1719" i="1" a="1"/>
  <c r="O1742" i="1" a="1"/>
  <c r="O945" i="1" a="1"/>
  <c r="O611" i="1" a="1"/>
  <c r="O468" i="1" a="1"/>
  <c r="O331" i="1" a="1"/>
  <c r="O653" i="1" a="1"/>
  <c r="O379" i="1" a="1"/>
  <c r="O637" i="1" a="1"/>
  <c r="O370" i="1" a="1"/>
  <c r="O844" i="1" a="1"/>
  <c r="O490" i="1" a="1"/>
  <c r="O1891" i="1" a="1"/>
  <c r="O1034" i="1" a="1"/>
  <c r="O1349" i="1" a="1"/>
  <c r="O76" i="1" a="1"/>
  <c r="O119" i="1" a="1"/>
  <c r="O104" i="1" a="1"/>
  <c r="O2254" i="1" a="1"/>
  <c r="O1923" i="1" a="1"/>
  <c r="O2391" i="1" a="1"/>
  <c r="O2250" i="1" a="1"/>
  <c r="O1029" i="1" a="1"/>
  <c r="O1028" i="1" a="1"/>
  <c r="O959" i="1" a="1"/>
  <c r="O1541" i="1" a="1"/>
  <c r="O501" i="1" a="1"/>
  <c r="O1137" i="1" a="1"/>
  <c r="O310" i="1" a="1"/>
  <c r="O1419" i="1" a="1"/>
  <c r="O850" i="1" a="1"/>
  <c r="O638" i="1" a="1"/>
  <c r="O2039" i="1" a="1"/>
  <c r="O1128" i="1" a="1"/>
  <c r="O1411" i="1" a="1"/>
  <c r="O780" i="1" a="1"/>
  <c r="O487" i="1" a="1"/>
  <c r="O357" i="1" a="1"/>
  <c r="O167" i="1" a="1"/>
  <c r="O1111" i="1" a="1"/>
  <c r="O1538" i="1" a="1"/>
  <c r="O1206" i="1" a="1"/>
  <c r="O469" i="1" a="1"/>
  <c r="O132" i="1" a="1"/>
  <c r="O666" i="1" a="1"/>
  <c r="O633" i="1" a="1"/>
  <c r="O1506" i="1" a="1"/>
  <c r="O272" i="1" a="1"/>
  <c r="O697" i="1" a="1"/>
  <c r="O1315" i="1" a="1"/>
  <c r="O73" i="1" a="1"/>
  <c r="O627" i="1" a="1"/>
  <c r="O178" i="1" a="1"/>
  <c r="O2101" i="1" a="1"/>
  <c r="O1119" i="1" a="1"/>
  <c r="O1221" i="1" a="1"/>
  <c r="O615" i="1" a="1"/>
  <c r="O365" i="1" a="1"/>
  <c r="O185" i="1" a="1"/>
  <c r="O202" i="1" a="1"/>
  <c r="O39" i="1" a="1"/>
  <c r="O1845" i="1" a="1"/>
  <c r="O1165" i="1" a="1"/>
  <c r="O1438" i="1" a="1"/>
  <c r="O805" i="1" a="1"/>
  <c r="O533" i="1" a="1"/>
  <c r="O384" i="1" a="1"/>
  <c r="O204" i="1" a="1"/>
  <c r="O1177" i="1" a="1"/>
  <c r="O696" i="1" a="1"/>
  <c r="O174" i="1" a="1"/>
  <c r="O684" i="1" a="1"/>
  <c r="O149" i="1" a="1"/>
  <c r="O1138" i="1" a="1"/>
  <c r="O463" i="1" a="1"/>
  <c r="O1754" i="1" a="1"/>
  <c r="O2006" i="1" a="1"/>
  <c r="O910" i="1" a="1"/>
  <c r="O454" i="1" a="1"/>
  <c r="O577" i="1" a="1"/>
  <c r="O559" i="1" a="1"/>
  <c r="O2348" i="1" a="1"/>
  <c r="O1440" i="1" a="1"/>
  <c r="O724" i="1" a="1"/>
  <c r="O2027" i="1" a="1"/>
  <c r="O1409" i="1" a="1"/>
  <c r="O660" i="1" a="1"/>
  <c r="O650" i="1" a="1"/>
  <c r="O1794" i="1" a="1"/>
  <c r="O364" i="1" a="1"/>
  <c r="O797" i="1" a="1"/>
  <c r="O1712" i="1" a="1"/>
  <c r="O723" i="1" a="1"/>
  <c r="O707" i="1" a="1"/>
  <c r="O421" i="1" a="1"/>
  <c r="O1702" i="1" a="1"/>
  <c r="O944" i="1" a="1"/>
  <c r="O940" i="1" a="1"/>
  <c r="O1525" i="1" a="1"/>
  <c r="O994" i="1" a="1"/>
  <c r="O956" i="1" a="1"/>
  <c r="O503" i="1" a="1"/>
  <c r="O321" i="1" a="1"/>
  <c r="O2202" i="1" a="1"/>
  <c r="O1042" i="1" a="1"/>
  <c r="O2107" i="1" a="1"/>
  <c r="O224" i="1" a="1"/>
  <c r="O531" i="1" a="1"/>
  <c r="O495" i="1" a="1"/>
  <c r="O19" i="1" a="1"/>
  <c r="O568" i="1" a="1"/>
  <c r="O1527" i="1" a="1"/>
  <c r="O896" i="1" a="1"/>
  <c r="O665" i="1" a="1"/>
  <c r="O1092" i="1" a="1"/>
  <c r="O432" i="1" a="1"/>
  <c r="O1219" i="1" a="1"/>
  <c r="O1344" i="1" a="1"/>
  <c r="O1921" i="1" a="1"/>
  <c r="O1071" i="1" a="1"/>
  <c r="O528" i="1" a="1"/>
  <c r="O504" i="1" a="1"/>
  <c r="O488" i="1" a="1"/>
  <c r="O287" i="1" a="1"/>
  <c r="O1668" i="1" a="1"/>
  <c r="O810" i="1" a="1"/>
  <c r="O809" i="1" a="1"/>
  <c r="O1917" i="1" a="1"/>
  <c r="O892" i="1" a="1"/>
  <c r="O857" i="1" a="1"/>
  <c r="O428" i="1" a="1"/>
  <c r="O1493" i="1" a="1"/>
  <c r="O348" i="1" a="1"/>
  <c r="O710" i="1" a="1"/>
  <c r="O90" i="1" a="1"/>
  <c r="O703" i="1" a="1"/>
  <c r="O122" i="1" a="1"/>
  <c r="O886" i="1" a="1"/>
  <c r="O101" i="1" a="1"/>
  <c r="O992" i="1" a="1"/>
  <c r="O1369" i="1" a="1"/>
  <c r="O387" i="1" a="1"/>
  <c r="O83" i="1" a="1"/>
  <c r="O60" i="1" a="1"/>
  <c r="O234" i="1" a="1"/>
  <c r="O322" i="1" a="1"/>
  <c r="O1607" i="1" a="1"/>
  <c r="O1060" i="1" a="1"/>
  <c r="O267" i="1" a="1"/>
  <c r="O225" i="1" a="1"/>
  <c r="O919" i="1" a="1"/>
  <c r="O881" i="1" a="1"/>
  <c r="O624" i="1" a="1"/>
  <c r="O2125" i="1" a="1"/>
  <c r="O2396" i="1" a="1"/>
  <c r="O884" i="1" a="1"/>
  <c r="O472" i="1" a="1"/>
  <c r="O1612" i="1" a="1"/>
  <c r="O1393" i="1" a="1"/>
  <c r="O981" i="1" a="1"/>
  <c r="O245" i="1" a="1"/>
  <c r="O1207" i="1" a="1"/>
  <c r="O2028" i="1" a="1"/>
  <c r="O1007" i="1" a="1"/>
  <c r="O502" i="1" a="1"/>
  <c r="O814" i="1" a="1"/>
  <c r="O163" i="1" a="1"/>
  <c r="O227" i="1" a="1"/>
  <c r="O268" i="1" a="1"/>
  <c r="O700" i="1" a="1"/>
  <c r="O761" i="1" a="1"/>
  <c r="O181" i="1" a="1"/>
  <c r="O1269" i="1" a="1"/>
  <c r="O405" i="1" a="1"/>
  <c r="O758" i="1" a="1"/>
  <c r="O1157" i="1" a="1"/>
  <c r="O1980" i="1" a="1"/>
  <c r="O1373" i="1" a="1"/>
  <c r="O668" i="1" a="1"/>
  <c r="O389" i="1" a="1"/>
  <c r="O460" i="1" a="1"/>
  <c r="O435" i="1" a="1"/>
  <c r="O630" i="1" a="1"/>
  <c r="O1338" i="1" a="1"/>
  <c r="O137" i="1" a="1"/>
  <c r="O1265" i="1" a="1"/>
  <c r="O415" i="1" a="1"/>
  <c r="O1351" i="1" a="1"/>
  <c r="O1740" i="1" a="1"/>
  <c r="O318" i="1" a="1"/>
  <c r="O789" i="1" a="1"/>
  <c r="O72" i="1" a="1"/>
  <c r="O2205" i="1" a="1"/>
  <c r="O929" i="1" a="1"/>
  <c r="O1995" i="1" a="1"/>
  <c r="O1492" i="1" a="1"/>
  <c r="O1183" i="1" a="1"/>
  <c r="O419" i="1" a="1"/>
  <c r="O110" i="1" a="1"/>
  <c r="O417" i="1" a="1"/>
  <c r="O1426" i="1" a="1"/>
  <c r="O593" i="1" a="1"/>
  <c r="O371" i="1" a="1"/>
  <c r="O751" i="1" a="1"/>
  <c r="O764" i="1" a="1"/>
  <c r="O424" i="1" a="1"/>
  <c r="O1036" i="1" a="1"/>
  <c r="O1590" i="1" a="1"/>
  <c r="O74" i="1" a="1"/>
  <c r="O1466" i="1" a="1"/>
  <c r="O2119" i="1" a="1"/>
  <c r="O1075" i="1" a="1"/>
  <c r="O1415" i="1" a="1"/>
  <c r="O1897" i="1" a="1"/>
  <c r="O636" i="1" a="1"/>
  <c r="O2332" i="1" a="1"/>
  <c r="O1578" i="1" a="1"/>
  <c r="O1086" i="1" a="1"/>
  <c r="O1076" i="1" a="1"/>
  <c r="O2298" i="1" a="1"/>
  <c r="O1433" i="1" a="1"/>
  <c r="O529" i="1" a="1"/>
  <c r="O304" i="1" a="1"/>
  <c r="O2342" i="1" a="1"/>
  <c r="O143" i="1" a="1"/>
  <c r="O1161" i="1" a="1"/>
  <c r="O1645" i="1" a="1"/>
  <c r="O1962" i="1" a="1"/>
  <c r="O368" i="1" a="1"/>
  <c r="O161" i="1" a="1"/>
  <c r="O1613" i="1" a="1"/>
  <c r="O445" i="1" a="1"/>
  <c r="O1081" i="1" a="1"/>
  <c r="O772" i="1" a="1"/>
  <c r="O81" i="1" a="1"/>
  <c r="O75" i="1" a="1"/>
  <c r="O138" i="1" a="1"/>
  <c r="O1429" i="1" a="1"/>
  <c r="O950" i="1" a="1"/>
  <c r="O34" i="1" a="1"/>
  <c r="O362" i="1" a="1"/>
  <c r="O1352" i="1" a="1"/>
  <c r="O802" i="1" a="1"/>
  <c r="O464" i="1" a="1"/>
  <c r="O121" i="1" a="1"/>
  <c r="O112" i="1" a="1"/>
  <c r="O923" i="1" a="1"/>
  <c r="O2012" i="1" a="1"/>
  <c r="O1398" i="1" a="1"/>
  <c r="O1290" i="1" a="1"/>
  <c r="O1874" i="1" a="1"/>
  <c r="O1489" i="1" a="1"/>
  <c r="O798" i="1" a="1"/>
  <c r="O2131" i="1" a="1"/>
  <c r="O1015" i="1" a="1"/>
  <c r="O1450" i="1" a="1"/>
  <c r="O105" i="1" a="1"/>
  <c r="O1003" i="1" a="1"/>
  <c r="O1024" i="1" a="1"/>
  <c r="O1145" i="1" a="1"/>
  <c r="O233" i="1" a="1"/>
  <c r="O1928" i="1" a="1"/>
  <c r="O517" i="1" a="1"/>
  <c r="O147" i="1" a="1"/>
  <c r="O1245" i="1" a="1"/>
  <c r="O154" i="1" a="1"/>
  <c r="O655" i="1" a="1"/>
  <c r="O14" i="1" a="1"/>
  <c r="O906" i="1" a="1"/>
  <c r="O1260" i="1" a="1"/>
  <c r="O16" i="1" a="1"/>
  <c r="O874" i="1" a="1"/>
  <c r="O288" i="1" a="1"/>
  <c r="O3" i="1" a="1"/>
  <c r="O969" i="1" a="1"/>
  <c r="O254" i="1" a="1"/>
  <c r="O954" i="1" a="1"/>
  <c r="O394" i="1" a="1"/>
  <c r="O1832" i="1" a="1"/>
  <c r="O446" i="1" a="1"/>
  <c r="O478" i="1" a="1"/>
  <c r="O139" i="1" a="1"/>
  <c r="O1834" i="1" a="1"/>
  <c r="O399" i="1" a="1"/>
  <c r="O1676" i="1" a="1"/>
  <c r="O2014" i="1" a="1"/>
  <c r="O40" i="1" a="1"/>
  <c r="O226" i="1" a="1"/>
  <c r="O749" i="1" a="1"/>
  <c r="O20" i="1" a="1"/>
  <c r="O804" i="1" a="1"/>
  <c r="O1430" i="1" a="1"/>
  <c r="O117" i="1" a="1"/>
  <c r="O1843" i="1" a="1"/>
  <c r="O656" i="1" a="1"/>
  <c r="O18" i="1" a="1"/>
  <c r="O993" i="1" a="1"/>
  <c r="O253" i="1" a="1"/>
  <c r="O1391" i="1" a="1"/>
  <c r="O2" i="1" a="1"/>
  <c r="O477" i="1" a="1"/>
  <c r="O257" i="1" a="1"/>
  <c r="O830" i="1" a="1"/>
  <c r="O604" i="1" a="1"/>
  <c r="O32" i="1" a="1"/>
  <c r="O2040" i="1" a="1"/>
  <c r="O1958" i="1" a="1"/>
  <c r="O1822" i="1" a="1"/>
  <c r="O1991" i="1" a="1"/>
  <c r="O2393" i="1" a="1"/>
  <c r="O1952" i="1" a="1"/>
  <c r="O2181" i="1" a="1"/>
  <c r="O2301" i="1" a="1"/>
  <c r="O1646" i="1" a="1"/>
  <c r="O2007" i="1" a="1"/>
  <c r="O2097" i="1" a="1"/>
  <c r="O2398" i="1" a="1"/>
  <c r="O1679" i="1" a="1"/>
  <c r="O1102" i="1" a="1"/>
  <c r="O2068" i="1" a="1"/>
  <c r="O2076" i="1" a="1"/>
  <c r="O1828" i="1" a="1"/>
  <c r="O2162" i="1" a="1"/>
  <c r="O1838" i="1" a="1"/>
  <c r="O1998" i="1" a="1"/>
  <c r="O1587" i="1" a="1"/>
  <c r="O1631" i="1" a="1"/>
  <c r="O2297" i="1" a="1"/>
  <c r="O1936" i="1" a="1"/>
  <c r="O2390" i="1" a="1"/>
  <c r="O2002" i="1" a="1"/>
  <c r="O1870" i="1" a="1"/>
  <c r="O2287" i="1" a="1"/>
  <c r="O2203" i="1" a="1"/>
  <c r="O2283" i="1" a="1"/>
  <c r="O1560" i="1" a="1"/>
  <c r="O1558" i="1" a="1"/>
  <c r="O2379" i="1" a="1"/>
  <c r="O2252" i="1" a="1"/>
  <c r="O2182" i="1" a="1"/>
  <c r="O1618" i="1" a="1"/>
  <c r="O1408" i="1" a="1"/>
  <c r="O2378" i="1" a="1"/>
  <c r="O2388" i="1" a="1"/>
  <c r="O1380" i="1" a="1"/>
  <c r="O1300" i="1" a="1"/>
  <c r="O378" i="1" a="1"/>
  <c r="O1672" i="1" a="1"/>
  <c r="O1934" i="1" a="1"/>
  <c r="O2082" i="1" a="1"/>
  <c r="O1555" i="1" a="1"/>
  <c r="O1985" i="1" a="1"/>
  <c r="O2129" i="1" a="1"/>
  <c r="O1972" i="1" a="1"/>
  <c r="O2243" i="1" a="1"/>
  <c r="O2164" i="1" a="1"/>
  <c r="O2188" i="1" a="1"/>
  <c r="O1073" i="1" a="1"/>
  <c r="O905" i="1" a="1"/>
  <c r="O2170" i="1" a="1"/>
  <c r="O2370" i="1" a="1"/>
  <c r="O1406" i="1" a="1"/>
  <c r="O2175" i="1" a="1"/>
  <c r="O1964" i="1" a="1"/>
  <c r="O1114" i="1" a="1"/>
  <c r="O1085" i="1" a="1"/>
  <c r="O1194" i="1" a="1"/>
  <c r="O1484" i="1" a="1"/>
  <c r="O1010" i="1" a="1"/>
  <c r="O1840" i="1" a="1"/>
  <c r="O1948" i="1" a="1"/>
  <c r="O600" i="1" a="1"/>
  <c r="O571" i="1" a="1"/>
  <c r="O848" i="1" a="1"/>
  <c r="O1088" i="1" a="1"/>
  <c r="O520" i="1" a="1"/>
  <c r="O1446" i="1" a="1"/>
  <c r="O358" i="1" a="1"/>
  <c r="O2009" i="1" a="1"/>
  <c r="O2044" i="1" a="1"/>
  <c r="O2397" i="1" a="1"/>
  <c r="O2265" i="1" a="1"/>
  <c r="O1699" i="1" a="1"/>
  <c r="O456" i="1" a="1"/>
  <c r="O1445" i="1" a="1"/>
  <c r="O1581" i="1" a="1"/>
  <c r="O1786" i="1" a="1"/>
  <c r="O2123" i="1" a="1"/>
  <c r="O1367" i="1" a="1"/>
  <c r="O247" i="1" a="1"/>
  <c r="O1899" i="1" a="1"/>
  <c r="O538" i="1" a="1"/>
  <c r="O2330" i="1" a="1"/>
  <c r="O936" i="1" a="1"/>
  <c r="O1197" i="1" a="1"/>
  <c r="O2260" i="1" a="1"/>
  <c r="O1700" i="1" a="1"/>
  <c r="O1690" i="1" a="1"/>
  <c r="O2047" i="1" a="1"/>
  <c r="O835" i="1" a="1"/>
  <c r="O1642" i="1" a="1"/>
  <c r="O2174" i="1" a="1"/>
  <c r="O2225" i="1" a="1"/>
  <c r="O1325" i="1" a="1"/>
  <c r="O1749" i="1" a="1"/>
  <c r="O2246" i="1" a="1"/>
  <c r="O1548" i="1" a="1"/>
  <c r="O1302" i="1" a="1"/>
  <c r="O769" i="1" a="1"/>
  <c r="O2117" i="1" a="1"/>
  <c r="O1129" i="1" a="1"/>
  <c r="O1117" i="1" a="1"/>
  <c r="O1257" i="1" a="1"/>
  <c r="O1018" i="1" a="1"/>
  <c r="O248" i="1" a="1"/>
  <c r="O1288" i="1" a="1"/>
  <c r="O566" i="1" a="1"/>
  <c r="O1865" i="1" a="1"/>
  <c r="O1744" i="1" a="1"/>
  <c r="O262" i="1" a="1"/>
  <c r="O966" i="1" a="1"/>
  <c r="O1644" i="1" a="1"/>
  <c r="O1678" i="1" a="1"/>
  <c r="O510" i="1" a="1"/>
  <c r="O356" i="1" a="1"/>
  <c r="O855" i="1" a="1"/>
  <c r="O2189" i="1" a="1"/>
  <c r="O791" i="1" a="1"/>
  <c r="O1254" i="1" a="1"/>
  <c r="O361" i="1" a="1"/>
  <c r="O333" i="1" a="1"/>
  <c r="O388" i="1" a="1"/>
  <c r="O784" i="1" a="1"/>
  <c r="O1737" i="1" a="1"/>
  <c r="O2362" i="1" a="1"/>
  <c r="O1278" i="1" a="1"/>
  <c r="O1330" i="1" a="1"/>
  <c r="O1802" i="1" a="1"/>
  <c r="O2367" i="1" a="1"/>
  <c r="O1943" i="1" a="1"/>
  <c r="O912" i="1" a="1"/>
  <c r="O1368" i="1" a="1"/>
  <c r="O1056" i="1" a="1"/>
  <c r="O1021" i="1" a="1"/>
  <c r="O1403" i="1" a="1"/>
  <c r="O801" i="1" a="1"/>
  <c r="O1229" i="1" a="1"/>
  <c r="O255" i="1" a="1"/>
  <c r="O2281" i="1" a="1"/>
  <c r="O1253" i="1" a="1"/>
  <c r="O1839" i="1" a="1"/>
  <c r="O686" i="1" a="1"/>
  <c r="O1096" i="1" a="1"/>
  <c r="O1685" i="1" a="1"/>
  <c r="O192" i="1" a="1"/>
  <c r="O652" i="1" a="1"/>
  <c r="O576" i="1" a="1"/>
  <c r="O128" i="1" a="1"/>
  <c r="O1970" i="1" a="1"/>
  <c r="O1106" i="1" a="1"/>
  <c r="O256" i="1" a="1"/>
  <c r="O726" i="1" a="1"/>
  <c r="O88" i="1" a="1"/>
  <c r="O681" i="1" a="1"/>
  <c r="O1305" i="1" a="1"/>
  <c r="O985" i="1" a="1"/>
  <c r="O49" i="1" a="1"/>
  <c r="O678" i="1" a="1"/>
  <c r="O23" i="1" a="1"/>
  <c r="O1930" i="1" a="1"/>
  <c r="O931" i="1" a="1"/>
  <c r="O56" i="1" a="1"/>
  <c r="O152" i="1" a="1"/>
  <c r="O2278" i="1" a="1"/>
  <c r="O1698" i="1" a="1"/>
  <c r="O1735" i="1" a="1"/>
  <c r="O1777" i="1" a="1"/>
  <c r="O986" i="1" a="1"/>
  <c r="O1763" i="1" a="1"/>
  <c r="O829" i="1" a="1"/>
  <c r="O2022" i="1" a="1"/>
  <c r="O1065" i="1" a="1"/>
  <c r="O42" i="1" a="1"/>
  <c r="O427" i="1" a="1"/>
  <c r="O1070" i="1" a="1"/>
  <c r="O1136" i="1" a="1"/>
  <c r="O1148" i="1" a="1"/>
  <c r="O1107" i="1" a="1"/>
  <c r="O258" i="1" a="1"/>
  <c r="O661" i="1" a="1"/>
  <c r="O1605" i="1" a="1"/>
  <c r="O694" i="1" a="1"/>
  <c r="O237" i="1" a="1"/>
  <c r="O476" i="1" a="1"/>
  <c r="O315" i="1" a="1"/>
  <c r="O1050" i="1" a="1"/>
  <c r="O1479" i="1" a="1"/>
  <c r="O1123" i="1" a="1"/>
  <c r="O550" i="1" a="1"/>
  <c r="O70" i="1" a="1"/>
  <c r="O1120" i="1" a="1"/>
  <c r="O1968" i="1" a="1"/>
  <c r="O894" i="1" a="1"/>
  <c r="O821" i="1" a="1"/>
  <c r="O1064" i="1" a="1"/>
  <c r="O2004" i="1" a="1"/>
  <c r="O1169" i="1" a="1"/>
  <c r="O943" i="1" a="1"/>
  <c r="O1189" i="1" a="1"/>
  <c r="O450" i="1" a="1"/>
  <c r="O858" i="1" a="1"/>
  <c r="O443" i="1" a="1"/>
  <c r="O7" i="1" a="1"/>
  <c r="O497" i="1" a="1"/>
  <c r="O839" i="1" a="1"/>
  <c r="O50" i="1" a="1"/>
  <c r="O2217" i="1" a="1"/>
  <c r="O1904" i="1" a="1"/>
  <c r="O596" i="1" a="1"/>
  <c r="O990" i="1" a="1"/>
  <c r="O195" i="1" a="1"/>
  <c r="O2130" i="1" a="1"/>
  <c r="O1159" i="1" a="1"/>
  <c r="O1295" i="1" a="1"/>
  <c r="O925" i="1" a="1"/>
  <c r="O960" i="1" a="1"/>
  <c r="O493" i="1" a="1"/>
  <c r="O2296" i="1" a="1"/>
  <c r="O1882" i="1" a="1"/>
  <c r="O103" i="1" a="1"/>
  <c r="O484" i="1" a="1"/>
  <c r="O563" i="1" a="1"/>
  <c r="O976" i="1" a="1"/>
  <c r="O676" i="1" a="1"/>
  <c r="O534" i="1" a="1"/>
  <c r="O359" i="1" a="1"/>
  <c r="O727" i="1" a="1"/>
  <c r="O878" i="1" a="1"/>
  <c r="O1677" i="1" a="1"/>
  <c r="O403" i="1" a="1"/>
  <c r="O1026" i="1" a="1"/>
  <c r="O560" i="1" a="1"/>
  <c r="O836" i="1" a="1"/>
  <c r="O2311" i="1" a="1"/>
  <c r="O1030" i="1" a="1"/>
  <c r="O218" i="1" a="1"/>
  <c r="O1049" i="1" a="1"/>
  <c r="O842" i="1" a="1"/>
  <c r="O1662" i="1" a="1"/>
  <c r="O1083" i="1" a="1"/>
  <c r="O481" i="1" a="1"/>
  <c r="O173" i="1" a="1"/>
  <c r="O33" i="1" a="1"/>
  <c r="O1932" i="1" a="1"/>
  <c r="O2261" i="1" a="1"/>
  <c r="O964" i="1" a="1"/>
  <c r="O1660" i="1" a="1"/>
  <c r="O868" i="1" a="1"/>
  <c r="O1118" i="1" a="1"/>
  <c r="O269" i="1" a="1"/>
  <c r="O933" i="1" a="1"/>
  <c r="O230" i="1" a="1"/>
  <c r="O404" i="1" a="1"/>
  <c r="O1319" i="1" a="1"/>
  <c r="O1273" i="1" a="1"/>
  <c r="O1072" i="1" a="1"/>
  <c r="O203" i="1" a="1"/>
  <c r="O447" i="1" a="1"/>
  <c r="O1158" i="1" a="1"/>
  <c r="O602" i="1" a="1"/>
  <c r="O911" i="1" a="1"/>
  <c r="O314" i="1" a="1"/>
  <c r="O1239" i="1" a="1"/>
  <c r="O430" i="1" a="1"/>
  <c r="O212" i="1" a="1"/>
  <c r="O2364" i="1" a="1"/>
  <c r="O888" i="1" a="1"/>
  <c r="O2349" i="1" a="1"/>
  <c r="O1925" i="1" a="1"/>
  <c r="O1524" i="1" a="1"/>
  <c r="O182" i="1" a="1"/>
  <c r="O1947" i="1" a="1"/>
  <c r="O828" i="1" a="1"/>
  <c r="O439" i="1" a="1"/>
  <c r="O1087" i="1" a="1"/>
  <c r="O731" i="1" a="1"/>
  <c r="O98" i="1" a="1"/>
  <c r="O383" i="1" a="1"/>
  <c r="O58" i="1" a="1"/>
  <c r="O1571" i="1" a="1"/>
  <c r="O847" i="1" a="1"/>
  <c r="O169" i="1" a="1"/>
  <c r="O573" i="1" a="1"/>
  <c r="O1037" i="1" a="1"/>
  <c r="O457" i="1" a="1"/>
  <c r="O833" i="1" a="1"/>
  <c r="O1016" i="1" a="1"/>
  <c r="O1039" i="1" a="1"/>
  <c r="O1163" i="1" a="1"/>
  <c r="O774" i="1" a="1"/>
  <c r="O341" i="1" a="1"/>
  <c r="O535" i="1" a="1"/>
  <c r="O587" i="1" a="1"/>
  <c r="O670" i="1" a="1"/>
  <c r="O1855" i="1" a="1"/>
  <c r="O1327" i="1" a="1"/>
  <c r="O1387" i="1" a="1"/>
  <c r="O514" i="1" a="1"/>
  <c r="O238" i="1" a="1"/>
  <c r="O1649" i="1" a="1"/>
  <c r="O1543" i="1" a="1"/>
  <c r="O515" i="1" a="1"/>
  <c r="O767" i="1" a="1"/>
  <c r="O619" i="1" a="1"/>
  <c r="O80" i="1" a="1"/>
  <c r="O1432" i="1" a="1"/>
  <c r="O207" i="1" a="1"/>
  <c r="O997" i="1" a="1"/>
  <c r="O1468" i="1" a="1"/>
  <c r="O1810" i="1" a="1"/>
  <c r="O1405" i="1" a="1"/>
  <c r="O720" i="1" a="1"/>
  <c r="O1174" i="1" a="1"/>
  <c r="O1047" i="1" a="1"/>
  <c r="O1540" i="1" a="1"/>
  <c r="O1318" i="1" a="1"/>
  <c r="O64" i="1" a="1"/>
  <c r="O395" i="1" a="1"/>
  <c r="O302" i="1" a="1"/>
  <c r="O702" i="1" a="1"/>
  <c r="O736" i="1" a="1"/>
  <c r="O189" i="1" a="1"/>
  <c r="O2029" i="1" a="1"/>
  <c r="O1193" i="1" a="1"/>
  <c r="O135" i="1" a="1"/>
  <c r="O654" i="1" a="1"/>
  <c r="O205" i="1" a="1"/>
  <c r="O53" i="1" a="1"/>
  <c r="O714" i="1" a="1"/>
  <c r="O609" i="1" a="1"/>
  <c r="O1069" i="1" a="1"/>
  <c r="O340" i="1" a="1"/>
  <c r="O63" i="1" a="1"/>
  <c r="O124" i="1" a="1"/>
  <c r="O553" i="1" a="1"/>
  <c r="O2016" i="1" a="1"/>
  <c r="O1005" i="1" a="1"/>
  <c r="O2052" i="1" a="1"/>
  <c r="O1423" i="1" a="1"/>
  <c r="O373" i="1" a="1"/>
  <c r="O1019" i="1" a="1"/>
  <c r="O955" i="1" a="1"/>
  <c r="O641" i="1" a="1"/>
  <c r="O880" i="1" a="1"/>
  <c r="O410" i="1" a="1"/>
  <c r="O22" i="1" a="1"/>
  <c r="O2183" i="1" a="1"/>
  <c r="O144" i="1" a="1"/>
  <c r="O1242" i="1" a="1"/>
  <c r="O78" i="1" a="1"/>
  <c r="O698" i="1" a="1"/>
  <c r="O1818" i="1" a="1"/>
  <c r="O1324" i="1" a="1"/>
  <c r="O588" i="1" a="1"/>
  <c r="O59" i="1" a="1"/>
  <c r="O286" i="1" a="1"/>
  <c r="O816" i="1" a="1"/>
  <c r="O1326" i="1" a="1"/>
  <c r="O45" i="1" a="1"/>
  <c r="O691" i="1" a="1"/>
  <c r="O191" i="1" a="1"/>
  <c r="O704" i="1" a="1"/>
  <c r="O932" i="1" a="1"/>
  <c r="O1218" i="1" a="1"/>
  <c r="O516" i="1" a="1"/>
  <c r="O545" i="1" a="1"/>
  <c r="O360" i="1" a="1"/>
  <c r="O861" i="1" a="1"/>
  <c r="O875" i="1" a="1"/>
  <c r="O551" i="1" a="1"/>
  <c r="O542" i="1" a="1"/>
  <c r="O133" i="1" a="1"/>
  <c r="O336" i="1" a="1"/>
  <c r="O870" i="1" a="1"/>
  <c r="O242" i="1" a="1"/>
  <c r="O1898" i="1" a="1"/>
  <c r="O775" i="1" a="1"/>
  <c r="O973" i="1" a="1"/>
  <c r="O471" i="1" a="1"/>
  <c r="O1993" i="1" a="1"/>
  <c r="O2317" i="1" a="1"/>
  <c r="O1661" i="1" a="1"/>
  <c r="O1135" i="1" a="1"/>
  <c r="O1984" i="1" a="1"/>
  <c r="O1609" i="1" a="1"/>
  <c r="O1478" i="1" a="1"/>
  <c r="O1896" i="1" a="1"/>
  <c r="O2053" i="1" a="1"/>
  <c r="O2001" i="1" a="1"/>
  <c r="O2095" i="1" a="1"/>
  <c r="O2087" i="1" a="1"/>
  <c r="O1611" i="1" a="1"/>
  <c r="O2347" i="1" a="1"/>
  <c r="O2134" i="1" a="1"/>
  <c r="O1966" i="1" a="1"/>
  <c r="O1659" i="1" a="1"/>
  <c r="O1878" i="1" a="1"/>
  <c r="O1989" i="1" a="1"/>
  <c r="O1942" i="1" a="1"/>
  <c r="O1784" i="1" a="1"/>
  <c r="O1902" i="1" a="1"/>
  <c r="O1755" i="1" a="1"/>
  <c r="O1417" i="1" a="1"/>
  <c r="O1682" i="1" a="1"/>
  <c r="O2227" i="1" a="1"/>
  <c r="O1695" i="1" a="1"/>
  <c r="O1847" i="1" a="1"/>
  <c r="O2234" i="1" a="1"/>
  <c r="O1758" i="1" a="1"/>
  <c r="O2299" i="1" a="1"/>
  <c r="O2394" i="1" a="1"/>
  <c r="O909" i="1" a="1"/>
  <c r="O1339" i="1" a="1"/>
  <c r="O1293" i="1" a="1"/>
  <c r="O1103" i="1" a="1"/>
  <c r="O1910" i="1" a="1"/>
  <c r="O1823" i="1" a="1"/>
  <c r="O1852" i="1" a="1"/>
  <c r="O2196" i="1" a="1"/>
  <c r="O2291" i="1" a="1"/>
  <c r="O1608" i="1" a="1"/>
  <c r="O1606" i="1" a="1"/>
  <c r="O1074" i="1" a="1"/>
  <c r="O1522" i="1" a="1"/>
  <c r="O812" i="1" a="1"/>
  <c r="O1116" i="1" a="1"/>
  <c r="O2079" i="1" a="1"/>
  <c r="O2116" i="1" a="1"/>
  <c r="O2211" i="1" a="1"/>
  <c r="O2145" i="1" a="1"/>
  <c r="O2025" i="1" a="1"/>
  <c r="O1507" i="1" a="1"/>
  <c r="O586" i="1" a="1"/>
  <c r="O582" i="1" a="1"/>
  <c r="O1090" i="1" a="1"/>
  <c r="O2320" i="1" a="1"/>
  <c r="O1820" i="1" a="1"/>
  <c r="O1586" i="1" a="1"/>
  <c r="O1212" i="1" a="1"/>
  <c r="O1226" i="1" a="1"/>
  <c r="O599" i="1" a="1"/>
  <c r="O2346" i="1" a="1"/>
  <c r="O1994" i="1" a="1"/>
  <c r="O763" i="1" a="1"/>
  <c r="O2104" i="1" a="1"/>
  <c r="O2056" i="1" a="1"/>
  <c r="O1726" i="1" a="1"/>
  <c r="O2051" i="1" a="1"/>
  <c r="O1987" i="1" a="1"/>
  <c r="O1831" i="1" a="1"/>
  <c r="O1013" i="1" a="1"/>
  <c r="O1009" i="1" a="1"/>
  <c r="O1556" i="1" a="1"/>
  <c r="O1643" i="1" a="1"/>
  <c r="O1841" i="1" a="1"/>
  <c r="O1564" i="1" a="1"/>
  <c r="O1687" i="1" a="1"/>
  <c r="O1334" i="1" a="1"/>
  <c r="O243" i="1" a="1"/>
  <c r="O1912" i="1" a="1"/>
  <c r="O1182" i="1" a="1"/>
  <c r="O1573" i="1" a="1"/>
  <c r="O2163" i="1" a="1"/>
  <c r="O645" i="1" a="1"/>
  <c r="O1132" i="1" a="1"/>
  <c r="O581" i="1" a="1"/>
  <c r="O1258" i="1" a="1"/>
  <c r="O1094" i="1" a="1"/>
  <c r="O2140" i="1" a="1"/>
  <c r="O2333" i="1" a="1"/>
  <c r="O922" i="1" a="1"/>
  <c r="O1038" i="1" a="1"/>
  <c r="O1796" i="1" a="1"/>
  <c r="O1456" i="1" a="1"/>
  <c r="O1534" i="1" a="1"/>
  <c r="O1437" i="1" a="1"/>
  <c r="O2030" i="1" a="1"/>
  <c r="O617" i="1" a="1"/>
  <c r="O297" i="1" a="1"/>
  <c r="O962" i="1" a="1"/>
  <c r="O927" i="1" a="1"/>
  <c r="O485" i="1" a="1"/>
  <c r="O628" i="1" a="1"/>
  <c r="O862" i="1" a="1"/>
  <c r="O2280" i="1" a="1"/>
  <c r="O2195" i="1" a="1"/>
  <c r="O2289" i="1" a="1"/>
  <c r="O1945" i="1" a="1"/>
  <c r="O2155" i="1" a="1"/>
  <c r="O1650" i="1" a="1"/>
  <c r="O1359" i="1" a="1"/>
  <c r="O2080" i="1" a="1"/>
  <c r="O1909" i="1" a="1"/>
  <c r="O1880" i="1" a="1"/>
  <c r="O1371" i="1" a="1"/>
  <c r="O1720" i="1" a="1"/>
  <c r="O2150" i="1" a="1"/>
  <c r="O2313" i="1" a="1"/>
  <c r="O1944" i="1" a="1"/>
  <c r="O1602" i="1" a="1"/>
  <c r="O1570" i="1" a="1"/>
  <c r="O1908" i="1" a="1"/>
  <c r="O1877" i="1" a="1"/>
  <c r="O2069" i="1" a="1"/>
  <c r="O1503" i="1" a="1"/>
  <c r="O1638" i="1" a="1"/>
  <c r="O1873" i="1" a="1"/>
  <c r="O1421" i="1" a="1"/>
  <c r="O2194" i="1" a="1"/>
  <c r="O1274" i="1" a="1"/>
  <c r="O2339" i="1" a="1"/>
  <c r="O1551" i="1" a="1"/>
  <c r="O1640" i="1" a="1"/>
  <c r="O1795" i="1" a="1"/>
  <c r="O2302" i="1" a="1"/>
  <c r="O2191" i="1" a="1"/>
  <c r="O1990" i="1" a="1"/>
  <c r="O989" i="1" a="1"/>
  <c r="O1379" i="1" a="1"/>
  <c r="O634" i="1" a="1"/>
  <c r="O2084" i="1" a="1"/>
  <c r="O1959" i="1" a="1"/>
  <c r="O1792" i="1" a="1"/>
  <c r="O2157" i="1" a="1"/>
  <c r="O2075" i="1" a="1"/>
  <c r="O1954" i="1" a="1"/>
  <c r="O2043" i="1" a="1"/>
  <c r="O1498" i="1" a="1"/>
  <c r="O1868" i="1" a="1"/>
  <c r="O1938" i="1" a="1"/>
  <c r="O1347" i="1" a="1"/>
  <c r="O1160" i="1" a="1"/>
  <c r="O2279" i="1" a="1"/>
  <c r="O1864" i="1" a="1"/>
  <c r="O2381" i="1" a="1"/>
  <c r="O2315" i="1" a="1"/>
  <c r="O2222" i="1" a="1"/>
  <c r="O1853" i="1" a="1"/>
  <c r="O2059" i="1" a="1"/>
  <c r="O995" i="1" a="1"/>
  <c r="O1357" i="1" a="1"/>
  <c r="O2293" i="1" a="1"/>
  <c r="O2031" i="1" a="1"/>
  <c r="O853" i="1" a="1"/>
  <c r="O1141" i="1" a="1"/>
  <c r="O1654" i="1" a="1"/>
  <c r="O1228" i="1" a="1"/>
  <c r="O1022" i="1" a="1"/>
  <c r="O1268" i="1" a="1"/>
  <c r="O883" i="1" a="1"/>
  <c r="O2270" i="1" a="1"/>
  <c r="O1704" i="1" a="1"/>
  <c r="O1652" i="1" a="1"/>
  <c r="O1599" i="1" a="1"/>
  <c r="O1630" i="1" a="1"/>
  <c r="O1451" i="1" a="1"/>
  <c r="O1633" i="1" a="1"/>
  <c r="O1526" i="1" a="1"/>
  <c r="O873" i="1" a="1"/>
  <c r="O2090" i="1" a="1"/>
  <c r="O2328" i="1" a="1"/>
  <c r="O539" i="1" a="1"/>
  <c r="O2173" i="1" a="1"/>
  <c r="O1553" i="1" a="1"/>
  <c r="O865" i="1" a="1"/>
  <c r="O377" i="1" a="1"/>
  <c r="O580" i="1" a="1"/>
  <c r="O2344" i="1" a="1"/>
  <c r="O1400" i="1" a="1"/>
  <c r="O1251" i="1" a="1"/>
  <c r="O1222" i="1" a="1"/>
  <c r="O1812" i="1" a="1"/>
  <c r="O1208" i="1" a="1"/>
  <c r="O2151" i="1" a="1"/>
  <c r="O1713" i="1" a="1"/>
  <c r="O2366" i="1" a="1"/>
  <c r="O918" i="1" a="1"/>
  <c r="O1462" i="1" a="1"/>
  <c r="O2100" i="1" a="1"/>
  <c r="O2088" i="1" a="1"/>
  <c r="O2386" i="1" a="1"/>
  <c r="O1044" i="1" a="1"/>
  <c r="O895" i="1" a="1"/>
  <c r="O1743" i="1" a="1"/>
  <c r="O1061" i="1" a="1"/>
  <c r="O725" i="1" a="1"/>
  <c r="O1001" i="1" a="1"/>
  <c r="O84" i="1" a="1"/>
  <c r="O1011" i="1" a="1"/>
  <c r="O1778" i="1" a="1"/>
  <c r="O1709" i="1" a="1"/>
  <c r="O1691" i="1" a="1"/>
  <c r="O935" i="1" a="1"/>
  <c r="O1547" i="1" a="1"/>
  <c r="O747" i="1" a="1"/>
  <c r="O219" i="1" a="1"/>
  <c r="O114" i="1" a="1"/>
  <c r="O6" i="1" a="1"/>
  <c r="O1651" i="1" a="1"/>
  <c r="O738" i="1" a="1"/>
  <c r="O794" i="1" a="1"/>
  <c r="O120" i="1" a="1"/>
  <c r="O483" i="1" a="1"/>
  <c r="O808" i="1" a="1"/>
  <c r="O505" i="1" a="1"/>
  <c r="O1827" i="1" a="1"/>
  <c r="O1706" i="1" a="1"/>
  <c r="O1477" i="1" a="1"/>
  <c r="O1817" i="1" a="1"/>
  <c r="O2207" i="1" a="1"/>
  <c r="O1376" i="1" a="1"/>
  <c r="O1291" i="1" a="1"/>
  <c r="O1764" i="1" a="1"/>
  <c r="O1641" i="1" a="1"/>
  <c r="O2036" i="1" a="1"/>
  <c r="O1988" i="1" a="1"/>
  <c r="O1178" i="1" a="1"/>
  <c r="O1801" i="1" a="1"/>
  <c r="O2359" i="1" a="1"/>
  <c r="O2098" i="1" a="1"/>
  <c r="O984" i="1" a="1"/>
  <c r="O1751" i="1" a="1"/>
  <c r="O1532" i="1" a="1"/>
  <c r="O1567" i="1" a="1"/>
  <c r="O2160" i="1" a="1"/>
  <c r="O1185" i="1" a="1"/>
  <c r="O1657" i="1" a="1"/>
  <c r="O1515" i="1" a="1"/>
  <c r="O2035" i="1" a="1"/>
  <c r="O1785" i="1" a="1"/>
  <c r="O1707" i="1" a="1"/>
  <c r="O1546" i="1" a="1"/>
  <c r="O2266" i="1" a="1"/>
  <c r="O1627" i="1" a="1"/>
  <c r="O2208" i="1" a="1"/>
  <c r="O796" i="1" a="1"/>
  <c r="O887" i="1" a="1"/>
  <c r="O170" i="1" a="1"/>
  <c r="O890" i="1" a="1"/>
  <c r="O605" i="1" a="1"/>
  <c r="O1510" i="1" a="1"/>
  <c r="O1063" i="1" a="1"/>
  <c r="O1992" i="1" a="1"/>
  <c r="O1394" i="1" a="1"/>
  <c r="O1892" i="1" a="1"/>
  <c r="O1849" i="1" a="1"/>
  <c r="O1830" i="1" a="1"/>
  <c r="O2105" i="1" a="1"/>
  <c r="O1209" i="1" a="1"/>
  <c r="O292" i="1" a="1"/>
  <c r="O1057" i="1" a="1"/>
  <c r="O2240" i="1" a="1"/>
  <c r="O2307" i="1" a="1"/>
  <c r="O496" i="1" a="1"/>
  <c r="O549" i="1" a="1"/>
  <c r="O2226" i="1" a="1"/>
  <c r="O693" i="1" a="1"/>
  <c r="O1299" i="1" a="1"/>
  <c r="O942" i="1" a="1"/>
  <c r="O1244" i="1" a="1"/>
  <c r="O728" i="1" a="1"/>
  <c r="O1020" i="1" a="1"/>
  <c r="O746" i="1" a="1"/>
  <c r="O1486" i="1" a="1"/>
  <c r="O1105" i="1" a="1"/>
  <c r="O1597" i="1" a="1"/>
  <c r="O621" i="1" a="1"/>
  <c r="O625" i="1" a="1"/>
  <c r="O347" i="1" a="1"/>
  <c r="O968" i="1" a="1"/>
  <c r="O351" i="1" a="1"/>
  <c r="O1348" i="1" a="1"/>
  <c r="O1317" i="1" a="1"/>
  <c r="O709" i="1" a="1"/>
  <c r="O2065" i="1" a="1"/>
  <c r="O2395" i="1" a="1"/>
  <c r="O1574" i="1" a="1"/>
  <c r="O741" i="1" a="1"/>
  <c r="O2286" i="1" a="1"/>
  <c r="O1080" i="1" a="1"/>
  <c r="O171" i="1" a="1"/>
  <c r="O509" i="1" a="1"/>
  <c r="O2096" i="1" a="1"/>
  <c r="O882" i="1" a="1"/>
  <c r="O1793" i="1" a="1"/>
  <c r="O567" i="1" a="1"/>
  <c r="O2165" i="1" a="1"/>
  <c r="O1480" i="1" a="1"/>
  <c r="O308" i="1" a="1"/>
  <c r="O312" i="1" a="1"/>
  <c r="O165" i="1" a="1"/>
  <c r="O1448" i="1" a="1"/>
  <c r="O575" i="1" a="1"/>
  <c r="O168" i="1" a="1"/>
  <c r="O2111" i="1" a="1"/>
  <c r="O1580" i="1" a="1"/>
  <c r="O701" i="1" a="1"/>
  <c r="O367" i="1" a="1"/>
  <c r="O1544" i="1" a="1"/>
  <c r="O1077" i="1" a="1"/>
  <c r="O1270" i="1" a="1"/>
  <c r="O1647" i="1" a="1"/>
  <c r="O146" i="1" a="1"/>
  <c r="O1312" i="1" a="1"/>
  <c r="O1297" i="1" a="1"/>
  <c r="O618" i="1" a="1"/>
  <c r="O125" i="1" a="1"/>
  <c r="O1146" i="1" a="1"/>
  <c r="O398" i="1" a="1"/>
  <c r="O97" i="1" a="1"/>
  <c r="O2210" i="1" a="1"/>
  <c r="O719" i="1" a="1"/>
  <c r="O1133" i="1" a="1"/>
  <c r="O1164" i="1" a="1"/>
  <c r="O1816" i="1" a="1"/>
  <c r="O2326" i="1" a="1"/>
  <c r="O623" i="1" a="1"/>
  <c r="O1280" i="1" a="1"/>
  <c r="O1166" i="1" a="1"/>
  <c r="O1240" i="1" a="1"/>
  <c r="O1353" i="1" a="1"/>
  <c r="O187" i="1" a="1"/>
  <c r="O1453" i="1" a="1"/>
  <c r="O671" i="1" a="1"/>
  <c r="O93" i="1" a="1"/>
  <c r="O264" i="1" a="1"/>
  <c r="O313" i="1" a="1"/>
  <c r="O1471" i="1" a="1"/>
  <c r="O507" i="1" a="1"/>
  <c r="O337" i="1" a="1"/>
  <c r="O620" i="1" a="1"/>
  <c r="O908" i="1" a="1"/>
  <c r="O740" i="1" a="1"/>
  <c r="O160" i="1" a="1"/>
  <c r="O1826" i="1" a="1"/>
  <c r="O1976" i="1" a="1"/>
  <c r="O274" i="1" a="1"/>
  <c r="O214" i="1" a="1"/>
  <c r="O525" i="1" a="1"/>
  <c r="O148" i="1" a="1"/>
  <c r="O123" i="1" a="1"/>
  <c r="O366" i="1" a="1"/>
  <c r="O2213" i="1" a="1"/>
  <c r="O1953" i="1" a="1"/>
  <c r="O928" i="1" a="1"/>
  <c r="O431" i="1" a="1"/>
  <c r="O1588" i="1" a="1"/>
  <c r="O391" i="1" a="1"/>
  <c r="O41" i="1" a="1"/>
  <c r="O35" i="1" a="1"/>
  <c r="O1180" i="1" a="1"/>
  <c r="O2361" i="1" a="1"/>
  <c r="O466" i="1" a="1"/>
  <c r="O2272" i="1" a="1"/>
  <c r="O327" i="1" a="1"/>
  <c r="O556" i="1" a="1"/>
  <c r="O648" i="1" a="1"/>
  <c r="O813" i="1" a="1"/>
  <c r="O717" i="1" a="1"/>
  <c r="O1669" i="1" a="1"/>
  <c r="O159" i="1" a="1"/>
  <c r="O915" i="1" a="1"/>
  <c r="O273" i="1" a="1"/>
  <c r="O574" i="1" a="1"/>
  <c r="O825" i="1" a="1"/>
  <c r="O759" i="1" a="1"/>
  <c r="O13" i="1" a="1"/>
  <c r="O369" i="1" a="1"/>
  <c r="O811" i="1" a="1"/>
  <c r="O1933" i="1" a="1"/>
  <c r="O832" i="1" a="1"/>
  <c r="O562" i="1" a="1"/>
  <c r="O2323" i="1" a="1"/>
  <c r="O396" i="1" a="1"/>
  <c r="O1549" i="1" a="1"/>
  <c r="O339" i="1" a="1"/>
  <c r="O2054" i="1" a="1"/>
  <c r="O877" i="1" a="1"/>
  <c r="O1872" i="1" a="1"/>
  <c r="O441" i="1" a="1"/>
  <c r="O11" i="1" a="1"/>
  <c r="O465" i="1" a="1"/>
  <c r="O1220" i="1" a="1"/>
  <c r="O998" i="1" a="1"/>
  <c r="O1776" i="1" a="1"/>
  <c r="O1441" i="1" a="1"/>
  <c r="O1215" i="1" a="1"/>
  <c r="O739" i="1" a="1"/>
  <c r="O695" i="1" a="1"/>
  <c r="O543" i="1" a="1"/>
  <c r="O689" i="1" a="1"/>
  <c r="O9" i="1" a="1"/>
  <c r="O307" i="1" a="1"/>
  <c r="O79" i="1" a="1"/>
  <c r="O1282" i="1" a="1"/>
  <c r="O12" i="1" a="1"/>
  <c r="O608" i="1" a="1"/>
  <c r="O141" i="1" a="1"/>
  <c r="O914" i="1" a="1"/>
  <c r="O217" i="1" a="1"/>
  <c r="O1125" i="1" a="1"/>
  <c r="O544" i="1" a="1"/>
  <c r="O66" i="1" a="1"/>
  <c r="O737" i="1" a="1"/>
  <c r="O999" i="1" a="1"/>
  <c r="O913" i="1" a="1"/>
  <c r="O635" i="1" a="1"/>
  <c r="O1362" i="1" a="1"/>
  <c r="O872" i="1" a="1"/>
  <c r="O1068" i="1" a="1"/>
  <c r="O1093" i="1" a="1"/>
  <c r="O773" i="1" a="1"/>
  <c r="O642" i="1" a="1"/>
  <c r="O1139" i="1" a="1"/>
  <c r="O589" i="1" a="1"/>
  <c r="O899" i="1" a="1"/>
  <c r="O783" i="1" a="1"/>
  <c r="O325" i="1" a="1"/>
  <c r="O1705" i="1" a="1"/>
  <c r="O683" i="1" a="1"/>
  <c r="O196" i="1" a="1"/>
  <c r="O67" i="1" a="1"/>
  <c r="O400" i="1" a="1"/>
  <c r="O952" i="1" a="1"/>
  <c r="O326" i="1" a="1"/>
  <c r="O375" i="1" a="1"/>
  <c r="O1390" i="1" a="1"/>
  <c r="O1561" i="1" a="1"/>
  <c r="O406" i="1" a="1"/>
  <c r="O281" i="1" a="1"/>
  <c r="O669" i="1" a="1"/>
  <c r="O907" i="1" a="1"/>
  <c r="O52" i="1" a="1"/>
  <c r="O1210" i="1" a="1"/>
  <c r="O980" i="1" a="1"/>
  <c r="O1122" i="1" a="1"/>
  <c r="O1956" i="1" a="1"/>
  <c r="O2245" i="1" a="1"/>
  <c r="O2335" i="1" a="1"/>
  <c r="O1863" i="1" a="1"/>
  <c r="O1459" i="1" a="1"/>
  <c r="O2019" i="1" a="1"/>
  <c r="O1275" i="1" a="1"/>
  <c r="O1756" i="1" a="1"/>
  <c r="O1162" i="1" a="1"/>
  <c r="O1671" i="1" a="1"/>
  <c r="O851" i="1" a="1"/>
  <c r="O1973" i="1" a="1"/>
  <c r="O1997" i="1" a="1"/>
  <c r="O1385" i="1" a="1"/>
  <c r="O1231" i="1" a="1"/>
  <c r="O1470" i="1" a="1"/>
  <c r="O2018" i="1" a="1"/>
  <c r="O2235" i="1" a="1"/>
  <c r="O1951" i="1" a="1"/>
  <c r="O1673" i="1" a="1"/>
  <c r="O1766" i="1" a="1"/>
  <c r="O1247" i="1" a="1"/>
  <c r="O1757" i="1" a="1"/>
  <c r="O795" i="1" a="1"/>
  <c r="O2137" i="1" a="1"/>
  <c r="O299" i="1" a="1"/>
  <c r="O1762" i="1" a="1"/>
  <c r="O1235" i="1" a="1"/>
  <c r="O266" i="1" a="1"/>
  <c r="O564" i="1" a="1"/>
  <c r="O2172" i="1" a="1"/>
  <c r="O768" i="1" a="1"/>
  <c r="O200" i="1" a="1"/>
  <c r="O1861" i="1" a="1"/>
  <c r="O1516" i="1" a="1"/>
  <c r="O1750" i="1" a="1"/>
  <c r="O672" i="1" a="1"/>
  <c r="O1927" i="1" a="1"/>
  <c r="O2083" i="1" a="1"/>
  <c r="O1844" i="1" a="1"/>
  <c r="O889" i="1" a="1"/>
  <c r="O721" i="1" a="1"/>
  <c r="O748" i="1" a="1"/>
  <c r="O1811" i="1" a="1"/>
  <c r="O1591" i="1" a="1"/>
  <c r="O1550" i="1" a="1"/>
  <c r="O1332" i="1" a="1"/>
  <c r="O1246" i="1" a="1"/>
  <c r="O1745" i="1" a="1"/>
  <c r="O869" i="1" a="1"/>
  <c r="O442" i="1" a="1"/>
  <c r="O486" i="1" a="1"/>
  <c r="O1732" i="1" a="1"/>
  <c r="O977" i="1" a="1"/>
  <c r="O156" i="1" a="1"/>
  <c r="O115" i="1" a="1"/>
  <c r="O235" i="1" a="1"/>
  <c r="O275" i="1" a="1"/>
  <c r="O82" i="1" a="1"/>
  <c r="O1906" i="1" a="1"/>
  <c r="O209" i="1" a="1"/>
  <c r="O240" i="1" a="1"/>
  <c r="O1939" i="1" a="1"/>
  <c r="O827" i="1" a="1"/>
  <c r="O987" i="1" a="1"/>
  <c r="O1431" i="1" a="1"/>
  <c r="O506" i="1" a="1"/>
  <c r="O433" i="1" a="1"/>
  <c r="O716" i="1" a="1"/>
  <c r="O100" i="1" a="1"/>
  <c r="O1143" i="1" a="1"/>
  <c r="O1014" i="1" a="1"/>
  <c r="O1491" i="1" a="1"/>
  <c r="O846" i="1" a="1"/>
  <c r="O1950" i="1" a="1"/>
  <c r="O1866" i="1" a="1"/>
  <c r="O579" i="1" a="1"/>
  <c r="O108" i="1" a="1"/>
  <c r="O129" i="1" a="1"/>
  <c r="O565" i="1" a="1"/>
  <c r="O651" i="1" a="1"/>
  <c r="O616" i="1" a="1"/>
  <c r="O1187" i="1" a="1"/>
  <c r="O1186" i="1" a="1"/>
  <c r="O282" i="1" a="1"/>
  <c r="O1232" i="1" a="1"/>
  <c r="O1639" i="1" a="1"/>
  <c r="O1168" i="1" a="1"/>
  <c r="O1884" i="1" a="1"/>
  <c r="O601" i="1" a="1"/>
  <c r="O680" i="1" a="1"/>
  <c r="O86" i="1" a="1"/>
  <c r="O4" i="1" a="1"/>
  <c r="O48" i="1" a="1"/>
  <c r="O438" i="1" a="1"/>
  <c r="O750" i="1" a="1"/>
  <c r="O305" i="1" a="1"/>
  <c r="O261" i="1" a="1"/>
  <c r="O2147" i="1" a="1"/>
  <c r="O2376" i="1" a="1"/>
  <c r="O961" i="1" a="1"/>
  <c r="O1277" i="1" a="1"/>
  <c r="O800" i="1" a="1"/>
  <c r="O603" i="1" a="1"/>
  <c r="O1040" i="1" a="1"/>
  <c r="O346" i="1" a="1"/>
  <c r="O679" i="1" a="1"/>
  <c r="O854" i="1" a="1"/>
  <c r="O352" i="1" a="1"/>
  <c r="O1724" i="1" a="1"/>
  <c r="O1043" i="1" a="1"/>
  <c r="O425" i="1" a="1"/>
  <c r="O592" i="1" a="1"/>
  <c r="O17" i="1" a="1"/>
  <c r="O15" i="1" a="1"/>
  <c r="O1191" i="1" a="1"/>
  <c r="O65" i="1" a="1"/>
  <c r="O482" i="1" a="1"/>
  <c r="O614" i="1" a="1"/>
  <c r="O536" i="1" a="1"/>
  <c r="O164" i="1" a="1"/>
  <c r="O102" i="1" a="1"/>
  <c r="O1443" i="1" a="1"/>
  <c r="O2256" i="1" a="1"/>
  <c r="O1533" i="1" a="1"/>
  <c r="O131" i="1" a="1"/>
  <c r="O817" i="1" a="1"/>
  <c r="O597" i="1" a="1"/>
  <c r="O863" i="1" a="1"/>
  <c r="O215" i="1" a="1"/>
  <c r="O1603" i="1" a="1"/>
  <c r="O663" i="1" a="1"/>
  <c r="O436" i="1" a="1"/>
  <c r="O232" i="1" a="1"/>
  <c r="O916" i="1" a="1"/>
  <c r="O1851" i="1" a="1"/>
  <c r="O350" i="1" a="1"/>
  <c r="O349" i="1" a="1"/>
  <c r="O2176" i="1" a="1"/>
  <c r="O1233" i="1" a="1"/>
  <c r="O1628" i="1" a="1"/>
  <c r="O760" i="1" a="1"/>
  <c r="O1658" i="1" a="1"/>
  <c r="O1249" i="1" a="1"/>
  <c r="O803" i="1" a="1"/>
  <c r="O1876" i="1" a="1"/>
  <c r="O216" i="1" a="1"/>
  <c r="O1963" i="1" a="1"/>
  <c r="O260" i="1" a="1"/>
  <c r="O558" i="1" a="1"/>
  <c r="O871" i="1" a="1"/>
  <c r="O2200" i="1" a="1"/>
  <c r="O957" i="1" a="1"/>
  <c r="O317" i="1" a="1"/>
  <c r="O414" i="1" a="1"/>
  <c r="O1513" i="1" a="1"/>
  <c r="O787" i="1" a="1"/>
  <c r="O583" i="1" a="1"/>
  <c r="O793" i="1" a="1"/>
  <c r="O1395" i="1" a="1"/>
  <c r="O392" i="1" a="1"/>
  <c r="O136" i="1" a="1"/>
  <c r="O411" i="1" a="1"/>
  <c r="O2253" i="1" a="1"/>
  <c r="O29" i="1" a="1"/>
  <c r="O1475" i="1" a="1"/>
  <c r="O89" i="1" a="1"/>
  <c r="O1579" i="1" a="1"/>
  <c r="O1336" i="1" a="1"/>
  <c r="O537" i="1" a="1"/>
  <c r="O320" i="1" a="1"/>
  <c r="O1241" i="1" a="1"/>
  <c r="O1501" i="1" a="1"/>
  <c r="O1153" i="1" a="1"/>
  <c r="O8" i="1" a="1"/>
  <c r="O1842" i="1" a="1"/>
  <c r="O522" i="1" a="1"/>
  <c r="O570" i="1" a="1"/>
  <c r="O876" i="1" a="1"/>
  <c r="O1664" i="1" a="1"/>
  <c r="O1062" i="1" a="1"/>
  <c r="O1723" i="1" a="1"/>
  <c r="O1097" i="1" a="1"/>
  <c r="O540" i="1" a="1"/>
  <c r="O755" i="1" a="1"/>
  <c r="O294" i="1" a="1"/>
  <c r="O1689" i="1" a="1"/>
  <c r="O1004" i="1" a="1"/>
  <c r="O1684" i="1" a="1"/>
  <c r="O301" i="1" a="1"/>
  <c r="O1600" i="1" a="1"/>
  <c r="O541" i="1" a="1"/>
  <c r="O28" i="1" a="1"/>
  <c r="O211" i="1" a="1"/>
  <c r="O24" i="1" a="1"/>
  <c r="O459" i="1" a="1"/>
  <c r="O213" i="1" a="1"/>
  <c r="O958" i="1" a="1"/>
  <c r="O145" i="1" a="1"/>
  <c r="O585" i="1" a="1"/>
  <c r="O249" i="1" a="1"/>
  <c r="O1545" i="1" a="1"/>
  <c r="O2113" i="1" a="1"/>
  <c r="O1765" i="1" a="1"/>
  <c r="O1887" i="1" a="1"/>
  <c r="O1804" i="1" a="1"/>
  <c r="O526" i="1" a="1"/>
  <c r="O462" i="1" a="1"/>
  <c r="O1410" i="1" a="1"/>
  <c r="O1053" i="1" a="1"/>
  <c r="O1572" i="1" a="1"/>
  <c r="O1195" i="1" a="1"/>
  <c r="O1464" i="1" a="1"/>
  <c r="O1593" i="1" a="1"/>
  <c r="O1736" i="1" a="1"/>
  <c r="O188" i="1" a="1"/>
  <c r="O1760" i="1" a="1"/>
  <c r="O1901" i="1" a="1"/>
  <c r="O2142" i="1" a="1"/>
  <c r="O1974" i="1" a="1"/>
  <c r="O1512" i="1" a="1"/>
  <c r="O1307" i="1" a="1"/>
  <c r="O2178" i="1" a="1"/>
  <c r="O1769" i="1" a="1"/>
  <c r="O897" i="1" a="1"/>
  <c r="O2143" i="1" a="1"/>
  <c r="O756" i="1" a="1"/>
  <c r="O963" i="1" a="1"/>
  <c r="O2064" i="1" a="1"/>
  <c r="O1886" i="1" a="1"/>
  <c r="O1467" i="1" a="1"/>
  <c r="O2159" i="1" a="1"/>
  <c r="O2306" i="1" a="1"/>
  <c r="O1911" i="1" a="1"/>
  <c r="O1557" i="1" a="1"/>
  <c r="O2186" i="1" a="1"/>
  <c r="O1496" i="1" a="1"/>
  <c r="O2067" i="1" a="1"/>
  <c r="O1113" i="1" a="1"/>
  <c r="O1825" i="1" a="1"/>
  <c r="O2356" i="1" a="1"/>
  <c r="O1000" i="1" a="1"/>
  <c r="O1401" i="1" a="1"/>
  <c r="O1211" i="1" a="1"/>
  <c r="O2334" i="1" a="1"/>
  <c r="O1805" i="1" a="1"/>
  <c r="O1594" i="1" a="1"/>
  <c r="O866" i="1" a="1"/>
  <c r="O1620" i="1" a="1"/>
  <c r="O639" i="1" a="1"/>
  <c r="O2355" i="1" a="1"/>
  <c r="O1490" i="1" a="1"/>
  <c r="O1126" i="1" a="1"/>
  <c r="O47" i="1" a="1"/>
  <c r="O1386" i="1" a="1"/>
  <c r="O1563" i="1" a="1"/>
  <c r="O1562" i="1" a="1"/>
  <c r="O422" i="1" a="1"/>
  <c r="O2274" i="1" a="1"/>
  <c r="O1358" i="1" a="1"/>
  <c r="O675" i="1" a="1"/>
  <c r="O184" i="1" a="1"/>
  <c r="O1869" i="1" a="1"/>
  <c r="O1476" i="1" a="1"/>
  <c r="O1294" i="1" a="1"/>
  <c r="O1261" i="1" a="1"/>
  <c r="O1683" i="1" a="1"/>
  <c r="O967" i="1" a="1"/>
  <c r="O921" i="1" a="1"/>
  <c r="O711" i="1" a="1"/>
  <c r="O622" i="1" a="1"/>
  <c r="O162" i="1" a="1"/>
  <c r="O1859" i="1" a="1"/>
  <c r="O692" i="1" a="1"/>
  <c r="O1814" i="1" a="1"/>
  <c r="O1279" i="1" a="1"/>
  <c r="O111" i="1" a="1"/>
  <c r="O61" i="1" a="1"/>
  <c r="O532" i="1" a="1"/>
  <c r="O1243" i="1" a="1"/>
  <c r="O480" i="1" a="1"/>
  <c r="O1023" i="1" a="1"/>
  <c r="O979" i="1" a="1"/>
  <c r="O1217" i="1" a="1"/>
  <c r="O231" i="1" a="1"/>
  <c r="O223" i="1" a="1"/>
  <c r="O107" i="1" a="1"/>
  <c r="O2337" i="1" a="1"/>
  <c r="O983" i="1" a="1"/>
  <c r="O151" i="1" a="1"/>
  <c r="O2184" i="1" a="1"/>
  <c r="O831" i="1" a="1"/>
  <c r="O843" i="1" a="1"/>
  <c r="O1696" i="1" a="1"/>
  <c r="O632" i="1" a="1"/>
  <c r="O824" i="1" a="1"/>
  <c r="O2055" i="1" a="1"/>
  <c r="O548" i="1" a="1"/>
  <c r="O2168" i="1" a="1"/>
  <c r="O1066" i="1" a="1"/>
  <c r="O1154" i="1" a="1"/>
  <c r="O1364" i="1" a="1"/>
  <c r="O126" i="1" a="1"/>
  <c r="O1350" i="1" a="1"/>
  <c r="O402" i="1" a="1"/>
  <c r="O116" i="1" a="1"/>
  <c r="O470" i="1" a="1"/>
  <c r="O705" i="1" a="1"/>
  <c r="O455" i="1" a="1"/>
  <c r="O54" i="1" a="1"/>
  <c r="O68" i="1" a="1"/>
  <c r="O2351" i="1" a="1"/>
  <c r="O283" i="1" a="1"/>
  <c r="O259" i="1" a="1"/>
  <c r="O354" i="1" a="1"/>
  <c r="O948" i="1" a="1"/>
  <c r="O1149" i="1" a="1"/>
  <c r="O1151" i="1" a="1"/>
  <c r="O413" i="1" a="1"/>
  <c r="O511" i="1" a="1"/>
  <c r="O745" i="1" a="1"/>
  <c r="O578" i="1" a="1"/>
  <c r="O521" i="1" a="1"/>
  <c r="O434" i="1" a="1"/>
  <c r="O554" i="1" a="1"/>
  <c r="O293" i="1" a="1"/>
  <c r="O2372" i="1" a="1"/>
  <c r="O2063" i="1" a="1"/>
  <c r="O2350" i="1" a="1"/>
  <c r="O920" i="1" a="1"/>
  <c r="O1895" i="1" a="1"/>
  <c r="O819" i="1" a="1"/>
  <c r="O1523" i="1" a="1"/>
  <c r="O718" i="1" a="1"/>
  <c r="O2271" i="1" a="1"/>
  <c r="O971" i="1" a="1"/>
  <c r="O1850" i="1" a="1"/>
  <c r="O279" i="1" a="1"/>
  <c r="O594" i="1" a="1"/>
  <c r="O991" i="1" a="1"/>
  <c r="O94" i="1" a="1"/>
  <c r="O44" i="1" a="1"/>
  <c r="O781" i="1" a="1"/>
  <c r="O1266" i="1" a="1"/>
  <c r="O595" i="1" a="1"/>
  <c r="O646" i="1" a="1"/>
  <c r="O2374" i="1" a="1"/>
  <c r="O1514" i="1" a="1"/>
  <c r="O409" i="1" a="1"/>
  <c r="O158" i="1" a="1"/>
  <c r="O344" i="1" a="1"/>
  <c r="O1378" i="1" a="1"/>
  <c r="O1916" i="1" a="1"/>
  <c r="O291" i="1" a="1"/>
  <c r="O21" i="1" a="1"/>
  <c r="O236" i="1" a="1"/>
  <c r="O155" i="1" a="1"/>
  <c r="O319" i="1" a="1"/>
  <c r="O722" i="1" a="1"/>
  <c r="O1955" i="1" a="1"/>
  <c r="O2290" i="1" a="1"/>
  <c r="O420" i="1" a="1"/>
  <c r="O106" i="1" a="1"/>
  <c r="O1306" i="1" a="1"/>
  <c r="O150" i="1" a="1"/>
  <c r="O386" i="1" a="1"/>
  <c r="O744" i="1" a="1"/>
  <c r="O2382" i="1" a="1"/>
  <c r="O1472" i="1" a="1"/>
  <c r="O930" i="1" a="1"/>
  <c r="O423" i="1" a="1"/>
  <c r="O557" i="1" a="1"/>
  <c r="O776" i="1" a="1"/>
  <c r="O2312" i="1" a="1"/>
  <c r="O777" i="1" a="1"/>
  <c r="O96" i="1" a="1"/>
  <c r="O271" i="1" a="1"/>
  <c r="O2153" i="1" a="1"/>
  <c r="O289" i="1" a="1"/>
  <c r="O1256" i="1" a="1"/>
  <c r="O934" i="1" a="1"/>
  <c r="O280" i="1" a="1"/>
  <c r="O276" i="1" a="1"/>
  <c r="O1127" i="1" a="1"/>
  <c r="O1414" i="1" a="1"/>
  <c r="O2126" i="1" a="1"/>
  <c r="O898" i="1" a="1"/>
  <c r="O376" i="1" a="1"/>
  <c r="O613" i="1" a="1"/>
  <c r="O1582" i="1" a="1"/>
  <c r="O2033" i="1" a="1"/>
  <c r="O838" i="1" a="1"/>
  <c r="O2139" i="1" a="1"/>
  <c r="O647" i="1" a="1"/>
  <c r="O295" i="1" a="1"/>
  <c r="O1190" i="1" a="1"/>
  <c r="O452" i="1" a="1"/>
  <c r="O380" i="1" a="1"/>
  <c r="O1389" i="1" a="1"/>
  <c r="O1862" i="1" a="1"/>
  <c r="O879" i="1" a="1"/>
  <c r="O474" i="1" a="1"/>
  <c r="O407" i="1" a="1"/>
  <c r="O210" i="1" a="1"/>
  <c r="O1715" i="1" a="1"/>
  <c r="O197" i="1" a="1"/>
  <c r="O1271" i="1" a="1"/>
  <c r="O519" i="1" a="1"/>
  <c r="O467" i="1" a="1"/>
  <c r="O179" i="1" a="1"/>
  <c r="O1604" i="1" a="1"/>
  <c r="O1131" i="1" a="1"/>
  <c r="O10" i="1" a="1"/>
  <c r="O92" i="1" a="1"/>
  <c r="O1399" i="1" a="1"/>
  <c r="O31" i="1" a="1"/>
  <c r="O590" i="1" a="1"/>
  <c r="O820" i="1" a="1"/>
  <c r="O113" i="1" a="1"/>
  <c r="O1710" i="1" a="1"/>
  <c r="O1392" i="1" a="1"/>
  <c r="O1537" i="1" a="1"/>
  <c r="O552" i="1" a="1"/>
  <c r="O1412" i="1" a="1"/>
  <c r="O62" i="1" a="1"/>
  <c r="O1002" i="1" a="1"/>
  <c r="O766" i="1" a="1"/>
  <c r="O1931" i="1" a="1"/>
  <c r="O682" i="1" a="1"/>
  <c r="O1463" i="1" a="1"/>
  <c r="O1006" i="1" a="1"/>
  <c r="O1913" i="1" a="1"/>
  <c r="O1635" i="1" a="1"/>
  <c r="O852" i="1" a="1"/>
  <c r="O190" i="1" a="1"/>
  <c r="O1203" i="1" a="1"/>
  <c r="O385" i="1" a="1"/>
  <c r="O1372" i="1" a="1"/>
  <c r="O1616" i="1" a="1"/>
  <c r="O134" i="1" a="1"/>
  <c r="O667" i="1" a="1"/>
  <c r="O221" i="1" a="1"/>
  <c r="O757" i="1" a="1"/>
  <c r="O1508" i="1" a="1"/>
  <c r="O25" i="1" a="1"/>
  <c r="O1739" i="1" a="1"/>
  <c r="O265" i="1" a="1"/>
  <c r="O924" i="1" a="1"/>
  <c r="O891" i="1" a="1"/>
  <c r="O46" i="1" a="1"/>
  <c r="O381" i="1" a="1"/>
  <c r="O1867" i="1" a="1"/>
  <c r="O690" i="1" a="1"/>
  <c r="O1012" i="1" a="1"/>
  <c r="O584" i="1" a="1"/>
  <c r="O1267" i="1" a="1"/>
  <c r="O2085" i="1" a="1"/>
  <c r="O1905" i="1" a="1"/>
  <c r="O153" i="1" a="1"/>
  <c r="O166" i="1" a="1"/>
  <c r="O2241" i="1" a="1"/>
  <c r="O662" i="1" a="1"/>
  <c r="O296" i="1" a="1"/>
  <c r="O2267" i="1" a="1"/>
  <c r="O904" i="1" a="1"/>
  <c r="O37" i="1" a="1"/>
  <c r="O27" i="1" a="1"/>
  <c r="O1569" i="1" a="1"/>
  <c r="O1813" i="1" a="1"/>
  <c r="O186" i="1" a="1"/>
  <c r="O342" i="1" a="1"/>
  <c r="O449" i="1" a="1"/>
  <c r="O51" i="1" a="1"/>
  <c r="O859" i="1" a="1"/>
  <c r="O2285" i="1" a="1"/>
  <c r="O1846" i="1" a="1"/>
  <c r="O2077" i="1" a="1"/>
  <c r="O1957" i="1" a="1"/>
  <c r="O1858" i="1" a="1"/>
  <c r="O1259" i="1" a="1"/>
  <c r="O444" i="1" a="1"/>
  <c r="O2049" i="1" a="1"/>
  <c r="O300" i="1" a="1"/>
  <c r="O2161" i="1" a="1"/>
  <c r="O1960" i="1" a="1"/>
  <c r="O498" i="1" a="1"/>
  <c r="O1320" i="1" a="1"/>
  <c r="O1986" i="1" a="1"/>
  <c r="O408" i="1" a="1"/>
  <c r="O246" i="1" a="1"/>
  <c r="O2322" i="1" a="1"/>
  <c r="O1461" i="1" a="1"/>
  <c r="O893" i="1" a="1"/>
  <c r="O1622" i="1" a="1"/>
  <c r="O1965" i="1" a="1"/>
  <c r="O1175" i="1" a="1"/>
  <c r="O1078" i="1" a="1"/>
  <c r="O840" i="1" a="1"/>
  <c r="O2146" i="1" a="1"/>
  <c r="O1377" i="1" a="1"/>
  <c r="O363" i="1" a="1"/>
  <c r="O1577" i="1" a="1"/>
  <c r="O1780" i="1" a="1"/>
  <c r="O1439" i="1" a="1"/>
  <c r="O2121" i="1" a="1"/>
  <c r="O2228" i="1" a="1"/>
  <c r="O177" i="1" a="1"/>
  <c r="O988" i="1" a="1"/>
  <c r="O1442" i="1" a="1"/>
  <c r="O1772" i="1" a="1"/>
  <c r="O2089" i="1" a="1"/>
  <c r="O706" i="1" a="1"/>
  <c r="O2154" i="1" a="1"/>
  <c r="O674" i="1" a="1"/>
  <c r="O673" i="1" a="1"/>
  <c r="O1110" i="1" a="1"/>
  <c r="O1418" i="1" a="1"/>
  <c r="O1082" i="1" a="1"/>
  <c r="O118" i="1" a="1"/>
  <c r="O175" i="1" a="1"/>
  <c r="O1089" i="1" a="1"/>
  <c r="O733" i="1" a="1"/>
  <c r="O2141" i="1" a="1"/>
  <c r="O1413" i="1" a="1"/>
  <c r="O458" i="1" a="1"/>
  <c r="O1474" i="1" a="1"/>
  <c r="O140" i="1" a="1"/>
  <c r="O1130" i="1" a="1"/>
  <c r="O127" i="1" a="1"/>
  <c r="O1375" i="1" a="1"/>
  <c r="O1457" i="1" a="1"/>
  <c r="O1328" i="1" a="1"/>
  <c r="O1314" i="1" a="1"/>
  <c r="O1059" i="1" a="1"/>
  <c r="O1054" i="1" a="1"/>
  <c r="O926" i="1" a="1"/>
  <c r="O1316" i="1" a="1"/>
  <c r="O1234" i="1" a="1"/>
  <c r="O1935" i="1" a="1"/>
  <c r="O917" i="1" a="1"/>
  <c r="O494" i="1" a="1"/>
  <c r="O518" i="1" a="1"/>
  <c r="O30" i="1" a="1"/>
  <c r="O951" i="1" a="1"/>
  <c r="O252" i="1" a="1"/>
  <c r="O657" i="1" a="1"/>
  <c r="O1799" i="1" a="1"/>
  <c r="O324" i="1" a="1"/>
  <c r="O95" i="1" a="1"/>
  <c r="O900" i="1" a="1"/>
  <c r="O309" i="1" a="1"/>
  <c r="O332" i="1" a="1"/>
  <c r="O448" i="1" a="1"/>
  <c r="O1205" i="1" a="1"/>
  <c r="O69" i="1" a="1"/>
  <c r="O201" i="1" a="1"/>
  <c r="O194" i="1" a="1"/>
  <c r="O1025" i="1" a="1"/>
  <c r="O418" i="1" a="1"/>
  <c r="O2201" i="1" a="1"/>
  <c r="O524" i="1" a="1"/>
  <c r="O1674" i="1" a="1"/>
  <c r="O1686" i="1" a="1"/>
  <c r="O1045" i="1" a="1"/>
  <c r="O513" i="1" a="1"/>
  <c r="O1383" i="1" a="1"/>
  <c r="O1396" i="1" a="1"/>
  <c r="O208" i="1" a="1"/>
  <c r="O338" i="1" a="1"/>
  <c r="O1017" i="1" a="1"/>
  <c r="O1971" i="1" a="1"/>
  <c r="O1171" i="1" a="1"/>
  <c r="O1746" i="1" a="1"/>
  <c r="O1223" i="1" a="1"/>
  <c r="O1434" i="1" a="1"/>
  <c r="O2114" i="1" a="1"/>
  <c r="O1200" i="1" a="1"/>
  <c r="O1485" i="1" a="1"/>
  <c r="O57" i="1" a="1"/>
  <c r="O1487" i="1" a="1"/>
  <c r="O1703" i="1" a="1"/>
  <c r="O779" i="1" a="1"/>
  <c r="O1100" i="1" a="1"/>
  <c r="O631" i="1" a="1"/>
  <c r="O1738" i="1" a="1"/>
  <c r="O939" i="1" a="1"/>
  <c r="O1048" i="1" a="1"/>
  <c r="O1031" i="1" a="1"/>
  <c r="O644" i="1" a="1"/>
  <c r="O598" i="1" a="1"/>
  <c r="O1455" i="1" a="1"/>
  <c r="O1885" i="1" a="1"/>
  <c r="O311" i="1" a="1"/>
  <c r="O561" i="1" a="1"/>
  <c r="O284" i="1" a="1"/>
  <c r="O649" i="1" a="1"/>
  <c r="O244" i="1" a="1"/>
  <c r="O303" i="1" a="1"/>
  <c r="O229" i="1" a="1"/>
  <c r="O1883" i="1" a="1"/>
  <c r="O343" i="1" a="1"/>
  <c r="O77" i="1" a="1"/>
  <c r="O26" i="1" a="1"/>
  <c r="O5" i="1" a="1"/>
  <c r="O1783" i="1" a="1"/>
  <c r="O1879" i="1" a="1"/>
  <c r="O974" i="1" a="1"/>
  <c r="O788" i="1" a="1"/>
  <c r="O1033" i="1" a="1"/>
  <c r="O742" i="1" a="1"/>
  <c r="O426" i="1" a="1"/>
  <c r="O1536" i="1" a="1"/>
  <c r="O1521" i="1" a="1"/>
  <c r="O285" i="1" a="1"/>
  <c r="O1248" i="1" a="1"/>
  <c r="O38" i="1" a="1"/>
  <c r="O372" i="1" a="1"/>
  <c r="O687" i="1" a="1"/>
  <c r="O1283" i="1" a="1"/>
  <c r="O429" i="1" a="1"/>
  <c r="O1636" i="1" a="1"/>
  <c r="O612" i="1" a="1"/>
  <c r="O1999" i="1" a="1"/>
  <c r="O416" i="1" a="1"/>
  <c r="O1296" i="1" a="1"/>
  <c r="O500" i="1" a="1"/>
  <c r="O688" i="1" a="1"/>
  <c r="O36" i="1" a="1"/>
  <c r="O220" i="1" a="1"/>
  <c r="O841" i="1" a="1"/>
  <c r="O2276" i="1" a="1"/>
  <c r="O390" i="1" a="1"/>
  <c r="O475" i="1" a="1"/>
  <c r="O250" i="1" a="1"/>
  <c r="O489" i="1" a="1"/>
  <c r="O290" i="1" a="1"/>
  <c r="O130" i="1" a="1"/>
  <c r="O401" i="1" a="1"/>
  <c r="O818" i="1" a="1"/>
  <c r="O1914" i="1" a="1"/>
  <c r="O71" i="1" a="1"/>
  <c r="O953" i="1" a="1"/>
  <c r="O180" i="1" a="1"/>
  <c r="O572" i="1" a="1"/>
  <c r="O664" i="1" a="1"/>
  <c r="O453" i="1" a="1"/>
  <c r="O222" i="1" a="1"/>
  <c r="O109" i="1" a="1"/>
  <c r="O492" i="1" a="1"/>
  <c r="O1176" i="1" a="1"/>
  <c r="O1204" i="1" a="1"/>
  <c r="O729" i="1" a="1"/>
  <c r="O1518" i="1" a="1"/>
  <c r="O1321" i="1" a="1"/>
  <c r="O437" i="1" a="1"/>
  <c r="O2223" i="1" a="1"/>
  <c r="O1179" i="1" a="1"/>
  <c r="O762" i="1" a="1"/>
  <c r="O1196" i="1" a="1"/>
  <c r="O1428" i="1" a="1"/>
  <c r="O43" i="1" a="1"/>
  <c r="O1236" i="1" a="1"/>
  <c r="O353" i="1" a="1"/>
  <c r="O1091" i="1" a="1"/>
  <c r="O1150" i="1" a="1"/>
  <c r="O530" i="1" a="1"/>
  <c r="O1771" i="1" a="1"/>
  <c r="O157" i="1" a="1"/>
  <c r="O1435" i="1" a="1"/>
  <c r="O996" i="1" a="1"/>
  <c r="O1848" i="1" a="1"/>
  <c r="O546" i="1" a="1"/>
  <c r="O508" i="1" a="1"/>
  <c r="O508" i="1" l="1"/>
  <c r="O546" i="1"/>
  <c r="O1848" i="1"/>
  <c r="O996" i="1"/>
  <c r="O1435" i="1"/>
  <c r="O157" i="1"/>
  <c r="O1771" i="1"/>
  <c r="O530" i="1"/>
  <c r="O1150" i="1"/>
  <c r="O1091" i="1"/>
  <c r="O353" i="1"/>
  <c r="O1236" i="1"/>
  <c r="O43" i="1"/>
  <c r="O1428" i="1"/>
  <c r="O1196" i="1"/>
  <c r="O762" i="1"/>
  <c r="O1179" i="1"/>
  <c r="O2223" i="1"/>
  <c r="O437" i="1"/>
  <c r="O1321" i="1"/>
  <c r="O1518" i="1"/>
  <c r="O729" i="1"/>
  <c r="O1204" i="1"/>
  <c r="O1176" i="1"/>
  <c r="O492" i="1"/>
  <c r="O109" i="1"/>
  <c r="O222" i="1"/>
  <c r="O453" i="1"/>
  <c r="O664" i="1"/>
  <c r="O572" i="1"/>
  <c r="O180" i="1"/>
  <c r="O953" i="1"/>
  <c r="O71" i="1"/>
  <c r="O1914" i="1"/>
  <c r="O818" i="1"/>
  <c r="O401" i="1"/>
  <c r="O130" i="1"/>
  <c r="O290" i="1"/>
  <c r="O489" i="1"/>
  <c r="O250" i="1"/>
  <c r="O475" i="1"/>
  <c r="O390" i="1"/>
  <c r="O2276" i="1"/>
  <c r="O841" i="1"/>
  <c r="O220" i="1"/>
  <c r="O36" i="1"/>
  <c r="O688" i="1"/>
  <c r="O500" i="1"/>
  <c r="O1296" i="1"/>
  <c r="O416" i="1"/>
  <c r="O1999" i="1"/>
  <c r="O612" i="1"/>
  <c r="O1636" i="1"/>
  <c r="O429" i="1"/>
  <c r="O1283" i="1"/>
  <c r="O687" i="1"/>
  <c r="O372" i="1"/>
  <c r="O38" i="1"/>
  <c r="O1248" i="1"/>
  <c r="O285" i="1"/>
  <c r="O1521" i="1"/>
  <c r="O1536" i="1"/>
  <c r="O426" i="1"/>
  <c r="O742" i="1"/>
  <c r="O1033" i="1"/>
  <c r="O788" i="1"/>
  <c r="O974" i="1"/>
  <c r="O1879" i="1"/>
  <c r="O1783" i="1"/>
  <c r="O5" i="1"/>
  <c r="O26" i="1"/>
  <c r="O77" i="1"/>
  <c r="O343" i="1"/>
  <c r="O1883" i="1"/>
  <c r="O229" i="1"/>
  <c r="O303" i="1"/>
  <c r="O244" i="1"/>
  <c r="O649" i="1"/>
  <c r="O284" i="1"/>
  <c r="O561" i="1"/>
  <c r="O311" i="1"/>
  <c r="O1885" i="1"/>
  <c r="O1455" i="1"/>
  <c r="O598" i="1"/>
  <c r="O644" i="1"/>
  <c r="O1031" i="1"/>
  <c r="O1048" i="1"/>
  <c r="O939" i="1"/>
  <c r="O1738" i="1"/>
  <c r="O631" i="1"/>
  <c r="O1100" i="1"/>
  <c r="O779" i="1"/>
  <c r="O1703" i="1"/>
  <c r="O1487" i="1"/>
  <c r="O57" i="1"/>
  <c r="O1485" i="1"/>
  <c r="O1200" i="1"/>
  <c r="O2114" i="1"/>
  <c r="O1434" i="1"/>
  <c r="O1223" i="1"/>
  <c r="O1746" i="1"/>
  <c r="O1171" i="1"/>
  <c r="O1971" i="1"/>
  <c r="O1017" i="1"/>
  <c r="O338" i="1"/>
  <c r="O208" i="1"/>
  <c r="O1396" i="1"/>
  <c r="O1383" i="1"/>
  <c r="O513" i="1"/>
  <c r="O1045" i="1"/>
  <c r="O1686" i="1"/>
  <c r="O1674" i="1"/>
  <c r="O524" i="1"/>
  <c r="O2201" i="1"/>
  <c r="O418" i="1"/>
  <c r="O1025" i="1"/>
  <c r="O194" i="1"/>
  <c r="O201" i="1"/>
  <c r="O69" i="1"/>
  <c r="O1205" i="1"/>
  <c r="O448" i="1"/>
  <c r="O332" i="1"/>
  <c r="O309" i="1"/>
  <c r="O900" i="1"/>
  <c r="O95" i="1"/>
  <c r="O324" i="1"/>
  <c r="O1799" i="1"/>
  <c r="O657" i="1"/>
  <c r="O252" i="1"/>
  <c r="O951" i="1"/>
  <c r="O30" i="1"/>
  <c r="O518" i="1"/>
  <c r="O494" i="1"/>
  <c r="O917" i="1"/>
  <c r="O1935" i="1"/>
  <c r="O1234" i="1"/>
  <c r="O1316" i="1"/>
  <c r="O926" i="1"/>
  <c r="O1054" i="1"/>
  <c r="O1059" i="1"/>
  <c r="O1314" i="1"/>
  <c r="O1328" i="1"/>
  <c r="O1457" i="1"/>
  <c r="O1375" i="1"/>
  <c r="O127" i="1"/>
  <c r="O1130" i="1"/>
  <c r="O140" i="1"/>
  <c r="O1474" i="1"/>
  <c r="O458" i="1"/>
  <c r="O1413" i="1"/>
  <c r="O2141" i="1"/>
  <c r="O733" i="1"/>
  <c r="O1089" i="1"/>
  <c r="O175" i="1"/>
  <c r="O118" i="1"/>
  <c r="O1082" i="1"/>
  <c r="O1418" i="1"/>
  <c r="O1110" i="1"/>
  <c r="O673" i="1"/>
  <c r="O674" i="1"/>
  <c r="O2154" i="1"/>
  <c r="O706" i="1"/>
  <c r="O2089" i="1"/>
  <c r="O1772" i="1"/>
  <c r="O1442" i="1"/>
  <c r="O988" i="1"/>
  <c r="O177" i="1"/>
  <c r="O2228" i="1"/>
  <c r="O2121" i="1"/>
  <c r="O1439" i="1"/>
  <c r="O1780" i="1"/>
  <c r="O1577" i="1"/>
  <c r="O363" i="1"/>
  <c r="O1377" i="1"/>
  <c r="O2146" i="1"/>
  <c r="O840" i="1"/>
  <c r="O1078" i="1"/>
  <c r="O1175" i="1"/>
  <c r="O1965" i="1"/>
  <c r="O1622" i="1"/>
  <c r="O893" i="1"/>
  <c r="O1461" i="1"/>
  <c r="O2322" i="1"/>
  <c r="O246" i="1"/>
  <c r="O408" i="1"/>
  <c r="O1986" i="1"/>
  <c r="O1320" i="1"/>
  <c r="O498" i="1"/>
  <c r="O1960" i="1"/>
  <c r="O2161" i="1"/>
  <c r="O300" i="1"/>
  <c r="O2049" i="1"/>
  <c r="O444" i="1"/>
  <c r="O1259" i="1"/>
  <c r="O1858" i="1"/>
  <c r="O1957" i="1"/>
  <c r="O2077" i="1"/>
  <c r="O1846" i="1"/>
  <c r="O2285" i="1"/>
  <c r="O859" i="1"/>
  <c r="O51" i="1"/>
  <c r="O449" i="1"/>
  <c r="O342" i="1"/>
  <c r="O186" i="1"/>
  <c r="O1813" i="1"/>
  <c r="O1569" i="1"/>
  <c r="O27" i="1"/>
  <c r="O37" i="1"/>
  <c r="O904" i="1"/>
  <c r="O2267" i="1"/>
  <c r="O296" i="1"/>
  <c r="O662" i="1"/>
  <c r="O2241" i="1"/>
  <c r="O166" i="1"/>
  <c r="O153" i="1"/>
  <c r="O1905" i="1"/>
  <c r="O2085" i="1"/>
  <c r="O1267" i="1"/>
  <c r="O584" i="1"/>
  <c r="O1012" i="1"/>
  <c r="O690" i="1"/>
  <c r="O1867" i="1"/>
  <c r="O381" i="1"/>
  <c r="O46" i="1"/>
  <c r="O891" i="1"/>
  <c r="O924" i="1"/>
  <c r="O265" i="1"/>
  <c r="O1739" i="1"/>
  <c r="O25" i="1"/>
  <c r="O1508" i="1"/>
  <c r="O757" i="1"/>
  <c r="O221" i="1"/>
  <c r="O667" i="1"/>
  <c r="O134" i="1"/>
  <c r="O1616" i="1"/>
  <c r="O1372" i="1"/>
  <c r="O385" i="1"/>
  <c r="O1203" i="1"/>
  <c r="O190" i="1"/>
  <c r="O852" i="1"/>
  <c r="O1635" i="1"/>
  <c r="O1913" i="1"/>
  <c r="O1006" i="1"/>
  <c r="O1463" i="1"/>
  <c r="O682" i="1"/>
  <c r="O1931" i="1"/>
  <c r="O766" i="1"/>
  <c r="O1002" i="1"/>
  <c r="O62" i="1"/>
  <c r="O1412" i="1"/>
  <c r="O552" i="1"/>
  <c r="O1537" i="1"/>
  <c r="O1392" i="1"/>
  <c r="O1710" i="1"/>
  <c r="O113" i="1"/>
  <c r="O820" i="1"/>
  <c r="O590" i="1"/>
  <c r="O31" i="1"/>
  <c r="O1399" i="1"/>
  <c r="O92" i="1"/>
  <c r="O10" i="1"/>
  <c r="O1131" i="1"/>
  <c r="O1604" i="1"/>
  <c r="O179" i="1"/>
  <c r="O467" i="1"/>
  <c r="O519" i="1"/>
  <c r="O1271" i="1"/>
  <c r="O197" i="1"/>
  <c r="O1715" i="1"/>
  <c r="O210" i="1"/>
  <c r="O407" i="1"/>
  <c r="O474" i="1"/>
  <c r="O879" i="1"/>
  <c r="O1862" i="1"/>
  <c r="O1389" i="1"/>
  <c r="O380" i="1"/>
  <c r="O452" i="1"/>
  <c r="O1190" i="1"/>
  <c r="O295" i="1"/>
  <c r="O647" i="1"/>
  <c r="O2139" i="1"/>
  <c r="O838" i="1"/>
  <c r="O2033" i="1"/>
  <c r="O1582" i="1"/>
  <c r="O613" i="1"/>
  <c r="O376" i="1"/>
  <c r="O898" i="1"/>
  <c r="O2126" i="1"/>
  <c r="O1414" i="1"/>
  <c r="O1127" i="1"/>
  <c r="O276" i="1"/>
  <c r="O280" i="1"/>
  <c r="O934" i="1"/>
  <c r="O1256" i="1"/>
  <c r="O289" i="1"/>
  <c r="O2153" i="1"/>
  <c r="O271" i="1"/>
  <c r="O96" i="1"/>
  <c r="O777" i="1"/>
  <c r="O2312" i="1"/>
  <c r="O776" i="1"/>
  <c r="O557" i="1"/>
  <c r="O423" i="1"/>
  <c r="O930" i="1"/>
  <c r="O1472" i="1"/>
  <c r="O2382" i="1"/>
  <c r="O744" i="1"/>
  <c r="O386" i="1"/>
  <c r="O150" i="1"/>
  <c r="O1306" i="1"/>
  <c r="O106" i="1"/>
  <c r="O420" i="1"/>
  <c r="O2290" i="1"/>
  <c r="O1955" i="1"/>
  <c r="O722" i="1"/>
  <c r="O319" i="1"/>
  <c r="O155" i="1"/>
  <c r="O236" i="1"/>
  <c r="O21" i="1"/>
  <c r="O291" i="1"/>
  <c r="O1916" i="1"/>
  <c r="O1378" i="1"/>
  <c r="O344" i="1"/>
  <c r="O158" i="1"/>
  <c r="O409" i="1"/>
  <c r="O1514" i="1"/>
  <c r="O2374" i="1"/>
  <c r="O646" i="1"/>
  <c r="O595" i="1"/>
  <c r="O1266" i="1"/>
  <c r="O781" i="1"/>
  <c r="O44" i="1"/>
  <c r="O94" i="1"/>
  <c r="O991" i="1"/>
  <c r="O594" i="1"/>
  <c r="O279" i="1"/>
  <c r="O1850" i="1"/>
  <c r="O971" i="1"/>
  <c r="O2271" i="1"/>
  <c r="O718" i="1"/>
  <c r="O1523" i="1"/>
  <c r="O819" i="1"/>
  <c r="O1895" i="1"/>
  <c r="O920" i="1"/>
  <c r="O2350" i="1"/>
  <c r="O2063" i="1"/>
  <c r="O2372" i="1"/>
  <c r="O293" i="1"/>
  <c r="O554" i="1"/>
  <c r="O434" i="1"/>
  <c r="O521" i="1"/>
  <c r="O578" i="1"/>
  <c r="O745" i="1"/>
  <c r="O511" i="1"/>
  <c r="O413" i="1"/>
  <c r="O1151" i="1"/>
  <c r="O1149" i="1"/>
  <c r="O948" i="1"/>
  <c r="O354" i="1"/>
  <c r="O259" i="1"/>
  <c r="O283" i="1"/>
  <c r="O2351" i="1"/>
  <c r="O68" i="1"/>
  <c r="O54" i="1"/>
  <c r="O455" i="1"/>
  <c r="O705" i="1"/>
  <c r="O470" i="1"/>
  <c r="O116" i="1"/>
  <c r="O402" i="1"/>
  <c r="O1350" i="1"/>
  <c r="O126" i="1"/>
  <c r="O1364" i="1"/>
  <c r="O1154" i="1"/>
  <c r="O1066" i="1"/>
  <c r="O2168" i="1"/>
  <c r="O548" i="1"/>
  <c r="O2055" i="1"/>
  <c r="O824" i="1"/>
  <c r="O632" i="1"/>
  <c r="O1696" i="1"/>
  <c r="O843" i="1"/>
  <c r="O831" i="1"/>
  <c r="O2184" i="1"/>
  <c r="O151" i="1"/>
  <c r="O983" i="1"/>
  <c r="O2337" i="1"/>
  <c r="O107" i="1"/>
  <c r="O223" i="1"/>
  <c r="O231" i="1"/>
  <c r="O1217" i="1"/>
  <c r="O979" i="1"/>
  <c r="O1023" i="1"/>
  <c r="O480" i="1"/>
  <c r="O1243" i="1"/>
  <c r="O532" i="1"/>
  <c r="O61" i="1"/>
  <c r="O111" i="1"/>
  <c r="O1279" i="1"/>
  <c r="O1814" i="1"/>
  <c r="O692" i="1"/>
  <c r="O1859" i="1"/>
  <c r="O162" i="1"/>
  <c r="O622" i="1"/>
  <c r="O711" i="1"/>
  <c r="O921" i="1"/>
  <c r="O967" i="1"/>
  <c r="O1683" i="1"/>
  <c r="O1261" i="1"/>
  <c r="O1294" i="1"/>
  <c r="O1476" i="1"/>
  <c r="O1869" i="1"/>
  <c r="O184" i="1"/>
  <c r="O675" i="1"/>
  <c r="O1358" i="1"/>
  <c r="O2274" i="1"/>
  <c r="O422" i="1"/>
  <c r="O1562" i="1"/>
  <c r="O1563" i="1"/>
  <c r="O1386" i="1"/>
  <c r="O47" i="1"/>
  <c r="O1126" i="1"/>
  <c r="O1490" i="1"/>
  <c r="O2355" i="1"/>
  <c r="O639" i="1"/>
  <c r="O1620" i="1"/>
  <c r="O866" i="1"/>
  <c r="O1594" i="1"/>
  <c r="O1805" i="1"/>
  <c r="O2334" i="1"/>
  <c r="O1211" i="1"/>
  <c r="O1401" i="1"/>
  <c r="O1000" i="1"/>
  <c r="O2356" i="1"/>
  <c r="O1825" i="1"/>
  <c r="O1113" i="1"/>
  <c r="O2067" i="1"/>
  <c r="O1496" i="1"/>
  <c r="O2186" i="1"/>
  <c r="O1557" i="1"/>
  <c r="O1911" i="1"/>
  <c r="O2306" i="1"/>
  <c r="O2159" i="1"/>
  <c r="O1467" i="1"/>
  <c r="O1886" i="1"/>
  <c r="O2064" i="1"/>
  <c r="O963" i="1"/>
  <c r="O756" i="1"/>
  <c r="O2143" i="1"/>
  <c r="O897" i="1"/>
  <c r="O1769" i="1"/>
  <c r="O2178" i="1"/>
  <c r="O1307" i="1"/>
  <c r="O1512" i="1"/>
  <c r="O1974" i="1"/>
  <c r="O2142" i="1"/>
  <c r="O1901" i="1"/>
  <c r="O1760" i="1"/>
  <c r="O188" i="1"/>
  <c r="O1736" i="1"/>
  <c r="O1593" i="1"/>
  <c r="O1464" i="1"/>
  <c r="O1195" i="1"/>
  <c r="O1572" i="1"/>
  <c r="O1053" i="1"/>
  <c r="O1410" i="1"/>
  <c r="O462" i="1"/>
  <c r="O526" i="1"/>
  <c r="O1804" i="1"/>
  <c r="O1887" i="1"/>
  <c r="O1765" i="1"/>
  <c r="O2113" i="1"/>
  <c r="O1545" i="1"/>
  <c r="O249" i="1"/>
  <c r="O585" i="1"/>
  <c r="O145" i="1"/>
  <c r="O958" i="1"/>
  <c r="O213" i="1"/>
  <c r="O459" i="1"/>
  <c r="O24" i="1"/>
  <c r="O211" i="1"/>
  <c r="O28" i="1"/>
  <c r="O541" i="1"/>
  <c r="O1600" i="1"/>
  <c r="O301" i="1"/>
  <c r="O1684" i="1"/>
  <c r="O1004" i="1"/>
  <c r="O1689" i="1"/>
  <c r="O294" i="1"/>
  <c r="O755" i="1"/>
  <c r="O540" i="1"/>
  <c r="O1097" i="1"/>
  <c r="O1723" i="1"/>
  <c r="O1062" i="1"/>
  <c r="O1664" i="1"/>
  <c r="O876" i="1"/>
  <c r="O570" i="1"/>
  <c r="O522" i="1"/>
  <c r="O1842" i="1"/>
  <c r="O8" i="1"/>
  <c r="O1153" i="1"/>
  <c r="O1501" i="1"/>
  <c r="O1241" i="1"/>
  <c r="O320" i="1"/>
  <c r="O537" i="1"/>
  <c r="O1336" i="1"/>
  <c r="O1579" i="1"/>
  <c r="O89" i="1"/>
  <c r="O1475" i="1"/>
  <c r="O29" i="1"/>
  <c r="O2253" i="1"/>
  <c r="O411" i="1"/>
  <c r="O136" i="1"/>
  <c r="O392" i="1"/>
  <c r="O1395" i="1"/>
  <c r="O793" i="1"/>
  <c r="O583" i="1"/>
  <c r="O787" i="1"/>
  <c r="O1513" i="1"/>
  <c r="O414" i="1"/>
  <c r="O317" i="1"/>
  <c r="O957" i="1"/>
  <c r="O2200" i="1"/>
  <c r="O871" i="1"/>
  <c r="O558" i="1"/>
  <c r="O260" i="1"/>
  <c r="O1963" i="1"/>
  <c r="O216" i="1"/>
  <c r="O1876" i="1"/>
  <c r="O803" i="1"/>
  <c r="O1249" i="1"/>
  <c r="O1658" i="1"/>
  <c r="O760" i="1"/>
  <c r="O1628" i="1"/>
  <c r="O1233" i="1"/>
  <c r="O2176" i="1"/>
  <c r="O349" i="1"/>
  <c r="O350" i="1"/>
  <c r="O1851" i="1"/>
  <c r="O916" i="1"/>
  <c r="O232" i="1"/>
  <c r="O436" i="1"/>
  <c r="O663" i="1"/>
  <c r="O1603" i="1"/>
  <c r="O215" i="1"/>
  <c r="O863" i="1"/>
  <c r="O597" i="1"/>
  <c r="O817" i="1"/>
  <c r="O131" i="1"/>
  <c r="O1533" i="1"/>
  <c r="O2256" i="1"/>
  <c r="O1443" i="1"/>
  <c r="O102" i="1"/>
  <c r="O164" i="1"/>
  <c r="O536" i="1"/>
  <c r="O614" i="1"/>
  <c r="O482" i="1"/>
  <c r="O65" i="1"/>
  <c r="O1191" i="1"/>
  <c r="O15" i="1"/>
  <c r="O17" i="1"/>
  <c r="O592" i="1"/>
  <c r="O425" i="1"/>
  <c r="O1043" i="1"/>
  <c r="O1724" i="1"/>
  <c r="O352" i="1"/>
  <c r="O854" i="1"/>
  <c r="O679" i="1"/>
  <c r="O346" i="1"/>
  <c r="O1040" i="1"/>
  <c r="O603" i="1"/>
  <c r="O800" i="1"/>
  <c r="O1277" i="1"/>
  <c r="O961" i="1"/>
  <c r="O2376" i="1"/>
  <c r="O2147" i="1"/>
  <c r="O261" i="1"/>
  <c r="O305" i="1"/>
  <c r="O750" i="1"/>
  <c r="O438" i="1"/>
  <c r="O48" i="1"/>
  <c r="O4" i="1"/>
  <c r="O86" i="1"/>
  <c r="O680" i="1"/>
  <c r="O601" i="1"/>
  <c r="O1884" i="1"/>
  <c r="O1168" i="1"/>
  <c r="O1639" i="1"/>
  <c r="O1232" i="1"/>
  <c r="O282" i="1"/>
  <c r="O1186" i="1"/>
  <c r="O1187" i="1"/>
  <c r="O616" i="1"/>
  <c r="O651" i="1"/>
  <c r="O565" i="1"/>
  <c r="O129" i="1"/>
  <c r="O108" i="1"/>
  <c r="O579" i="1"/>
  <c r="O1866" i="1"/>
  <c r="O1950" i="1"/>
  <c r="O846" i="1"/>
  <c r="O1491" i="1"/>
  <c r="O1014" i="1"/>
  <c r="O1143" i="1"/>
  <c r="O100" i="1"/>
  <c r="O716" i="1"/>
  <c r="O433" i="1"/>
  <c r="O506" i="1"/>
  <c r="O1431" i="1"/>
  <c r="O987" i="1"/>
  <c r="O827" i="1"/>
  <c r="O1939" i="1"/>
  <c r="O240" i="1"/>
  <c r="O209" i="1"/>
  <c r="O1906" i="1"/>
  <c r="O82" i="1"/>
  <c r="O275" i="1"/>
  <c r="O235" i="1"/>
  <c r="O115" i="1"/>
  <c r="O156" i="1"/>
  <c r="O977" i="1"/>
  <c r="O1732" i="1"/>
  <c r="O486" i="1"/>
  <c r="O442" i="1"/>
  <c r="O869" i="1"/>
  <c r="O1745" i="1"/>
  <c r="O1246" i="1"/>
  <c r="O1332" i="1"/>
  <c r="O1550" i="1"/>
  <c r="O1591" i="1"/>
  <c r="O1811" i="1"/>
  <c r="O748" i="1"/>
  <c r="O721" i="1"/>
  <c r="O889" i="1"/>
  <c r="O1844" i="1"/>
  <c r="O2083" i="1"/>
  <c r="O1927" i="1"/>
  <c r="O672" i="1"/>
  <c r="O1750" i="1"/>
  <c r="O1516" i="1"/>
  <c r="O1861" i="1"/>
  <c r="O200" i="1"/>
  <c r="O768" i="1"/>
  <c r="O2172" i="1"/>
  <c r="O564" i="1"/>
  <c r="O266" i="1"/>
  <c r="O1235" i="1"/>
  <c r="O1762" i="1"/>
  <c r="O299" i="1"/>
  <c r="O2137" i="1"/>
  <c r="O795" i="1"/>
  <c r="O1757" i="1"/>
  <c r="O1247" i="1"/>
  <c r="O1766" i="1"/>
  <c r="O1673" i="1"/>
  <c r="O1951" i="1"/>
  <c r="O2235" i="1"/>
  <c r="O2018" i="1"/>
  <c r="O1470" i="1"/>
  <c r="O1231" i="1"/>
  <c r="O1385" i="1"/>
  <c r="O1997" i="1"/>
  <c r="O1973" i="1"/>
  <c r="O851" i="1"/>
  <c r="O1671" i="1"/>
  <c r="O1162" i="1"/>
  <c r="O1756" i="1"/>
  <c r="O1275" i="1"/>
  <c r="O2019" i="1"/>
  <c r="O1459" i="1"/>
  <c r="O1863" i="1"/>
  <c r="O2335" i="1"/>
  <c r="O2245" i="1"/>
  <c r="O1956" i="1"/>
  <c r="O1122" i="1"/>
  <c r="O980" i="1"/>
  <c r="O1210" i="1"/>
  <c r="O52" i="1"/>
  <c r="O907" i="1"/>
  <c r="O669" i="1"/>
  <c r="O281" i="1"/>
  <c r="O406" i="1"/>
  <c r="O1561" i="1"/>
  <c r="O1390" i="1"/>
  <c r="O375" i="1"/>
  <c r="O326" i="1"/>
  <c r="O952" i="1"/>
  <c r="O400" i="1"/>
  <c r="O67" i="1"/>
  <c r="O196" i="1"/>
  <c r="O683" i="1"/>
  <c r="O1705" i="1"/>
  <c r="O325" i="1"/>
  <c r="O783" i="1"/>
  <c r="O899" i="1"/>
  <c r="O589" i="1"/>
  <c r="O1139" i="1"/>
  <c r="O642" i="1"/>
  <c r="O773" i="1"/>
  <c r="O1093" i="1"/>
  <c r="O1068" i="1"/>
  <c r="O872" i="1"/>
  <c r="O1362" i="1"/>
  <c r="O635" i="1"/>
  <c r="O913" i="1"/>
  <c r="O999" i="1"/>
  <c r="O737" i="1"/>
  <c r="O66" i="1"/>
  <c r="O544" i="1"/>
  <c r="O1125" i="1"/>
  <c r="O217" i="1"/>
  <c r="O914" i="1"/>
  <c r="O141" i="1"/>
  <c r="O608" i="1"/>
  <c r="O12" i="1"/>
  <c r="O1282" i="1"/>
  <c r="O79" i="1"/>
  <c r="O307" i="1"/>
  <c r="O9" i="1"/>
  <c r="O689" i="1"/>
  <c r="O543" i="1"/>
  <c r="O695" i="1"/>
  <c r="O739" i="1"/>
  <c r="O1215" i="1"/>
  <c r="O1441" i="1"/>
  <c r="O1776" i="1"/>
  <c r="O998" i="1"/>
  <c r="O1220" i="1"/>
  <c r="O465" i="1"/>
  <c r="O11" i="1"/>
  <c r="O441" i="1"/>
  <c r="O1872" i="1"/>
  <c r="O877" i="1"/>
  <c r="O2054" i="1"/>
  <c r="O339" i="1"/>
  <c r="O1549" i="1"/>
  <c r="O396" i="1"/>
  <c r="O2323" i="1"/>
  <c r="O562" i="1"/>
  <c r="O832" i="1"/>
  <c r="O1933" i="1"/>
  <c r="O811" i="1"/>
  <c r="O369" i="1"/>
  <c r="O13" i="1"/>
  <c r="O759" i="1"/>
  <c r="O825" i="1"/>
  <c r="O574" i="1"/>
  <c r="O273" i="1"/>
  <c r="O915" i="1"/>
  <c r="O159" i="1"/>
  <c r="O1669" i="1"/>
  <c r="O717" i="1"/>
  <c r="O813" i="1"/>
  <c r="O648" i="1"/>
  <c r="O556" i="1"/>
  <c r="O327" i="1"/>
  <c r="O2272" i="1"/>
  <c r="O466" i="1"/>
  <c r="O2361" i="1"/>
  <c r="O1180" i="1"/>
  <c r="O35" i="1"/>
  <c r="O41" i="1"/>
  <c r="O391" i="1"/>
  <c r="O1588" i="1"/>
  <c r="O431" i="1"/>
  <c r="O928" i="1"/>
  <c r="O1953" i="1"/>
  <c r="O2213" i="1"/>
  <c r="O366" i="1"/>
  <c r="O123" i="1"/>
  <c r="O148" i="1"/>
  <c r="O525" i="1"/>
  <c r="O214" i="1"/>
  <c r="O274" i="1"/>
  <c r="O1976" i="1"/>
  <c r="O1826" i="1"/>
  <c r="O160" i="1"/>
  <c r="O740" i="1"/>
  <c r="O908" i="1"/>
  <c r="O620" i="1"/>
  <c r="O337" i="1"/>
  <c r="O507" i="1"/>
  <c r="O1471" i="1"/>
  <c r="O313" i="1"/>
  <c r="O264" i="1"/>
  <c r="O93" i="1"/>
  <c r="O671" i="1"/>
  <c r="O1453" i="1"/>
  <c r="O187" i="1"/>
  <c r="O1353" i="1"/>
  <c r="O1240" i="1"/>
  <c r="O1166" i="1"/>
  <c r="O1280" i="1"/>
  <c r="O623" i="1"/>
  <c r="O2326" i="1"/>
  <c r="O1816" i="1"/>
  <c r="O1164" i="1"/>
  <c r="O1133" i="1"/>
  <c r="O719" i="1"/>
  <c r="O2210" i="1"/>
  <c r="O97" i="1"/>
  <c r="O398" i="1"/>
  <c r="O1146" i="1"/>
  <c r="O125" i="1"/>
  <c r="O618" i="1"/>
  <c r="O1297" i="1"/>
  <c r="O1312" i="1"/>
  <c r="O146" i="1"/>
  <c r="O1647" i="1"/>
  <c r="O1270" i="1"/>
  <c r="O1077" i="1"/>
  <c r="O1544" i="1"/>
  <c r="O367" i="1"/>
  <c r="O701" i="1"/>
  <c r="O1580" i="1"/>
  <c r="O2111" i="1"/>
  <c r="O168" i="1"/>
  <c r="O575" i="1"/>
  <c r="O1448" i="1"/>
  <c r="O165" i="1"/>
  <c r="O312" i="1"/>
  <c r="O308" i="1"/>
  <c r="O1480" i="1"/>
  <c r="O2165" i="1"/>
  <c r="O567" i="1"/>
  <c r="O1793" i="1"/>
  <c r="O882" i="1"/>
  <c r="O2096" i="1"/>
  <c r="O509" i="1"/>
  <c r="O171" i="1"/>
  <c r="O1080" i="1"/>
  <c r="O2286" i="1"/>
  <c r="O741" i="1"/>
  <c r="O1574" i="1"/>
  <c r="O2395" i="1"/>
  <c r="O2065" i="1"/>
  <c r="O709" i="1"/>
  <c r="O1317" i="1"/>
  <c r="O1348" i="1"/>
  <c r="O351" i="1"/>
  <c r="O968" i="1"/>
  <c r="O347" i="1"/>
  <c r="O625" i="1"/>
  <c r="O621" i="1"/>
  <c r="O1597" i="1"/>
  <c r="O1105" i="1"/>
  <c r="O1486" i="1"/>
  <c r="O746" i="1"/>
  <c r="O1020" i="1"/>
  <c r="O728" i="1"/>
  <c r="O1244" i="1"/>
  <c r="O942" i="1"/>
  <c r="O1299" i="1"/>
  <c r="O693" i="1"/>
  <c r="O2226" i="1"/>
  <c r="O549" i="1"/>
  <c r="O496" i="1"/>
  <c r="O2307" i="1"/>
  <c r="O2240" i="1"/>
  <c r="O1057" i="1"/>
  <c r="O292" i="1"/>
  <c r="O1209" i="1"/>
  <c r="O2105" i="1"/>
  <c r="O1830" i="1"/>
  <c r="O1849" i="1"/>
  <c r="O1892" i="1"/>
  <c r="O1394" i="1"/>
  <c r="O1992" i="1"/>
  <c r="O1063" i="1"/>
  <c r="O1510" i="1"/>
  <c r="O605" i="1"/>
  <c r="O890" i="1"/>
  <c r="O170" i="1"/>
  <c r="O887" i="1"/>
  <c r="O796" i="1"/>
  <c r="O2208" i="1"/>
  <c r="O1627" i="1"/>
  <c r="O2266" i="1"/>
  <c r="O1546" i="1"/>
  <c r="O1707" i="1"/>
  <c r="O1785" i="1"/>
  <c r="O2035" i="1"/>
  <c r="O1515" i="1"/>
  <c r="O1657" i="1"/>
  <c r="O1185" i="1"/>
  <c r="O2160" i="1"/>
  <c r="O1567" i="1"/>
  <c r="O1532" i="1"/>
  <c r="O1751" i="1"/>
  <c r="O984" i="1"/>
  <c r="O2098" i="1"/>
  <c r="O2359" i="1"/>
  <c r="O1801" i="1"/>
  <c r="O1178" i="1"/>
  <c r="O1988" i="1"/>
  <c r="O2036" i="1"/>
  <c r="O1641" i="1"/>
  <c r="O1764" i="1"/>
  <c r="O1291" i="1"/>
  <c r="O1376" i="1"/>
  <c r="O2207" i="1"/>
  <c r="O1817" i="1"/>
  <c r="O1477" i="1"/>
  <c r="O1706" i="1"/>
  <c r="O1827" i="1"/>
  <c r="O505" i="1"/>
  <c r="O808" i="1"/>
  <c r="O483" i="1"/>
  <c r="O120" i="1"/>
  <c r="O794" i="1"/>
  <c r="O738" i="1"/>
  <c r="O1651" i="1"/>
  <c r="O6" i="1"/>
  <c r="O114" i="1"/>
  <c r="O219" i="1"/>
  <c r="O747" i="1"/>
  <c r="O1547" i="1"/>
  <c r="O935" i="1"/>
  <c r="O1691" i="1"/>
  <c r="O1709" i="1"/>
  <c r="O1778" i="1"/>
  <c r="O1011" i="1"/>
  <c r="O84" i="1"/>
  <c r="O1001" i="1"/>
  <c r="O725" i="1"/>
  <c r="O1061" i="1"/>
  <c r="O1743" i="1"/>
  <c r="O895" i="1"/>
  <c r="O1044" i="1"/>
  <c r="O2386" i="1"/>
  <c r="O2088" i="1"/>
  <c r="O2100" i="1"/>
  <c r="O1462" i="1"/>
  <c r="O918" i="1"/>
  <c r="O2366" i="1"/>
  <c r="O1713" i="1"/>
  <c r="O2151" i="1"/>
  <c r="O1208" i="1"/>
  <c r="O1812" i="1"/>
  <c r="O1222" i="1"/>
  <c r="O1251" i="1"/>
  <c r="O1400" i="1"/>
  <c r="O2344" i="1"/>
  <c r="O580" i="1"/>
  <c r="O377" i="1"/>
  <c r="O865" i="1"/>
  <c r="O1553" i="1"/>
  <c r="O2173" i="1"/>
  <c r="O539" i="1"/>
  <c r="O2328" i="1"/>
  <c r="O2090" i="1"/>
  <c r="O873" i="1"/>
  <c r="O1526" i="1"/>
  <c r="O1633" i="1"/>
  <c r="O1451" i="1"/>
  <c r="O1630" i="1"/>
  <c r="O1599" i="1"/>
  <c r="O1652" i="1"/>
  <c r="O1704" i="1"/>
  <c r="O2270" i="1"/>
  <c r="O883" i="1"/>
  <c r="O1268" i="1"/>
  <c r="O1022" i="1"/>
  <c r="O1228" i="1"/>
  <c r="O1654" i="1"/>
  <c r="O1141" i="1"/>
  <c r="O853" i="1"/>
  <c r="O2031" i="1"/>
  <c r="O2293" i="1"/>
  <c r="O1357" i="1"/>
  <c r="O995" i="1"/>
  <c r="O2059" i="1"/>
  <c r="O1853" i="1"/>
  <c r="O2222" i="1"/>
  <c r="O2315" i="1"/>
  <c r="O2381" i="1"/>
  <c r="O1864" i="1"/>
  <c r="O2279" i="1"/>
  <c r="O1160" i="1"/>
  <c r="O1347" i="1"/>
  <c r="O1938" i="1"/>
  <c r="O1868" i="1"/>
  <c r="O1498" i="1"/>
  <c r="O2043" i="1"/>
  <c r="O1954" i="1"/>
  <c r="O2075" i="1"/>
  <c r="O2157" i="1"/>
  <c r="O1792" i="1"/>
  <c r="O1959" i="1"/>
  <c r="O2084" i="1"/>
  <c r="O634" i="1"/>
  <c r="O1379" i="1"/>
  <c r="O989" i="1"/>
  <c r="O1990" i="1"/>
  <c r="O2191" i="1"/>
  <c r="O2302" i="1"/>
  <c r="O1795" i="1"/>
  <c r="O1640" i="1"/>
  <c r="O1551" i="1"/>
  <c r="O2339" i="1"/>
  <c r="O1274" i="1"/>
  <c r="O2194" i="1"/>
  <c r="O1421" i="1"/>
  <c r="O1873" i="1"/>
  <c r="O1638" i="1"/>
  <c r="O1503" i="1"/>
  <c r="O2069" i="1"/>
  <c r="O1877" i="1"/>
  <c r="O1908" i="1"/>
  <c r="O1570" i="1"/>
  <c r="O1602" i="1"/>
  <c r="O1944" i="1"/>
  <c r="O2313" i="1"/>
  <c r="O2150" i="1"/>
  <c r="O1720" i="1"/>
  <c r="O1371" i="1"/>
  <c r="O1880" i="1"/>
  <c r="O1909" i="1"/>
  <c r="O2080" i="1"/>
  <c r="O1359" i="1"/>
  <c r="O1650" i="1"/>
  <c r="O2155" i="1"/>
  <c r="O1945" i="1"/>
  <c r="O2289" i="1"/>
  <c r="O2195" i="1"/>
  <c r="O2280" i="1"/>
  <c r="O862" i="1"/>
  <c r="O628" i="1"/>
  <c r="O485" i="1"/>
  <c r="O927" i="1"/>
  <c r="O962" i="1"/>
  <c r="O297" i="1"/>
  <c r="O617" i="1"/>
  <c r="O2030" i="1"/>
  <c r="O1437" i="1"/>
  <c r="O1534" i="1"/>
  <c r="O1456" i="1"/>
  <c r="O1796" i="1"/>
  <c r="O1038" i="1"/>
  <c r="O922" i="1"/>
  <c r="O2333" i="1"/>
  <c r="O2140" i="1"/>
  <c r="O1094" i="1"/>
  <c r="O1258" i="1"/>
  <c r="O581" i="1"/>
  <c r="O1132" i="1"/>
  <c r="O645" i="1"/>
  <c r="O2163" i="1"/>
  <c r="O1573" i="1"/>
  <c r="O1182" i="1"/>
  <c r="O1912" i="1"/>
  <c r="O243" i="1"/>
  <c r="O1334" i="1"/>
  <c r="O1687" i="1"/>
  <c r="O1564" i="1"/>
  <c r="O1841" i="1"/>
  <c r="O1643" i="1"/>
  <c r="O1556" i="1"/>
  <c r="O1009" i="1"/>
  <c r="O1013" i="1"/>
  <c r="O1831" i="1"/>
  <c r="O1987" i="1"/>
  <c r="O2051" i="1"/>
  <c r="O1726" i="1"/>
  <c r="O2056" i="1"/>
  <c r="O2104" i="1"/>
  <c r="O763" i="1"/>
  <c r="O1994" i="1"/>
  <c r="O2346" i="1"/>
  <c r="O599" i="1"/>
  <c r="O1226" i="1"/>
  <c r="O1212" i="1"/>
  <c r="O1586" i="1"/>
  <c r="O1820" i="1"/>
  <c r="O2320" i="1"/>
  <c r="O1090" i="1"/>
  <c r="O582" i="1"/>
  <c r="O586" i="1"/>
  <c r="O1507" i="1"/>
  <c r="O2025" i="1"/>
  <c r="O2145" i="1"/>
  <c r="O2211" i="1"/>
  <c r="O2116" i="1"/>
  <c r="O2079" i="1"/>
  <c r="O1116" i="1"/>
  <c r="O812" i="1"/>
  <c r="O1522" i="1"/>
  <c r="O1074" i="1"/>
  <c r="O1606" i="1"/>
  <c r="O1608" i="1"/>
  <c r="O2291" i="1"/>
  <c r="O2196" i="1"/>
  <c r="O1852" i="1"/>
  <c r="O1823" i="1"/>
  <c r="O1910" i="1"/>
  <c r="O1103" i="1"/>
  <c r="O1293" i="1"/>
  <c r="O1339" i="1"/>
  <c r="O909" i="1"/>
  <c r="O2394" i="1"/>
  <c r="O2299" i="1"/>
  <c r="O1758" i="1"/>
  <c r="O2234" i="1"/>
  <c r="O1847" i="1"/>
  <c r="O1695" i="1"/>
  <c r="O2227" i="1"/>
  <c r="O1682" i="1"/>
  <c r="O1417" i="1"/>
  <c r="O1755" i="1"/>
  <c r="O1902" i="1"/>
  <c r="O1784" i="1"/>
  <c r="O1942" i="1"/>
  <c r="O1989" i="1"/>
  <c r="O1878" i="1"/>
  <c r="O1659" i="1"/>
  <c r="O1966" i="1"/>
  <c r="O2134" i="1"/>
  <c r="O2347" i="1"/>
  <c r="O1611" i="1"/>
  <c r="O2087" i="1"/>
  <c r="O2095" i="1"/>
  <c r="O2001" i="1"/>
  <c r="O2053" i="1"/>
  <c r="O1896" i="1"/>
  <c r="O1478" i="1"/>
  <c r="O1609" i="1"/>
  <c r="O1984" i="1"/>
  <c r="O1135" i="1"/>
  <c r="O1661" i="1"/>
  <c r="O2317" i="1"/>
  <c r="O1993" i="1"/>
  <c r="O471" i="1"/>
  <c r="O973" i="1"/>
  <c r="O775" i="1"/>
  <c r="O1898" i="1"/>
  <c r="O242" i="1"/>
  <c r="O870" i="1"/>
  <c r="O336" i="1"/>
  <c r="O133" i="1"/>
  <c r="O542" i="1"/>
  <c r="O551" i="1"/>
  <c r="O875" i="1"/>
  <c r="O861" i="1"/>
  <c r="O360" i="1"/>
  <c r="O545" i="1"/>
  <c r="O516" i="1"/>
  <c r="O1218" i="1"/>
  <c r="O932" i="1"/>
  <c r="O704" i="1"/>
  <c r="O191" i="1"/>
  <c r="O691" i="1"/>
  <c r="O45" i="1"/>
  <c r="O1326" i="1"/>
  <c r="O816" i="1"/>
  <c r="O286" i="1"/>
  <c r="O59" i="1"/>
  <c r="O588" i="1"/>
  <c r="O1324" i="1"/>
  <c r="O1818" i="1"/>
  <c r="O698" i="1"/>
  <c r="O78" i="1"/>
  <c r="O1242" i="1"/>
  <c r="O144" i="1"/>
  <c r="O2183" i="1"/>
  <c r="O22" i="1"/>
  <c r="O410" i="1"/>
  <c r="O880" i="1"/>
  <c r="O641" i="1"/>
  <c r="O955" i="1"/>
  <c r="O1019" i="1"/>
  <c r="O373" i="1"/>
  <c r="O1423" i="1"/>
  <c r="O2052" i="1"/>
  <c r="O1005" i="1"/>
  <c r="O2016" i="1"/>
  <c r="O553" i="1"/>
  <c r="O124" i="1"/>
  <c r="O63" i="1"/>
  <c r="O340" i="1"/>
  <c r="O1069" i="1"/>
  <c r="O609" i="1"/>
  <c r="O714" i="1"/>
  <c r="O53" i="1"/>
  <c r="O205" i="1"/>
  <c r="O654" i="1"/>
  <c r="O135" i="1"/>
  <c r="O1193" i="1"/>
  <c r="O2029" i="1"/>
  <c r="O189" i="1"/>
  <c r="O736" i="1"/>
  <c r="O702" i="1"/>
  <c r="O302" i="1"/>
  <c r="O395" i="1"/>
  <c r="O64" i="1"/>
  <c r="O1318" i="1"/>
  <c r="O1540" i="1"/>
  <c r="O1047" i="1"/>
  <c r="O1174" i="1"/>
  <c r="O720" i="1"/>
  <c r="O1405" i="1"/>
  <c r="O1810" i="1"/>
  <c r="O1468" i="1"/>
  <c r="O997" i="1"/>
  <c r="O207" i="1"/>
  <c r="O1432" i="1"/>
  <c r="O80" i="1"/>
  <c r="O619" i="1"/>
  <c r="O767" i="1"/>
  <c r="O515" i="1"/>
  <c r="O1543" i="1"/>
  <c r="O1649" i="1"/>
  <c r="O238" i="1"/>
  <c r="O514" i="1"/>
  <c r="O1387" i="1"/>
  <c r="O1327" i="1"/>
  <c r="O1855" i="1"/>
  <c r="O670" i="1"/>
  <c r="O587" i="1"/>
  <c r="O535" i="1"/>
  <c r="O341" i="1"/>
  <c r="O774" i="1"/>
  <c r="O1163" i="1"/>
  <c r="O1039" i="1"/>
  <c r="O1016" i="1"/>
  <c r="O833" i="1"/>
  <c r="O457" i="1"/>
  <c r="O1037" i="1"/>
  <c r="O573" i="1"/>
  <c r="O169" i="1"/>
  <c r="O847" i="1"/>
  <c r="O1571" i="1"/>
  <c r="O58" i="1"/>
  <c r="O383" i="1"/>
  <c r="O98" i="1"/>
  <c r="O731" i="1"/>
  <c r="O1087" i="1"/>
  <c r="O439" i="1"/>
  <c r="O828" i="1"/>
  <c r="O1947" i="1"/>
  <c r="O182" i="1"/>
  <c r="O1524" i="1"/>
  <c r="O1925" i="1"/>
  <c r="O2349" i="1"/>
  <c r="O888" i="1"/>
  <c r="O2364" i="1"/>
  <c r="O212" i="1"/>
  <c r="O430" i="1"/>
  <c r="O1239" i="1"/>
  <c r="O314" i="1"/>
  <c r="O911" i="1"/>
  <c r="O602" i="1"/>
  <c r="O1158" i="1"/>
  <c r="O447" i="1"/>
  <c r="O203" i="1"/>
  <c r="O1072" i="1"/>
  <c r="O1273" i="1"/>
  <c r="O1319" i="1"/>
  <c r="O404" i="1"/>
  <c r="O230" i="1"/>
  <c r="O933" i="1"/>
  <c r="O269" i="1"/>
  <c r="O1118" i="1"/>
  <c r="O868" i="1"/>
  <c r="O1660" i="1"/>
  <c r="O964" i="1"/>
  <c r="O2261" i="1"/>
  <c r="O1932" i="1"/>
  <c r="O33" i="1"/>
  <c r="O173" i="1"/>
  <c r="O481" i="1"/>
  <c r="O1083" i="1"/>
  <c r="O1662" i="1"/>
  <c r="O842" i="1"/>
  <c r="O1049" i="1"/>
  <c r="O218" i="1"/>
  <c r="O1030" i="1"/>
  <c r="O2311" i="1"/>
  <c r="O836" i="1"/>
  <c r="O560" i="1"/>
  <c r="O1026" i="1"/>
  <c r="O403" i="1"/>
  <c r="O1677" i="1"/>
  <c r="O878" i="1"/>
  <c r="O727" i="1"/>
  <c r="O359" i="1"/>
  <c r="O534" i="1"/>
  <c r="O676" i="1"/>
  <c r="O976" i="1"/>
  <c r="O563" i="1"/>
  <c r="O484" i="1"/>
  <c r="O103" i="1"/>
  <c r="O1882" i="1"/>
  <c r="O2296" i="1"/>
  <c r="O493" i="1"/>
  <c r="O960" i="1"/>
  <c r="O925" i="1"/>
  <c r="O1295" i="1"/>
  <c r="O1159" i="1"/>
  <c r="O2130" i="1"/>
  <c r="O195" i="1"/>
  <c r="O990" i="1"/>
  <c r="O596" i="1"/>
  <c r="O1904" i="1"/>
  <c r="O2217" i="1"/>
  <c r="O50" i="1"/>
  <c r="O839" i="1"/>
  <c r="O497" i="1"/>
  <c r="O7" i="1"/>
  <c r="O443" i="1"/>
  <c r="O858" i="1"/>
  <c r="O450" i="1"/>
  <c r="O1189" i="1"/>
  <c r="O943" i="1"/>
  <c r="O1169" i="1"/>
  <c r="O2004" i="1"/>
  <c r="O1064" i="1"/>
  <c r="O821" i="1"/>
  <c r="O894" i="1"/>
  <c r="O1968" i="1"/>
  <c r="O1120" i="1"/>
  <c r="O70" i="1"/>
  <c r="O550" i="1"/>
  <c r="O1123" i="1"/>
  <c r="O1479" i="1"/>
  <c r="O1050" i="1"/>
  <c r="O315" i="1"/>
  <c r="O476" i="1"/>
  <c r="O237" i="1"/>
  <c r="O694" i="1"/>
  <c r="O1605" i="1"/>
  <c r="O661" i="1"/>
  <c r="O258" i="1"/>
  <c r="O1107" i="1"/>
  <c r="O1148" i="1"/>
  <c r="O1136" i="1"/>
  <c r="O1070" i="1"/>
  <c r="O427" i="1"/>
  <c r="O42" i="1"/>
  <c r="O1065" i="1"/>
  <c r="O2022" i="1"/>
  <c r="O829" i="1"/>
  <c r="O1763" i="1"/>
  <c r="O986" i="1"/>
  <c r="O1777" i="1"/>
  <c r="O1735" i="1"/>
  <c r="O1698" i="1"/>
  <c r="O2278" i="1"/>
  <c r="O152" i="1"/>
  <c r="O56" i="1"/>
  <c r="O931" i="1"/>
  <c r="O1930" i="1"/>
  <c r="O23" i="1"/>
  <c r="O678" i="1"/>
  <c r="O49" i="1"/>
  <c r="O985" i="1"/>
  <c r="O1305" i="1"/>
  <c r="O681" i="1"/>
  <c r="O88" i="1"/>
  <c r="O726" i="1"/>
  <c r="O256" i="1"/>
  <c r="O1106" i="1"/>
  <c r="O1970" i="1"/>
  <c r="O128" i="1"/>
  <c r="O576" i="1"/>
  <c r="O652" i="1"/>
  <c r="O192" i="1"/>
  <c r="O1685" i="1"/>
  <c r="O1096" i="1"/>
  <c r="O686" i="1"/>
  <c r="O1839" i="1"/>
  <c r="O1253" i="1"/>
  <c r="O2281" i="1"/>
  <c r="O255" i="1"/>
  <c r="O1229" i="1"/>
  <c r="O801" i="1"/>
  <c r="O1403" i="1"/>
  <c r="O1021" i="1"/>
  <c r="O1056" i="1"/>
  <c r="O1368" i="1"/>
  <c r="O912" i="1"/>
  <c r="O1943" i="1"/>
  <c r="O2367" i="1"/>
  <c r="O1802" i="1"/>
  <c r="O1330" i="1"/>
  <c r="O1278" i="1"/>
  <c r="O2362" i="1"/>
  <c r="O1737" i="1"/>
  <c r="O784" i="1"/>
  <c r="O388" i="1"/>
  <c r="O333" i="1"/>
  <c r="O361" i="1"/>
  <c r="O1254" i="1"/>
  <c r="O791" i="1"/>
  <c r="O2189" i="1"/>
  <c r="O855" i="1"/>
  <c r="O356" i="1"/>
  <c r="O510" i="1"/>
  <c r="O1678" i="1"/>
  <c r="O1644" i="1"/>
  <c r="O966" i="1"/>
  <c r="O262" i="1"/>
  <c r="O1744" i="1"/>
  <c r="O1865" i="1"/>
  <c r="O566" i="1"/>
  <c r="O1288" i="1"/>
  <c r="O248" i="1"/>
  <c r="O1018" i="1"/>
  <c r="O1257" i="1"/>
  <c r="O1117" i="1"/>
  <c r="O1129" i="1"/>
  <c r="O2117" i="1"/>
  <c r="O769" i="1"/>
  <c r="O1302" i="1"/>
  <c r="O1548" i="1"/>
  <c r="O2246" i="1"/>
  <c r="O1749" i="1"/>
  <c r="O1325" i="1"/>
  <c r="O2225" i="1"/>
  <c r="O2174" i="1"/>
  <c r="O1642" i="1"/>
  <c r="O835" i="1"/>
  <c r="O2047" i="1"/>
  <c r="O1690" i="1"/>
  <c r="O1700" i="1"/>
  <c r="O2260" i="1"/>
  <c r="O1197" i="1"/>
  <c r="O936" i="1"/>
  <c r="O2330" i="1"/>
  <c r="O538" i="1"/>
  <c r="O1899" i="1"/>
  <c r="O247" i="1"/>
  <c r="O1367" i="1"/>
  <c r="O2123" i="1"/>
  <c r="O1786" i="1"/>
  <c r="O1581" i="1"/>
  <c r="O1445" i="1"/>
  <c r="O456" i="1"/>
  <c r="O1699" i="1"/>
  <c r="O2265" i="1"/>
  <c r="O2397" i="1"/>
  <c r="O2044" i="1"/>
  <c r="O2009" i="1"/>
  <c r="O358" i="1"/>
  <c r="O1446" i="1"/>
  <c r="O520" i="1"/>
  <c r="O1088" i="1"/>
  <c r="O848" i="1"/>
  <c r="O571" i="1"/>
  <c r="O600" i="1"/>
  <c r="O1948" i="1"/>
  <c r="O1840" i="1"/>
  <c r="O1010" i="1"/>
  <c r="O1484" i="1"/>
  <c r="O1194" i="1"/>
  <c r="O1085" i="1"/>
  <c r="O1114" i="1"/>
  <c r="O1964" i="1"/>
  <c r="O2175" i="1"/>
  <c r="O1406" i="1"/>
  <c r="O2370" i="1"/>
  <c r="O2170" i="1"/>
  <c r="O905" i="1"/>
  <c r="O1073" i="1"/>
  <c r="O2188" i="1"/>
  <c r="O2164" i="1"/>
  <c r="O2243" i="1"/>
  <c r="O1972" i="1"/>
  <c r="O2129" i="1"/>
  <c r="O1985" i="1"/>
  <c r="O1555" i="1"/>
  <c r="O2082" i="1"/>
  <c r="O1934" i="1"/>
  <c r="O1672" i="1"/>
  <c r="O378" i="1"/>
  <c r="O1300" i="1"/>
  <c r="O1380" i="1"/>
  <c r="O2388" i="1"/>
  <c r="O2378" i="1"/>
  <c r="O1408" i="1"/>
  <c r="O1618" i="1"/>
  <c r="O2182" i="1"/>
  <c r="O2252" i="1"/>
  <c r="O2379" i="1"/>
  <c r="O1558" i="1"/>
  <c r="O1560" i="1"/>
  <c r="O2283" i="1"/>
  <c r="O2203" i="1"/>
  <c r="O2287" i="1"/>
  <c r="O1870" i="1"/>
  <c r="O2002" i="1"/>
  <c r="O2390" i="1"/>
  <c r="O1936" i="1"/>
  <c r="O2297" i="1"/>
  <c r="O1631" i="1"/>
  <c r="O1587" i="1"/>
  <c r="O1998" i="1"/>
  <c r="O1838" i="1"/>
  <c r="O2162" i="1"/>
  <c r="O1828" i="1"/>
  <c r="O2076" i="1"/>
  <c r="O2068" i="1"/>
  <c r="O1102" i="1"/>
  <c r="O1679" i="1"/>
  <c r="O2398" i="1"/>
  <c r="O2097" i="1"/>
  <c r="O2007" i="1"/>
  <c r="O1646" i="1"/>
  <c r="O2301" i="1"/>
  <c r="O2181" i="1"/>
  <c r="O1952" i="1"/>
  <c r="O2393" i="1"/>
  <c r="O1991" i="1"/>
  <c r="O1822" i="1"/>
  <c r="O1958" i="1"/>
  <c r="O2040" i="1"/>
  <c r="O32" i="1"/>
  <c r="O604" i="1"/>
  <c r="O830" i="1"/>
  <c r="O257" i="1"/>
  <c r="O477" i="1"/>
  <c r="O2" i="1"/>
  <c r="O1391" i="1"/>
  <c r="O253" i="1"/>
  <c r="O993" i="1"/>
  <c r="O18" i="1"/>
  <c r="O656" i="1"/>
  <c r="O1843" i="1"/>
  <c r="O117" i="1"/>
  <c r="O1430" i="1"/>
  <c r="O804" i="1"/>
  <c r="O20" i="1"/>
  <c r="O749" i="1"/>
  <c r="O226" i="1"/>
  <c r="O40" i="1"/>
  <c r="O2014" i="1"/>
  <c r="O1676" i="1"/>
  <c r="O399" i="1"/>
  <c r="O1834" i="1"/>
  <c r="O139" i="1"/>
  <c r="O478" i="1"/>
  <c r="O446" i="1"/>
  <c r="O1832" i="1"/>
  <c r="O394" i="1"/>
  <c r="O954" i="1"/>
  <c r="O254" i="1"/>
  <c r="O969" i="1"/>
  <c r="O3" i="1"/>
  <c r="O288" i="1"/>
  <c r="O874" i="1"/>
  <c r="O16" i="1"/>
  <c r="O1260" i="1"/>
  <c r="O906" i="1"/>
  <c r="O14" i="1"/>
  <c r="O655" i="1"/>
  <c r="O154" i="1"/>
  <c r="O1245" i="1"/>
  <c r="O147" i="1"/>
  <c r="O517" i="1"/>
  <c r="O1928" i="1"/>
  <c r="O233" i="1"/>
  <c r="O1145" i="1"/>
  <c r="O1024" i="1"/>
  <c r="O1003" i="1"/>
  <c r="O105" i="1"/>
  <c r="O1450" i="1"/>
  <c r="O1015" i="1"/>
  <c r="O2131" i="1"/>
  <c r="O798" i="1"/>
  <c r="O1489" i="1"/>
  <c r="O1874" i="1"/>
  <c r="O1290" i="1"/>
  <c r="O1398" i="1"/>
  <c r="O2012" i="1"/>
  <c r="O923" i="1"/>
  <c r="O112" i="1"/>
  <c r="O121" i="1"/>
  <c r="O464" i="1"/>
  <c r="O802" i="1"/>
  <c r="O1352" i="1"/>
  <c r="O362" i="1"/>
  <c r="O34" i="1"/>
  <c r="O950" i="1"/>
  <c r="O1429" i="1"/>
  <c r="O138" i="1"/>
  <c r="O75" i="1"/>
  <c r="O81" i="1"/>
  <c r="O772" i="1"/>
  <c r="O1081" i="1"/>
  <c r="O445" i="1"/>
  <c r="O1613" i="1"/>
  <c r="O161" i="1"/>
  <c r="O368" i="1"/>
  <c r="O1962" i="1"/>
  <c r="O1645" i="1"/>
  <c r="O1161" i="1"/>
  <c r="O143" i="1"/>
  <c r="O2342" i="1"/>
  <c r="O304" i="1"/>
  <c r="O529" i="1"/>
  <c r="O1433" i="1"/>
  <c r="O2298" i="1"/>
  <c r="O1076" i="1"/>
  <c r="O1086" i="1"/>
  <c r="O1578" i="1"/>
  <c r="O2332" i="1"/>
  <c r="O636" i="1"/>
  <c r="O1897" i="1"/>
  <c r="O1415" i="1"/>
  <c r="O1075" i="1"/>
  <c r="O2119" i="1"/>
  <c r="O1466" i="1"/>
  <c r="O74" i="1"/>
  <c r="O1590" i="1"/>
  <c r="O1036" i="1"/>
  <c r="O424" i="1"/>
  <c r="O764" i="1"/>
  <c r="O751" i="1"/>
  <c r="O371" i="1"/>
  <c r="O593" i="1"/>
  <c r="O1426" i="1"/>
  <c r="O417" i="1"/>
  <c r="O110" i="1"/>
  <c r="O419" i="1"/>
  <c r="O1183" i="1"/>
  <c r="O1492" i="1"/>
  <c r="O1995" i="1"/>
  <c r="O929" i="1"/>
  <c r="O2205" i="1"/>
  <c r="O72" i="1"/>
  <c r="O789" i="1"/>
  <c r="O318" i="1"/>
  <c r="O1740" i="1"/>
  <c r="O1351" i="1"/>
  <c r="O415" i="1"/>
  <c r="O1265" i="1"/>
  <c r="O137" i="1"/>
  <c r="O1338" i="1"/>
  <c r="O630" i="1"/>
  <c r="O435" i="1"/>
  <c r="O460" i="1"/>
  <c r="O389" i="1"/>
  <c r="O668" i="1"/>
  <c r="O1373" i="1"/>
  <c r="O1980" i="1"/>
  <c r="O1157" i="1"/>
  <c r="O758" i="1"/>
  <c r="O405" i="1"/>
  <c r="O1269" i="1"/>
  <c r="O181" i="1"/>
  <c r="O761" i="1"/>
  <c r="O700" i="1"/>
  <c r="O268" i="1"/>
  <c r="O227" i="1"/>
  <c r="O163" i="1"/>
  <c r="O814" i="1"/>
  <c r="O502" i="1"/>
  <c r="O1007" i="1"/>
  <c r="O2028" i="1"/>
  <c r="O1207" i="1"/>
  <c r="O245" i="1"/>
  <c r="O981" i="1"/>
  <c r="O1393" i="1"/>
  <c r="O1612" i="1"/>
  <c r="O472" i="1"/>
  <c r="O884" i="1"/>
  <c r="O2396" i="1"/>
  <c r="O2125" i="1"/>
  <c r="O624" i="1"/>
  <c r="O881" i="1"/>
  <c r="O919" i="1"/>
  <c r="O225" i="1"/>
  <c r="O267" i="1"/>
  <c r="O1060" i="1"/>
  <c r="O1607" i="1"/>
  <c r="O322" i="1"/>
  <c r="O234" i="1"/>
  <c r="O60" i="1"/>
  <c r="O83" i="1"/>
  <c r="O387" i="1"/>
  <c r="O1369" i="1"/>
  <c r="O992" i="1"/>
  <c r="O101" i="1"/>
  <c r="O886" i="1"/>
  <c r="O122" i="1"/>
  <c r="O703" i="1"/>
  <c r="O90" i="1"/>
  <c r="O710" i="1"/>
  <c r="O348" i="1"/>
  <c r="O1493" i="1"/>
  <c r="O428" i="1"/>
  <c r="O857" i="1"/>
  <c r="O892" i="1"/>
  <c r="O1917" i="1"/>
  <c r="O809" i="1"/>
  <c r="O810" i="1"/>
  <c r="O1668" i="1"/>
  <c r="O287" i="1"/>
  <c r="O488" i="1"/>
  <c r="O504" i="1"/>
  <c r="O528" i="1"/>
  <c r="O1071" i="1"/>
  <c r="O1921" i="1"/>
  <c r="O1344" i="1"/>
  <c r="O1219" i="1"/>
  <c r="O432" i="1"/>
  <c r="O1092" i="1"/>
  <c r="O665" i="1"/>
  <c r="O896" i="1"/>
  <c r="O1527" i="1"/>
  <c r="O568" i="1"/>
  <c r="O19" i="1"/>
  <c r="O495" i="1"/>
  <c r="O531" i="1"/>
  <c r="O224" i="1"/>
  <c r="O2107" i="1"/>
  <c r="O1042" i="1"/>
  <c r="O2202" i="1"/>
  <c r="O321" i="1"/>
  <c r="O503" i="1"/>
  <c r="O956" i="1"/>
  <c r="O994" i="1"/>
  <c r="O1525" i="1"/>
  <c r="O940" i="1"/>
  <c r="O944" i="1"/>
  <c r="O1702" i="1"/>
  <c r="O421" i="1"/>
  <c r="O707" i="1"/>
  <c r="O723" i="1"/>
  <c r="O1712" i="1"/>
  <c r="O797" i="1"/>
  <c r="O364" i="1"/>
  <c r="O1794" i="1"/>
  <c r="O650" i="1"/>
  <c r="O660" i="1"/>
  <c r="O1409" i="1"/>
  <c r="O2027" i="1"/>
  <c r="O724" i="1"/>
  <c r="O1440" i="1"/>
  <c r="O2348" i="1"/>
  <c r="O559" i="1"/>
  <c r="O577" i="1"/>
  <c r="O454" i="1"/>
  <c r="O910" i="1"/>
  <c r="O2006" i="1"/>
  <c r="O1754" i="1"/>
  <c r="O463" i="1"/>
  <c r="O1138" i="1"/>
  <c r="O149" i="1"/>
  <c r="O684" i="1"/>
  <c r="O174" i="1"/>
  <c r="O696" i="1"/>
  <c r="O1177" i="1"/>
  <c r="O204" i="1"/>
  <c r="O384" i="1"/>
  <c r="O533" i="1"/>
  <c r="O805" i="1"/>
  <c r="O1438" i="1"/>
  <c r="O1165" i="1"/>
  <c r="O1845" i="1"/>
  <c r="O39" i="1"/>
  <c r="O202" i="1"/>
  <c r="O185" i="1"/>
  <c r="O365" i="1"/>
  <c r="O615" i="1"/>
  <c r="O1221" i="1"/>
  <c r="O1119" i="1"/>
  <c r="O2101" i="1"/>
  <c r="O178" i="1"/>
  <c r="O627" i="1"/>
  <c r="O73" i="1"/>
  <c r="O1315" i="1"/>
  <c r="O697" i="1"/>
  <c r="O272" i="1"/>
  <c r="O1506" i="1"/>
  <c r="O633" i="1"/>
  <c r="O666" i="1"/>
  <c r="O132" i="1"/>
  <c r="O469" i="1"/>
  <c r="O1206" i="1"/>
  <c r="O1538" i="1"/>
  <c r="O1111" i="1"/>
  <c r="O167" i="1"/>
  <c r="O357" i="1"/>
  <c r="O487" i="1"/>
  <c r="O780" i="1"/>
  <c r="O1411" i="1"/>
  <c r="O1128" i="1"/>
  <c r="O2039" i="1"/>
  <c r="O638" i="1"/>
  <c r="O850" i="1"/>
  <c r="O1419" i="1"/>
  <c r="O310" i="1"/>
  <c r="O1137" i="1"/>
  <c r="O501" i="1"/>
  <c r="O1541" i="1"/>
  <c r="O959" i="1"/>
  <c r="O1028" i="1"/>
  <c r="O1029" i="1"/>
  <c r="O2250" i="1"/>
  <c r="O2391" i="1"/>
  <c r="O1923" i="1"/>
  <c r="O2254" i="1"/>
  <c r="O104" i="1"/>
  <c r="O119" i="1"/>
  <c r="O76" i="1"/>
  <c r="O1349" i="1"/>
  <c r="O1034" i="1"/>
  <c r="O1891" i="1"/>
  <c r="O490" i="1"/>
  <c r="O844" i="1"/>
  <c r="O370" i="1"/>
  <c r="O637" i="1"/>
  <c r="O379" i="1"/>
  <c r="O653" i="1"/>
  <c r="O331" i="1"/>
  <c r="O468" i="1"/>
  <c r="O611" i="1"/>
  <c r="O945" i="1"/>
  <c r="O1742" i="1"/>
  <c r="O1719" i="1"/>
  <c r="O1775" i="1"/>
  <c r="O2308" i="1"/>
  <c r="O2013" i="1"/>
  <c r="O198" i="1"/>
  <c r="O278" i="1"/>
  <c r="O355" i="1"/>
  <c r="O440" i="1"/>
  <c r="O523" i="1"/>
  <c r="O1121" i="1"/>
  <c r="O1287" i="1"/>
  <c r="O329" i="1"/>
  <c r="O1752" i="1"/>
  <c r="O1252" i="1"/>
  <c r="O1311" i="1"/>
  <c r="O1482" i="1"/>
  <c r="O2204" i="1"/>
  <c r="O826" i="1"/>
  <c r="O335" i="1"/>
  <c r="O374" i="1"/>
  <c r="O199" i="1"/>
  <c r="O1289" i="1"/>
  <c r="O699" i="1"/>
  <c r="O1173" i="1"/>
  <c r="O1361" i="1"/>
  <c r="O754" i="1"/>
  <c r="O2118" i="1"/>
  <c r="O2193" i="1"/>
  <c r="O1355" i="1"/>
  <c r="O1787" i="1"/>
  <c r="O677" i="1"/>
  <c r="O1626" i="1"/>
  <c r="O2259" i="1"/>
  <c r="O1499" i="1"/>
  <c r="O1281" i="1"/>
  <c r="O1667" i="1"/>
  <c r="O1488" i="1"/>
  <c r="O1871" i="1"/>
  <c r="O1452" i="1"/>
  <c r="O629" i="1"/>
  <c r="O765" i="1"/>
  <c r="O607" i="1"/>
  <c r="O1688" i="1"/>
  <c r="O1529" i="1"/>
  <c r="O2387" i="1"/>
  <c r="O743" i="1"/>
  <c r="O2321" i="1"/>
  <c r="O277" i="1"/>
  <c r="O1285" i="1"/>
  <c r="O172" i="1"/>
  <c r="O806" i="1"/>
  <c r="O2236" i="1"/>
  <c r="O239" i="1"/>
  <c r="O1665" i="1"/>
  <c r="O885" i="1"/>
  <c r="O1360" i="1"/>
  <c r="O263" i="1"/>
  <c r="O1422" i="1"/>
  <c r="O499" i="1"/>
  <c r="O55" i="1"/>
  <c r="O708" i="1"/>
  <c r="O856" i="1"/>
  <c r="O330" i="1"/>
  <c r="O1653" i="1"/>
  <c r="O2120" i="1"/>
  <c r="O1388" i="1"/>
  <c r="O1595" i="1"/>
  <c r="O1504" i="1"/>
  <c r="O1124" i="1"/>
  <c r="O1584" i="1"/>
  <c r="O1447" i="1"/>
  <c r="O1502" i="1"/>
  <c r="O1303" i="1"/>
  <c r="O1919" i="1"/>
  <c r="O397" i="1"/>
  <c r="O2327" i="1"/>
  <c r="O1554" i="1"/>
  <c r="O2360" i="1"/>
  <c r="O2106" i="1"/>
  <c r="O1216" i="1"/>
  <c r="O1214" i="1"/>
  <c r="O1598" i="1"/>
  <c r="O1198" i="1"/>
  <c r="O1250" i="1"/>
  <c r="O1835" i="1"/>
  <c r="O1142" i="1"/>
  <c r="O1731" i="1"/>
  <c r="O1381" i="1"/>
  <c r="O1170" i="1"/>
  <c r="O2026" i="1"/>
  <c r="O1483" i="1"/>
  <c r="O1155" i="1"/>
  <c r="O785" i="1"/>
  <c r="O1692" i="1"/>
  <c r="O1156" i="1"/>
  <c r="O786" i="1"/>
  <c r="O1619" i="1"/>
  <c r="O1617" i="1"/>
  <c r="O316" i="1"/>
  <c r="O685" i="1"/>
  <c r="O1313" i="1"/>
  <c r="O451" i="1"/>
  <c r="O1058" i="1"/>
  <c r="O1308" i="1"/>
  <c r="O1542" i="1"/>
  <c r="O1979" i="1"/>
  <c r="O2340" i="1"/>
  <c r="O2295" i="1"/>
  <c r="O2066" i="1"/>
  <c r="O2309" i="1"/>
  <c r="O2358" i="1"/>
  <c r="O1454" i="1"/>
  <c r="O713" i="1"/>
  <c r="O1140" i="1"/>
  <c r="O1857" i="1"/>
  <c r="O902" i="1"/>
  <c r="O1098" i="1"/>
  <c r="O1552" i="1"/>
  <c r="O903" i="1"/>
  <c r="O1099" i="1"/>
  <c r="O1922" i="1"/>
  <c r="O2081" i="1"/>
  <c r="O1095" i="1"/>
  <c r="O1404" i="1"/>
  <c r="O1767" i="1"/>
  <c r="O1084" i="1"/>
  <c r="O1192" i="1"/>
  <c r="O2024" i="1"/>
  <c r="O1903" i="1"/>
  <c r="O1152" i="1"/>
  <c r="O1213" i="1"/>
  <c r="O2258" i="1"/>
  <c r="O2110" i="1"/>
  <c r="O2124" i="1"/>
  <c r="O730" i="1"/>
  <c r="O1055" i="1"/>
  <c r="O334" i="1"/>
  <c r="O845" i="1"/>
  <c r="O1469" i="1"/>
  <c r="O822" i="1"/>
  <c r="O527" i="1"/>
  <c r="O1949" i="1"/>
  <c r="O1900" i="1"/>
  <c r="O1722" i="1"/>
  <c r="O1201" i="1"/>
  <c r="O1108" i="1"/>
  <c r="O2251" i="1"/>
  <c r="O1890" i="1"/>
  <c r="O1856" i="1"/>
  <c r="O2072" i="1"/>
  <c r="O1227" i="1"/>
  <c r="O1284" i="1"/>
  <c r="O901" i="1"/>
  <c r="O643" i="1"/>
  <c r="O382" i="1"/>
  <c r="O2091" i="1"/>
  <c r="O1693" i="1"/>
  <c r="O1807" i="1"/>
  <c r="O1539" i="1"/>
  <c r="O1436" i="1"/>
  <c r="O2375" i="1"/>
  <c r="O2294" i="1"/>
  <c r="O1565" i="1"/>
  <c r="O2206" i="1"/>
  <c r="O2268" i="1"/>
  <c r="O1967" i="1"/>
  <c r="O2042" i="1"/>
  <c r="O1717" i="1"/>
  <c r="O1115" i="1"/>
  <c r="O1808" i="1"/>
  <c r="O2269" i="1"/>
  <c r="O2058" i="1"/>
  <c r="O1806" i="1"/>
  <c r="O2008" i="1"/>
  <c r="O1753" i="1"/>
  <c r="O2230" i="1"/>
  <c r="O1881" i="1"/>
  <c r="O2093" i="1"/>
  <c r="O2345" i="1"/>
  <c r="O2010" i="1"/>
  <c r="O1978" i="1"/>
  <c r="O1920" i="1"/>
  <c r="O1824" i="1"/>
  <c r="O1725" i="1"/>
  <c r="O1531" i="1"/>
  <c r="O1309" i="1"/>
  <c r="O1592" i="1"/>
  <c r="O2338" i="1"/>
  <c r="O1809" i="1"/>
  <c r="O1519" i="1"/>
  <c r="O2380" i="1"/>
  <c r="O2149" i="1"/>
  <c r="O2005" i="1"/>
  <c r="O1596" i="1"/>
  <c r="O1854" i="1"/>
  <c r="O2262" i="1"/>
  <c r="O2216" i="1"/>
  <c r="O2017" i="1"/>
  <c r="O1977" i="1"/>
  <c r="O1800" i="1"/>
  <c r="O626" i="1"/>
  <c r="O1727" i="1"/>
  <c r="O1041" i="1"/>
  <c r="O1341" i="1"/>
  <c r="O1833" i="1"/>
  <c r="O1370" i="1"/>
  <c r="O1402" i="1"/>
  <c r="O1382" i="1"/>
  <c r="O1981" i="1"/>
  <c r="O1837" i="1"/>
  <c r="O732" i="1"/>
  <c r="O206" i="1"/>
  <c r="O1035" i="1"/>
  <c r="O99" i="1"/>
  <c r="O142" i="1"/>
  <c r="O241" i="1"/>
  <c r="O461" i="1"/>
  <c r="O823" i="1"/>
  <c r="O1568" i="1"/>
  <c r="O2190" i="1"/>
  <c r="O753" i="1"/>
  <c r="O972" i="1"/>
  <c r="O1566" i="1"/>
  <c r="O1008" i="1"/>
  <c r="O2034" i="1"/>
  <c r="O1708" i="1"/>
  <c r="O1337" i="1"/>
  <c r="O1366" i="1"/>
  <c r="O1342" i="1"/>
  <c r="O2316" i="1"/>
  <c r="O2400" i="1"/>
  <c r="O251" i="1"/>
  <c r="O778" i="1"/>
  <c r="O782" i="1"/>
  <c r="O2233" i="1"/>
  <c r="O2169" i="1"/>
  <c r="O2103" i="1"/>
  <c r="O1889" i="1"/>
  <c r="O85" i="1"/>
  <c r="O176" i="1"/>
  <c r="O91" i="1"/>
  <c r="O193" i="1"/>
  <c r="O183" i="1"/>
  <c r="O87" i="1"/>
  <c r="O228" i="1"/>
  <c r="O1425" i="1"/>
  <c r="O473" i="1"/>
  <c r="O1481" i="1"/>
  <c r="O1505" i="1"/>
  <c r="O2136" i="1"/>
  <c r="O512" i="1"/>
  <c r="O867" i="1"/>
  <c r="O640" i="1"/>
  <c r="O393" i="1"/>
  <c r="O849" i="1"/>
  <c r="O815" i="1"/>
  <c r="O1356" i="1"/>
  <c r="O864" i="1"/>
  <c r="O1663" i="1"/>
  <c r="O1610" i="1"/>
  <c r="O2108" i="1"/>
  <c r="O792" i="1"/>
  <c r="O2300" i="1"/>
  <c r="O799" i="1"/>
  <c r="O1761" i="1"/>
  <c r="O1575" i="1"/>
  <c r="O270" i="1"/>
  <c r="O345" i="1"/>
  <c r="O412" i="1"/>
  <c r="O491" i="1"/>
  <c r="O555" i="1"/>
  <c r="O569" i="1"/>
  <c r="O1329" i="1"/>
  <c r="O1052" i="1"/>
  <c r="O1509" i="1"/>
  <c r="O606" i="1"/>
  <c r="O1497" i="1"/>
  <c r="O1747" i="1"/>
  <c r="O1310" i="1"/>
  <c r="O1286" i="1"/>
  <c r="O2192" i="1"/>
  <c r="O2156" i="1"/>
  <c r="O734" i="1"/>
  <c r="O2219" i="1"/>
  <c r="O735" i="1"/>
  <c r="O2048" i="1"/>
  <c r="O2209" i="1"/>
  <c r="O1346" i="1"/>
  <c r="O298" i="1"/>
  <c r="O306" i="1"/>
  <c r="O2247" i="1"/>
  <c r="O2273" i="1"/>
  <c r="O1768" i="1"/>
  <c r="O2127" i="1"/>
  <c r="O591" i="1"/>
  <c r="O2177" i="1"/>
  <c r="O949" i="1"/>
  <c r="O1424" i="1"/>
  <c r="O1621" i="1"/>
  <c r="O1263" i="1"/>
  <c r="O1304" i="1"/>
  <c r="O1272" i="1"/>
  <c r="O1782" i="1"/>
  <c r="O1697" i="1"/>
  <c r="O752" i="1"/>
  <c r="O2062" i="1"/>
  <c r="O1079" i="1"/>
  <c r="O978" i="1"/>
  <c r="O1374" i="1"/>
  <c r="O834" i="1"/>
  <c r="O1101" i="1"/>
  <c r="O1046" i="1"/>
  <c r="O1112" i="1"/>
  <c r="O837" i="1"/>
  <c r="O1104" i="1"/>
  <c r="O1051" i="1"/>
  <c r="O2078" i="1"/>
  <c r="O2015" i="1"/>
  <c r="O1559" i="1"/>
  <c r="O982" i="1"/>
  <c r="O965" i="1"/>
  <c r="O807" i="1"/>
  <c r="O712" i="1"/>
  <c r="O970" i="1"/>
  <c r="O715" i="1"/>
  <c r="O975" i="1"/>
  <c r="O2318" i="1"/>
  <c r="O2011" i="1"/>
  <c r="O1946" i="1"/>
  <c r="O2128" i="1"/>
  <c r="O2242" i="1"/>
  <c r="O1680" i="1"/>
  <c r="O1770" i="1"/>
  <c r="O1734" i="1"/>
  <c r="O1728" i="1"/>
  <c r="O2371" i="1"/>
  <c r="O1354" i="1"/>
  <c r="O1363" i="1"/>
  <c r="O1937" i="1"/>
  <c r="O1067" i="1"/>
  <c r="O2099" i="1"/>
  <c r="O937" i="1"/>
  <c r="O323" i="1"/>
  <c r="O1331" i="1"/>
  <c r="O1797" i="1"/>
  <c r="O938" i="1"/>
  <c r="O328" i="1"/>
  <c r="O1335" i="1"/>
  <c r="O1184" i="1"/>
  <c r="O1535" i="1"/>
  <c r="O2185" i="1"/>
  <c r="O1407" i="1"/>
  <c r="O790" i="1"/>
  <c r="O479" i="1"/>
  <c r="O1199" i="1"/>
  <c r="O1624" i="1"/>
  <c r="O1202" i="1"/>
  <c r="O1634" i="1"/>
  <c r="O2324" i="1"/>
  <c r="O1298" i="1"/>
  <c r="O1648" i="1"/>
  <c r="O2060" i="1"/>
  <c r="O2074" i="1"/>
  <c r="O2132" i="1"/>
  <c r="O1821" i="1"/>
  <c r="O1225" i="1"/>
  <c r="O1941" i="1"/>
  <c r="O1301" i="1"/>
  <c r="O1109" i="1"/>
  <c r="O947" i="1"/>
  <c r="O1427" i="1"/>
  <c r="O1144" i="1"/>
  <c r="O1027" i="1"/>
  <c r="O1637" i="1"/>
  <c r="O1147" i="1"/>
  <c r="O1032" i="1"/>
  <c r="O1134" i="1"/>
  <c r="O2109" i="1"/>
  <c r="O2171" i="1"/>
  <c r="O1803" i="1"/>
  <c r="O2352" i="1"/>
  <c r="O2325" i="1"/>
  <c r="O1893" i="1"/>
  <c r="O1773" i="1"/>
  <c r="O1774" i="1"/>
  <c r="O1924" i="1"/>
  <c r="O2092" i="1"/>
  <c r="O1836" i="1"/>
  <c r="O1238" i="1"/>
  <c r="O1255" i="1"/>
  <c r="O941" i="1"/>
  <c r="O1167" i="1"/>
  <c r="O1926" i="1"/>
  <c r="O946" i="1"/>
  <c r="O1181" i="1"/>
  <c r="O1815" i="1"/>
  <c r="O1340" i="1"/>
  <c r="O2003" i="1"/>
  <c r="O1729" i="1"/>
  <c r="O1397" i="1"/>
  <c r="O2319" i="1"/>
  <c r="O1789" i="1"/>
  <c r="O1449" i="1"/>
  <c r="O2277" i="1"/>
  <c r="O2218" i="1"/>
  <c r="O1528" i="1"/>
  <c r="O2385" i="1"/>
  <c r="O1875" i="1"/>
  <c r="O1517" i="1"/>
  <c r="O1681" i="1"/>
  <c r="O1230" i="1"/>
  <c r="O1511" i="1"/>
  <c r="O1460" i="1"/>
  <c r="O2045" i="1"/>
  <c r="O2305" i="1"/>
  <c r="O1655" i="1"/>
  <c r="O1343" i="1"/>
  <c r="O1585" i="1"/>
  <c r="O1520" i="1"/>
  <c r="O1982" i="1"/>
  <c r="O2383" i="1"/>
  <c r="O1791" i="1"/>
  <c r="O2343" i="1"/>
  <c r="O2363" i="1"/>
  <c r="O2263" i="1"/>
  <c r="O1907" i="1"/>
  <c r="O2329" i="1"/>
  <c r="O2384" i="1"/>
  <c r="O1894" i="1"/>
  <c r="O2314" i="1"/>
  <c r="O2357" i="1"/>
  <c r="O1589" i="1"/>
  <c r="O1961" i="1"/>
  <c r="O2303" i="1"/>
  <c r="O2000" i="1"/>
  <c r="O1888" i="1"/>
  <c r="O1188" i="1"/>
  <c r="O1601" i="1"/>
  <c r="O1781" i="1"/>
  <c r="O1915" i="1"/>
  <c r="O2264" i="1"/>
  <c r="O1975" i="1"/>
  <c r="O1262" i="1"/>
  <c r="O1656" i="1"/>
  <c r="O1940" i="1"/>
  <c r="O2032" i="1"/>
  <c r="O1420" i="1"/>
  <c r="O1632" i="1"/>
  <c r="O2166" i="1"/>
  <c r="O1790" i="1"/>
  <c r="O1675" i="1"/>
  <c r="O2282" i="1"/>
  <c r="O1779" i="1"/>
  <c r="O1666" i="1"/>
  <c r="O2232" i="1"/>
  <c r="O2050" i="1"/>
  <c r="O1365" i="1"/>
  <c r="O2199" i="1"/>
  <c r="O2292" i="1"/>
  <c r="O2115" i="1"/>
  <c r="O2392" i="1"/>
  <c r="O1629" i="1"/>
  <c r="O2038" i="1"/>
  <c r="O2249" i="1"/>
  <c r="O2304" i="1"/>
  <c r="O1494" i="1"/>
  <c r="O547" i="1"/>
  <c r="O1918" i="1"/>
  <c r="O860" i="1"/>
  <c r="O2373" i="1"/>
  <c r="O1614" i="1"/>
  <c r="O770" i="1"/>
  <c r="O1322" i="1"/>
  <c r="O2224" i="1"/>
  <c r="O1625" i="1"/>
  <c r="O771" i="1"/>
  <c r="O1323" i="1"/>
  <c r="O1333" i="1"/>
  <c r="O2138" i="1"/>
  <c r="O1458" i="1"/>
  <c r="O1748" i="1"/>
  <c r="O2231" i="1"/>
  <c r="O2158" i="1"/>
  <c r="O1500" i="1"/>
  <c r="O1829" i="1"/>
  <c r="O2288" i="1"/>
  <c r="O2275" i="1"/>
  <c r="O2041" i="1"/>
  <c r="O2220" i="1"/>
  <c r="O2255" i="1"/>
  <c r="O2284" i="1"/>
  <c r="O2238" i="1"/>
  <c r="O1716" i="1"/>
  <c r="O610" i="1"/>
  <c r="O1623" i="1"/>
  <c r="O1264" i="1"/>
  <c r="O658" i="1"/>
  <c r="O1721" i="1"/>
  <c r="O2023" i="1"/>
  <c r="O1276" i="1"/>
  <c r="O659" i="1"/>
  <c r="O1733" i="1"/>
  <c r="O2331" i="1"/>
  <c r="O2152" i="1"/>
  <c r="O1172" i="1"/>
  <c r="O1384" i="1"/>
  <c r="O2071" i="1"/>
  <c r="O2214" i="1"/>
  <c r="O1224" i="1"/>
  <c r="O1465" i="1"/>
  <c r="O2112" i="1"/>
  <c r="O1969" i="1"/>
  <c r="O1711" i="1"/>
  <c r="O2122" i="1"/>
  <c r="O2167" i="1"/>
  <c r="O2197" i="1"/>
  <c r="O2148" i="1"/>
  <c r="O2179" i="1"/>
  <c r="O1444" i="1"/>
  <c r="O1495" i="1"/>
  <c r="O1860" i="1"/>
  <c r="O1718" i="1"/>
  <c r="O1798" i="1"/>
  <c r="O1237" i="1"/>
  <c r="O1576" i="1"/>
  <c r="O1473" i="1"/>
  <c r="O2368" i="1"/>
  <c r="O2133" i="1"/>
  <c r="O2399" i="1"/>
  <c r="O1983" i="1"/>
  <c r="O1929" i="1"/>
  <c r="O1292" i="1"/>
  <c r="O1788" i="1"/>
  <c r="O1530" i="1"/>
  <c r="O1583" i="1"/>
  <c r="O2212" i="1"/>
  <c r="O2061" i="1"/>
  <c r="O2070" i="1"/>
  <c r="O1345" i="1"/>
  <c r="O2144" i="1"/>
  <c r="O1701" i="1"/>
  <c r="O2198" i="1"/>
  <c r="O1730" i="1"/>
  <c r="O2239" i="1"/>
  <c r="O1759" i="1"/>
  <c r="O2257" i="1"/>
  <c r="O1714" i="1"/>
  <c r="O2215" i="1"/>
  <c r="O1741" i="1"/>
  <c r="O2244" i="1"/>
  <c r="O1416" i="1"/>
  <c r="O1996" i="1"/>
  <c r="O2180" i="1"/>
  <c r="O2369" i="1"/>
  <c r="O1694" i="1"/>
  <c r="O1615" i="1"/>
  <c r="O2102" i="1"/>
  <c r="O2021" i="1"/>
  <c r="O2046" i="1"/>
  <c r="O2237" i="1"/>
  <c r="O2221" i="1"/>
  <c r="O2248" i="1"/>
  <c r="O2086" i="1"/>
  <c r="O1670" i="1"/>
  <c r="O2135" i="1"/>
  <c r="O2187" i="1"/>
  <c r="O2229" i="1"/>
  <c r="O2310" i="1"/>
  <c r="O2341" i="1"/>
  <c r="O2365" i="1"/>
  <c r="O1819" i="1"/>
  <c r="O2354" i="1"/>
  <c r="O2020" i="1"/>
  <c r="O2353" i="1"/>
  <c r="O2057" i="1"/>
  <c r="O2389" i="1"/>
  <c r="O2094" i="1"/>
  <c r="O2336" i="1"/>
  <c r="O2037" i="1"/>
  <c r="O2377" i="1"/>
  <c r="O2073" i="1"/>
  <c r="O24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<sst xmlns="http://schemas.openxmlformats.org/spreadsheetml/2006/main" count="14791" uniqueCount="2573">
  <si>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</si>
  <si>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</si>
  <si>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</si>
  <si>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</si>
  <si>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</si>
  <si>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</si>
  <si>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</si>
  <si>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</si>
  <si>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</si>
  <si>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</si>
  <si>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</si>
  <si>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</si>
  <si>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</si>
  <si>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</si>
  <si>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</si>
  <si>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</si>
  <si>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</si>
  <si>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</si>
  <si>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</si>
  <si>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</si>
  <si>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</si>
  <si>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</si>
  <si>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</si>
  <si>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</si>
  <si>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</si>
  <si>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</si>
  <si>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</si>
  <si>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</si>
  <si>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</si>
  <si>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</si>
  <si>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</si>
  <si>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</si>
  <si>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</si>
  <si>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</si>
  <si>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</si>
  <si>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</si>
  <si>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</si>
  <si>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</si>
  <si>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</si>
  <si>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</si>
  <si>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</si>
  <si>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</si>
  <si>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</si>
  <si>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</si>
  <si>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</si>
  <si>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</si>
  <si>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</si>
  <si>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</si>
  <si>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</si>
  <si>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</si>
  <si>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</si>
  <si>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</si>
  <si>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</si>
  <si>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</si>
  <si>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</si>
  <si>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</si>
  <si>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</si>
  <si>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</si>
  <si>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</si>
  <si>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</si>
  <si>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</si>
  <si>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</si>
  <si>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</si>
  <si>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</si>
  <si>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</si>
  <si>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</si>
  <si>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</si>
  <si>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</si>
  <si>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</si>
  <si>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</si>
  <si>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</si>
  <si>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</si>
  <si>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</si>
  <si>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</si>
  <si>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</si>
  <si>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</si>
  <si>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</si>
  <si>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</si>
  <si>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</si>
  <si>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</si>
  <si>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</si>
  <si>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</si>
  <si>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</si>
  <si>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</si>
  <si>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</si>
  <si>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</si>
  <si>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</si>
  <si>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</si>
  <si>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</si>
  <si>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</si>
  <si>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</si>
  <si>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</si>
  <si>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</si>
  <si>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</si>
  <si>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</si>
  <si>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</si>
  <si>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</si>
  <si>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</si>
  <si>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</si>
  <si>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</si>
  <si>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</si>
  <si>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</si>
  <si>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</si>
  <si>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</si>
  <si>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</si>
  <si>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</si>
  <si>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</si>
  <si>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</si>
  <si>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</si>
  <si>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</si>
  <si>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</si>
  <si>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</si>
  <si>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</si>
  <si>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</si>
  <si>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</si>
  <si>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</si>
  <si>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</si>
  <si>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</si>
  <si>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</si>
  <si>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</si>
  <si>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</si>
  <si>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</si>
  <si>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</si>
  <si>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</si>
  <si>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</si>
  <si>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</si>
  <si>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</si>
  <si>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</si>
  <si>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</si>
  <si>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</si>
  <si>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</si>
  <si>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</si>
  <si>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</si>
  <si>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</si>
  <si>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</si>
  <si>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</si>
  <si>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</si>
  <si>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</si>
  <si>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</si>
  <si>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</si>
  <si>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</si>
  <si>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</si>
  <si>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</si>
  <si>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</si>
  <si>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</si>
  <si>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</si>
  <si>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</si>
  <si>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</si>
  <si>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</si>
  <si>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</si>
  <si>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</si>
  <si>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</si>
  <si>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</si>
  <si>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</si>
  <si>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</si>
  <si>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</si>
  <si>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</si>
  <si>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</si>
  <si>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</si>
  <si>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</si>
  <si>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</si>
  <si>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</si>
  <si>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</si>
  <si>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</si>
  <si>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</si>
  <si>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</si>
  <si>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</si>
  <si>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</si>
  <si>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</si>
  <si>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</si>
  <si>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</si>
  <si>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</si>
  <si>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</si>
  <si>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</si>
  <si>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</si>
  <si>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</si>
  <si>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</si>
  <si>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</si>
  <si>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</si>
  <si>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</si>
  <si>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</si>
  <si>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</si>
  <si>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</si>
  <si>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</si>
  <si>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</si>
  <si>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</si>
  <si>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</si>
  <si>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</si>
  <si>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</si>
  <si>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</si>
  <si>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</si>
  <si>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</si>
  <si>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</si>
  <si>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</si>
  <si>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</si>
  <si>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</si>
  <si>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</si>
  <si>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</si>
  <si>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</si>
  <si>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</si>
  <si>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</si>
  <si>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</si>
  <si>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</si>
  <si>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</si>
  <si>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</si>
  <si>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</si>
  <si>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</si>
  <si>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</si>
  <si>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</si>
  <si>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</si>
  <si>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</si>
  <si>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</si>
  <si>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</si>
  <si>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</si>
  <si>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</si>
  <si>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</si>
  <si>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</si>
  <si>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</si>
  <si>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</si>
  <si>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</si>
  <si>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</si>
  <si>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</si>
  <si>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</si>
  <si>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</si>
  <si>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</si>
  <si>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</si>
  <si>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</si>
  <si>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</si>
  <si>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</si>
  <si>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</si>
  <si>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</si>
  <si>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</si>
  <si>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</si>
  <si>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</si>
  <si>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</si>
  <si>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</si>
  <si>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</si>
  <si>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</si>
  <si>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</si>
  <si>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</si>
  <si>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</si>
  <si>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</si>
  <si>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</si>
  <si>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</si>
  <si>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</si>
  <si>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</si>
  <si>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</si>
  <si>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</si>
  <si>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</si>
  <si>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</si>
  <si>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</si>
  <si>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</si>
  <si>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</si>
  <si>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</si>
  <si>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</si>
  <si>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</si>
  <si>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</si>
  <si>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</si>
  <si>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</si>
  <si>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</si>
  <si>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</si>
  <si>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</si>
  <si>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</si>
  <si>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</si>
  <si>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</si>
  <si>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</si>
  <si>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</si>
  <si>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</si>
  <si>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</si>
  <si>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</si>
  <si>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</si>
  <si>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</si>
  <si>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</si>
  <si>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</si>
  <si>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</si>
  <si>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</si>
  <si>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</si>
  <si>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</si>
  <si>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</si>
  <si>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</si>
  <si>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</si>
  <si>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</si>
  <si>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</si>
  <si>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</si>
  <si>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</si>
  <si>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</si>
  <si>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</si>
  <si>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</si>
  <si>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</si>
  <si>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</si>
  <si>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</si>
  <si>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</si>
  <si>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</si>
  <si>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</si>
  <si>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</si>
  <si>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</si>
  <si>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</si>
  <si>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</si>
  <si>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</si>
  <si>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</si>
  <si>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</si>
  <si>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</si>
  <si>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</si>
  <si>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</si>
  <si>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</si>
  <si>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</si>
  <si>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</si>
  <si>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</si>
  <si>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</si>
  <si>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</si>
  <si>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</si>
  <si>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</si>
  <si>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</si>
  <si>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</si>
  <si>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</si>
  <si>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</si>
  <si>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</si>
  <si>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</si>
  <si>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</si>
  <si>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</si>
  <si>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</si>
  <si>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</si>
  <si>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</si>
  <si>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</si>
  <si>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</si>
  <si>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</si>
  <si>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</si>
  <si>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</si>
  <si>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</si>
  <si>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</si>
  <si>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</si>
  <si>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</si>
  <si>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</si>
  <si>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</si>
  <si>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</si>
  <si>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</si>
  <si>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</si>
  <si>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</si>
  <si>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</si>
  <si>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</si>
  <si>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</si>
  <si>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</si>
  <si>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</si>
  <si>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</si>
  <si>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</si>
  <si>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</si>
  <si>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</si>
  <si>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</si>
  <si>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</si>
  <si>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</si>
  <si>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</si>
  <si>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</si>
  <si>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</si>
  <si>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</si>
  <si>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</si>
  <si>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</si>
  <si>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</si>
  <si>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</si>
  <si>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</si>
  <si>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</si>
  <si>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</si>
  <si>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</si>
  <si>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</si>
  <si>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</si>
  <si>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</si>
  <si>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</si>
  <si>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</si>
  <si>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</si>
  <si>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</si>
  <si>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</si>
  <si>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</si>
  <si>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</si>
  <si>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</si>
  <si>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</si>
  <si>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</si>
  <si>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</si>
  <si>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</si>
  <si>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</si>
  <si>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</si>
  <si>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</si>
  <si>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</si>
  <si>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</si>
  <si>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</si>
  <si>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</si>
  <si>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</si>
  <si>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</si>
  <si>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</si>
  <si>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</si>
  <si>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</si>
  <si>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</si>
  <si>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</si>
  <si>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</si>
  <si>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</si>
  <si>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</si>
  <si>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</si>
  <si>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</si>
  <si>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</si>
  <si>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</si>
  <si>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</si>
  <si>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</si>
  <si>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</si>
  <si>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</si>
  <si>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</si>
  <si>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</si>
  <si>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</si>
  <si>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</si>
  <si>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</si>
  <si>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</si>
  <si>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</si>
  <si>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</si>
  <si>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</si>
  <si>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</si>
  <si>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</si>
  <si>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</si>
  <si>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</si>
  <si>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</si>
  <si>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</si>
  <si>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</si>
  <si>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</si>
  <si>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</si>
  <si>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</si>
  <si>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</si>
  <si>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</si>
  <si>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</si>
  <si>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</si>
  <si>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</si>
  <si>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</si>
  <si>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</si>
  <si>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</si>
  <si>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</si>
  <si>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</si>
  <si>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</si>
  <si>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</si>
  <si>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</si>
  <si>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</si>
  <si>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</si>
  <si>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</si>
  <si>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</si>
  <si>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</si>
  <si>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</si>
  <si>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</si>
  <si>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</si>
  <si>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</si>
  <si>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</si>
  <si>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</si>
  <si>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</si>
  <si>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</si>
  <si>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</si>
  <si>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</si>
  <si>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</si>
  <si>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</si>
  <si>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</si>
  <si>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</si>
  <si>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</si>
  <si>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</si>
  <si>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</si>
  <si>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</si>
  <si>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</si>
  <si>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</si>
  <si>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</si>
  <si>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</si>
  <si>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</si>
  <si>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</si>
  <si>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</si>
  <si>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</si>
  <si>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</si>
  <si>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</si>
  <si>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</si>
  <si>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</si>
  <si>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</si>
  <si>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</si>
  <si>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</si>
  <si>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</si>
  <si>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</si>
  <si>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</si>
  <si>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</si>
  <si>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</si>
  <si>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</si>
  <si>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</si>
  <si>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</si>
  <si>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</si>
  <si>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</si>
  <si>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</si>
  <si>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</si>
  <si>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</si>
  <si>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</si>
  <si>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</si>
  <si>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</si>
  <si>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</si>
  <si>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</si>
  <si>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</si>
  <si>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</si>
  <si>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</si>
  <si>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</si>
  <si>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</si>
  <si>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</si>
  <si>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</si>
  <si>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</si>
  <si>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</si>
  <si>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</si>
  <si>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</si>
  <si>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</si>
  <si>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</si>
  <si>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</si>
  <si>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</si>
  <si>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</si>
  <si>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</si>
  <si>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</si>
  <si>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</si>
  <si>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</si>
  <si>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</si>
  <si>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</si>
  <si>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</si>
  <si>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</si>
  <si>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</si>
  <si>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</si>
  <si>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</si>
  <si>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</si>
  <si>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</si>
  <si>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</si>
  <si>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</si>
  <si>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</si>
  <si>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</si>
  <si>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</si>
  <si>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</si>
  <si>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</si>
  <si>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</si>
  <si>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</si>
  <si>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</si>
  <si>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</si>
  <si>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</si>
  <si>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</si>
  <si>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</si>
  <si>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</si>
  <si>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</si>
  <si>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</si>
  <si>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</si>
  <si>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</si>
  <si>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</si>
  <si>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</si>
  <si>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</si>
  <si>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</si>
  <si>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</si>
  <si>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</si>
  <si>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</si>
  <si>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</si>
  <si>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</si>
  <si>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</si>
  <si>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</si>
  <si>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</si>
  <si>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</si>
  <si>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</si>
  <si>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</si>
  <si>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</si>
  <si>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</si>
  <si>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</si>
  <si>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</si>
  <si>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</si>
  <si>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</si>
  <si>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</si>
  <si>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</si>
  <si>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</si>
  <si>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</si>
  <si>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</si>
  <si>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</si>
  <si>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</si>
  <si>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</si>
  <si>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</si>
  <si>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</si>
  <si>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</si>
  <si>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</si>
  <si>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</si>
  <si>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</si>
  <si>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</si>
  <si>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</si>
  <si>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</si>
  <si>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</si>
  <si>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</si>
  <si>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</si>
  <si>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</si>
  <si>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</si>
  <si>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</si>
  <si>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</si>
  <si>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</si>
  <si>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</si>
  <si>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</si>
  <si>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</si>
  <si>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</si>
  <si>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</si>
  <si>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</si>
  <si>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</si>
  <si>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</si>
  <si>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</si>
  <si>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</si>
  <si>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</si>
  <si>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</si>
  <si>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</si>
  <si>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</si>
  <si>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</si>
  <si>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</si>
  <si>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</si>
  <si>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</si>
  <si>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</si>
  <si>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</si>
  <si>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</si>
  <si>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</si>
  <si>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</si>
  <si>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</si>
  <si>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</si>
  <si>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</si>
  <si>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</si>
  <si>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</si>
  <si>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</si>
  <si>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</si>
  <si>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</si>
  <si>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</si>
  <si>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</si>
  <si>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</si>
  <si>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</si>
  <si>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</si>
  <si>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</si>
  <si>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</si>
  <si>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</si>
  <si>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</si>
  <si>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</si>
  <si>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</si>
  <si>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</si>
  <si>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</si>
  <si>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</si>
  <si>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</si>
  <si>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</si>
  <si>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</si>
  <si>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</si>
  <si>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</si>
  <si>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</si>
  <si>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</si>
  <si>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</si>
  <si>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</si>
  <si>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</si>
  <si>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</si>
  <si>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</si>
  <si>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</si>
  <si>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</si>
  <si>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</si>
  <si>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</si>
  <si>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</si>
  <si>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</si>
  <si>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</si>
  <si>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</si>
  <si>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</si>
  <si>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</si>
  <si>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</si>
  <si>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</si>
  <si>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</si>
  <si>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</si>
  <si>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</si>
  <si>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</si>
  <si>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</si>
  <si>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</si>
  <si>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</si>
  <si>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</si>
  <si>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</si>
  <si>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</si>
  <si>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</si>
  <si>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</si>
  <si>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</si>
  <si>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</si>
  <si>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</si>
  <si>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</si>
  <si>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</si>
  <si>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</si>
  <si>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</si>
  <si>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</si>
  <si>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</si>
  <si>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</si>
  <si>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</si>
  <si>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</si>
  <si>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</si>
  <si>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</si>
  <si>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</si>
  <si>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</si>
  <si>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</si>
  <si>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</si>
  <si>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</si>
  <si>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</si>
  <si>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</si>
  <si>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</si>
  <si>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</si>
  <si>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</si>
  <si>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</si>
  <si>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</si>
  <si>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</si>
  <si>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</si>
  <si>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</si>
  <si>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</si>
  <si>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</si>
  <si>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</si>
  <si>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</si>
  <si>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</si>
  <si>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</si>
  <si>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</si>
  <si>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</si>
  <si>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</si>
  <si>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</si>
  <si>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</si>
  <si>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</si>
  <si>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</si>
  <si>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</si>
  <si>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</si>
  <si>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</si>
  <si>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</si>
  <si>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</si>
  <si>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</si>
  <si>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</si>
  <si>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</si>
  <si>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</si>
  <si>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</si>
  <si>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</si>
  <si>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</si>
  <si>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</si>
  <si>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</si>
  <si>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</si>
  <si>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</si>
  <si>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</si>
  <si>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</si>
  <si>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</si>
  <si>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</si>
  <si>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</si>
  <si>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</si>
  <si>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</si>
  <si>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</si>
  <si>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</si>
  <si>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</si>
  <si>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</si>
  <si>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</si>
  <si>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</si>
  <si>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</si>
  <si>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</si>
  <si>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</si>
  <si>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</si>
  <si>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</si>
  <si>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</si>
  <si>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</si>
  <si>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</si>
  <si>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</si>
  <si>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</si>
  <si>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</si>
  <si>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</si>
  <si>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</si>
  <si>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</si>
  <si>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</si>
  <si>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</si>
  <si>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</si>
  <si>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</si>
  <si>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</si>
  <si>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</si>
  <si>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</si>
  <si>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</si>
  <si>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</si>
  <si>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</si>
  <si>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</si>
  <si>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</si>
  <si>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</si>
  <si>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</si>
  <si>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</si>
  <si>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</si>
  <si>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</si>
  <si>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</si>
  <si>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</si>
  <si>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</si>
  <si>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</si>
  <si>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</si>
  <si>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</si>
  <si>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</si>
  <si>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</si>
  <si>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</si>
  <si>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</si>
  <si>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</si>
  <si>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</si>
  <si>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</si>
  <si>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</si>
  <si>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</si>
  <si>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</si>
  <si>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</si>
  <si>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</si>
  <si>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</si>
  <si>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</si>
  <si>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</si>
  <si>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</si>
  <si>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</si>
  <si>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</si>
  <si>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</si>
  <si>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</si>
  <si>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</si>
  <si>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</si>
  <si>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</si>
  <si>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</si>
  <si>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</si>
  <si>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</si>
  <si>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</si>
  <si>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</si>
  <si>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</si>
  <si>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</si>
  <si>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</si>
  <si>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</si>
  <si>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</si>
  <si>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</si>
  <si>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</si>
  <si>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</si>
  <si>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</si>
  <si>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</si>
  <si>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</si>
  <si>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</si>
  <si>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</si>
  <si>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</si>
  <si>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</si>
  <si>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</si>
  <si>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</si>
  <si>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</si>
  <si>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</si>
  <si>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</si>
  <si>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</si>
  <si>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</si>
  <si>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</si>
  <si>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</si>
  <si>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</si>
  <si>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</si>
  <si>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</si>
  <si>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</si>
  <si>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</si>
  <si>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</si>
  <si>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</si>
  <si>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</si>
  <si>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</si>
  <si>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</si>
  <si>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</si>
  <si>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</si>
  <si>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</si>
  <si>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</si>
  <si>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</si>
  <si>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</si>
  <si>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</si>
  <si>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</si>
  <si>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</si>
  <si>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</si>
  <si>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</si>
  <si>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</si>
  <si>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</si>
  <si>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</si>
  <si>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</si>
  <si>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</si>
  <si>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</si>
  <si>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</si>
  <si>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</si>
  <si>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</si>
  <si>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</si>
  <si>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</si>
  <si>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</si>
  <si>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</si>
  <si>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</si>
  <si>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</si>
  <si>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</si>
  <si>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</si>
  <si>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</si>
  <si>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</si>
  <si>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</si>
  <si>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</si>
  <si>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</si>
  <si>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</si>
  <si>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</si>
  <si>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</si>
  <si>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</si>
  <si>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</si>
  <si>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</si>
  <si>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</si>
  <si>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</si>
  <si>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</si>
  <si>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</si>
  <si>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</si>
  <si>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</si>
  <si>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</si>
  <si>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</si>
  <si>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</si>
  <si>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</si>
  <si>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</si>
  <si>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</si>
  <si>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</si>
  <si>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</si>
  <si>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</si>
  <si>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</si>
  <si>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</si>
  <si>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</si>
  <si>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</si>
  <si>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</si>
  <si>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</si>
  <si>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</si>
  <si>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</si>
  <si>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</si>
  <si>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</si>
  <si>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</si>
  <si>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</si>
  <si>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</si>
  <si>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</si>
  <si>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</si>
  <si>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</si>
  <si>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</si>
  <si>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</si>
  <si>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</si>
  <si>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</si>
  <si>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</si>
  <si>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</si>
  <si>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</si>
  <si>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</si>
  <si>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</si>
  <si>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</si>
  <si>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</si>
  <si>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</si>
  <si>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</si>
  <si>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</si>
  <si>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</si>
  <si>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</si>
  <si>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</si>
  <si>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</si>
  <si>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</si>
  <si>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</si>
  <si>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</si>
  <si>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</si>
  <si>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</si>
  <si>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</si>
  <si>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</si>
  <si>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</si>
  <si>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</si>
  <si>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</si>
  <si>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</si>
  <si>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</si>
  <si>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</si>
  <si>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</si>
  <si>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</si>
  <si>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</si>
  <si>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</si>
  <si>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</si>
  <si>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</si>
  <si>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</si>
  <si>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</si>
  <si>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</si>
  <si>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</si>
  <si>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</si>
  <si>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</si>
  <si>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</si>
  <si>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</si>
  <si>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</si>
  <si>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</si>
  <si>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</si>
  <si>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</si>
  <si>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</si>
  <si>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</si>
  <si>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</si>
  <si>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</si>
  <si>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</si>
  <si>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</si>
  <si>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</si>
  <si>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</si>
  <si>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</si>
  <si>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</si>
  <si>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</si>
  <si>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</si>
  <si>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</si>
  <si>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</si>
  <si>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</si>
  <si>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</si>
  <si>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</si>
  <si>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</si>
  <si>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</si>
  <si>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</si>
  <si>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</si>
  <si>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</si>
  <si>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</si>
  <si>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</si>
  <si>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</si>
  <si>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</si>
  <si>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</si>
  <si>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</si>
  <si>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</si>
  <si>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</si>
  <si>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</si>
  <si>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</si>
  <si>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</si>
  <si>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</si>
  <si>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</si>
  <si>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</si>
  <si>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</si>
  <si>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</si>
  <si>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</si>
  <si>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</si>
  <si>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</si>
  <si>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</si>
  <si>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</si>
  <si>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</si>
  <si>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</si>
  <si>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</si>
  <si>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</si>
  <si>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</si>
  <si>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</si>
  <si>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</si>
  <si>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</si>
  <si>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</si>
  <si>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</si>
  <si>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</si>
  <si>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</si>
  <si>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</si>
  <si>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</si>
  <si>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</si>
  <si>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</si>
  <si>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</si>
  <si>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</si>
  <si>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</si>
  <si>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</si>
  <si>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</si>
  <si>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</si>
  <si>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</si>
  <si>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</si>
  <si>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</si>
  <si>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</si>
  <si>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</si>
  <si>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</si>
  <si>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</si>
  <si>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</si>
  <si>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</si>
  <si>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</si>
  <si>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</si>
  <si>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</si>
  <si>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</si>
  <si>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</si>
  <si>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</si>
  <si>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</si>
  <si>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</si>
  <si>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</si>
  <si>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</si>
  <si>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</si>
  <si>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</si>
  <si>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</si>
  <si>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</si>
  <si>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</si>
  <si>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</si>
  <si>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</si>
  <si>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</si>
  <si>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</si>
  <si>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</si>
  <si>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</si>
  <si>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</si>
  <si>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</si>
  <si>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</si>
  <si>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</si>
  <si>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</si>
  <si>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</si>
  <si>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</si>
  <si>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</si>
  <si>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</si>
  <si>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</si>
  <si>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</si>
  <si>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</si>
  <si>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</si>
  <si>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</si>
  <si>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</si>
  <si>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</si>
  <si>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</si>
  <si>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</si>
  <si>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</si>
  <si>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</si>
  <si>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</si>
  <si>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</si>
  <si>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</si>
  <si>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</si>
  <si>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</si>
  <si>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</si>
  <si>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</si>
  <si>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</si>
  <si>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</si>
  <si>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</si>
  <si>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</si>
  <si>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</si>
  <si>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</si>
  <si>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</si>
  <si>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</si>
  <si>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</si>
  <si>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</si>
  <si>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</si>
  <si>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</si>
  <si>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</si>
  <si>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</si>
  <si>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</si>
  <si>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</si>
  <si>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</si>
  <si>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</si>
  <si>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</si>
  <si>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</si>
  <si>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</si>
  <si>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</si>
  <si>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</si>
  <si>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</si>
  <si>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</si>
  <si>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</si>
  <si>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</si>
  <si>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</si>
  <si>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</si>
  <si>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</si>
  <si>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</si>
  <si>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</si>
  <si>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</si>
  <si>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</si>
  <si>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</si>
  <si>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</si>
  <si>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</si>
  <si>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</si>
  <si>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</si>
  <si>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</si>
  <si>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</si>
  <si>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</si>
  <si>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</si>
  <si>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</si>
  <si>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</si>
  <si>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</si>
  <si>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</si>
  <si>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</si>
  <si>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</si>
  <si>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</si>
  <si>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</si>
  <si>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</si>
  <si>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</si>
  <si>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</si>
  <si>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</si>
  <si>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</si>
  <si>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</si>
  <si>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</si>
  <si>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</si>
  <si>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</si>
  <si>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</si>
  <si>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</si>
  <si>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</si>
  <si>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</si>
  <si>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</si>
  <si>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</si>
  <si>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</si>
  <si>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</si>
  <si>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</si>
  <si>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</si>
  <si>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</si>
  <si>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</si>
  <si>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</si>
  <si>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</si>
  <si>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</si>
  <si>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</si>
  <si>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</si>
  <si>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</si>
  <si>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</si>
  <si>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</si>
  <si>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</si>
  <si>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</si>
  <si>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</si>
  <si>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</si>
  <si>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</si>
  <si>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</si>
  <si>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</si>
  <si>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</si>
  <si>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</si>
  <si>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</si>
  <si>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</si>
  <si>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</si>
  <si>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</si>
  <si>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</si>
  <si>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</si>
  <si>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</si>
  <si>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</si>
  <si>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</si>
  <si>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</si>
  <si>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</si>
  <si>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</si>
  <si>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</si>
  <si>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</si>
  <si>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</si>
  <si>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</si>
  <si>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</si>
  <si>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</si>
  <si>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</si>
  <si>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</si>
  <si>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</si>
  <si>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</si>
  <si>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</si>
  <si>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</si>
  <si>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</si>
  <si>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</si>
  <si>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</si>
  <si>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</si>
  <si>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</si>
  <si>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</si>
  <si>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</si>
  <si>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</si>
  <si>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</si>
  <si>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</si>
  <si>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</si>
  <si>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</si>
  <si>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</si>
  <si>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</si>
  <si>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</si>
  <si>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</si>
  <si>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</si>
  <si>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</si>
  <si>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</si>
  <si>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</si>
  <si>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</si>
  <si>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</si>
  <si>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</si>
  <si>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</si>
  <si>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</si>
  <si>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</si>
  <si>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</si>
  <si>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</si>
  <si>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</si>
  <si>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</si>
  <si>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</si>
  <si>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</si>
  <si>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</si>
  <si>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</si>
  <si>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</si>
  <si>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</si>
  <si>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</si>
  <si>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</si>
  <si>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</si>
  <si>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</si>
  <si>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</si>
  <si>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</si>
  <si>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</si>
  <si>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</si>
  <si>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</si>
  <si>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</si>
  <si>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</si>
  <si>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</si>
  <si>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</si>
  <si>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</si>
  <si>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</si>
  <si>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</si>
  <si>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</si>
  <si>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</si>
  <si>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</si>
  <si>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</si>
  <si>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</si>
  <si>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</si>
  <si>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</si>
  <si>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</si>
  <si>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</si>
  <si>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</si>
  <si>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</si>
  <si>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</si>
  <si>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</si>
  <si>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</si>
  <si>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</si>
  <si>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</si>
  <si>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</si>
  <si>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</si>
  <si>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</si>
  <si>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</si>
  <si>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</si>
  <si>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</si>
  <si>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</si>
  <si>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</si>
  <si>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</si>
  <si>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</si>
  <si>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</si>
  <si>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</si>
  <si>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</si>
  <si>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</si>
  <si>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</si>
  <si>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</si>
  <si>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</si>
  <si>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</si>
  <si>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</si>
  <si>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</si>
  <si>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</si>
  <si>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</si>
  <si>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</si>
  <si>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</si>
  <si>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</si>
  <si>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</si>
  <si>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</si>
  <si>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</si>
  <si>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</si>
  <si>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</si>
  <si>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</si>
  <si>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</si>
  <si>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</si>
  <si>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</si>
  <si>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</si>
  <si>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</si>
  <si>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</si>
  <si>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</si>
  <si>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</si>
  <si>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</si>
  <si>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</si>
  <si>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</si>
  <si>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</si>
  <si>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</si>
  <si>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</si>
  <si>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</si>
  <si>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</si>
  <si>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</si>
  <si>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</si>
  <si>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</si>
  <si>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</si>
  <si>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</si>
  <si>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</si>
  <si>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</si>
  <si>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</si>
  <si>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</si>
  <si>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</si>
  <si>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</si>
  <si>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</si>
  <si>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</si>
  <si>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</si>
  <si>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</si>
  <si>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</si>
  <si>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</si>
  <si>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</si>
  <si>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</si>
  <si>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</si>
  <si>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</si>
  <si>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</si>
  <si>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</si>
  <si>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</si>
  <si>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</si>
  <si>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</si>
  <si>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</si>
  <si>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</si>
  <si>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</si>
  <si>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</si>
  <si>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</si>
  <si>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</si>
  <si>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</si>
  <si>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</si>
  <si>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</si>
  <si>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</si>
  <si>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</si>
  <si>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</si>
  <si>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</si>
  <si>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</si>
  <si>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</si>
  <si>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</si>
  <si>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</si>
  <si>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</si>
  <si>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</si>
  <si>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</si>
  <si>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</si>
  <si>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</si>
  <si>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</si>
  <si>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</si>
  <si>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</si>
  <si>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</si>
  <si>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</si>
  <si>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</si>
  <si>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</si>
  <si>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</si>
  <si>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</si>
  <si>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</si>
  <si>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</si>
  <si>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</si>
  <si>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</si>
  <si>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</si>
  <si>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</si>
  <si>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</si>
  <si>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</si>
  <si>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</si>
  <si>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</si>
  <si>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</si>
  <si>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</si>
  <si>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</si>
  <si>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</si>
  <si>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</si>
  <si>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</si>
  <si>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</si>
  <si>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</si>
  <si>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</si>
  <si>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</si>
  <si>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</si>
  <si>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</si>
  <si>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</si>
  <si>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</si>
  <si>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</si>
  <si>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</si>
  <si>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</si>
  <si>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</si>
  <si>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</si>
  <si>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</si>
  <si>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</si>
  <si>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</si>
  <si>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</si>
  <si>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</si>
  <si>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</si>
  <si>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</si>
  <si>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</si>
  <si>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</si>
  <si>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</si>
  <si>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</si>
  <si>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</si>
  <si>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</si>
  <si>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</si>
  <si>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</si>
  <si>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</si>
  <si>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</si>
  <si>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</si>
  <si>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</si>
  <si>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</si>
  <si>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</si>
  <si>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</si>
  <si>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</si>
  <si>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</si>
  <si>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</si>
  <si>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</si>
  <si>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</si>
  <si>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</si>
  <si>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</si>
  <si>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</si>
  <si>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</si>
  <si>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</si>
  <si>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</si>
  <si>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</si>
  <si>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</si>
  <si>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</si>
  <si>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</si>
  <si>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</si>
  <si>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</si>
  <si>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</si>
  <si>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</si>
  <si>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</si>
  <si>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</si>
  <si>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</si>
  <si>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</si>
  <si>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</si>
  <si>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</si>
  <si>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</si>
  <si>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</si>
  <si>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</si>
  <si>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</si>
  <si>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</si>
  <si>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</si>
  <si>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</si>
  <si>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</si>
  <si>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</si>
  <si>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</si>
  <si>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</si>
  <si>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</si>
  <si>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</si>
  <si>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</si>
  <si>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</si>
  <si>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</si>
  <si>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</si>
  <si>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</si>
  <si>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</si>
  <si>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</si>
  <si>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</si>
  <si>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</si>
  <si>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</si>
  <si>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</si>
  <si>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</si>
  <si>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</si>
  <si>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</si>
  <si>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</si>
  <si>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</si>
  <si>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</si>
  <si>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</si>
  <si>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</si>
  <si>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</si>
  <si>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</si>
  <si>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</si>
  <si>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</si>
  <si>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</si>
  <si>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</si>
  <si>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</si>
  <si>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</si>
  <si>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</si>
  <si>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</si>
  <si>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</si>
  <si>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</si>
  <si>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</si>
  <si>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</si>
  <si>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</si>
  <si>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</si>
  <si>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</si>
  <si>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</si>
  <si>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</si>
  <si>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</si>
  <si>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</si>
  <si>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</si>
  <si>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</si>
  <si>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</si>
  <si>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</si>
  <si>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</si>
  <si>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</si>
  <si>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</si>
  <si>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</si>
  <si>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</si>
  <si>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</si>
  <si>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</si>
  <si>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</si>
  <si>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</si>
  <si>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</si>
  <si>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</si>
  <si>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</si>
  <si>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</si>
  <si>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</si>
  <si>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</si>
  <si>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</si>
  <si>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</si>
  <si>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</si>
  <si>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</si>
  <si>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</si>
  <si>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</si>
  <si>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</si>
  <si>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</si>
  <si>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</si>
  <si>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</si>
  <si>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</si>
  <si>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</si>
  <si>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</si>
  <si>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</si>
  <si>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</si>
  <si>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</si>
  <si>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</si>
  <si>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</si>
  <si>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</si>
  <si>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</si>
  <si>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</si>
  <si>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</si>
  <si>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</si>
  <si>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</si>
  <si>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</si>
  <si>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</si>
  <si>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</si>
  <si>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</si>
  <si>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</si>
  <si>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</si>
  <si>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</si>
  <si>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</si>
  <si>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</si>
  <si>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</si>
  <si>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</si>
  <si>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</si>
  <si>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</si>
  <si>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</si>
  <si>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</si>
  <si>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</si>
  <si>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</si>
  <si>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</si>
  <si>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</si>
  <si>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</si>
  <si>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</si>
  <si>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</si>
  <si>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</si>
  <si>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</si>
  <si>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</si>
  <si>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</si>
  <si>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</si>
  <si>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</si>
  <si>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</si>
  <si>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</si>
  <si>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</si>
  <si>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</si>
  <si>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</si>
  <si>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</si>
  <si>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</si>
  <si>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</si>
  <si>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</si>
  <si>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</si>
  <si>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</si>
  <si>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</si>
  <si>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</si>
  <si>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</si>
  <si>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</si>
  <si>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</si>
  <si>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</si>
  <si>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</si>
  <si>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</si>
  <si>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</si>
  <si>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</si>
  <si>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</si>
  <si>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</si>
  <si>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</si>
  <si>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</si>
  <si>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</si>
  <si>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</si>
  <si>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</si>
  <si>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</si>
  <si>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</si>
  <si>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</si>
  <si>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</si>
  <si>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</si>
  <si>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</si>
  <si>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</si>
  <si>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</si>
  <si>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</si>
  <si>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</si>
  <si>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</si>
  <si>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</si>
  <si>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</si>
  <si>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</si>
  <si>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</si>
  <si>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</si>
  <si>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</si>
  <si>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</si>
  <si>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</si>
  <si>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</si>
  <si>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</si>
  <si>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</si>
  <si>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</si>
  <si>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</si>
  <si>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</si>
  <si>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</si>
  <si>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</si>
  <si>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</si>
  <si>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</si>
  <si>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</si>
  <si>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</si>
  <si>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</si>
  <si>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</si>
  <si>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</si>
  <si>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</si>
  <si>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</si>
  <si>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</si>
  <si>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</si>
  <si>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</si>
  <si>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</si>
  <si>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</si>
  <si>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</si>
  <si>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</si>
  <si>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</si>
  <si>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</si>
  <si>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</si>
  <si>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</si>
  <si>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</si>
  <si>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</si>
  <si>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</si>
  <si>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</si>
  <si>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</si>
  <si>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</si>
  <si>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</si>
  <si>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</si>
  <si>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</si>
  <si>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</si>
  <si>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</si>
  <si>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</si>
  <si>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</si>
  <si>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</si>
  <si>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</si>
  <si>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</si>
  <si>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</si>
  <si>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</si>
  <si>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</si>
  <si>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</si>
  <si>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</si>
  <si>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</si>
  <si>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</si>
  <si>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</si>
  <si>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</si>
  <si>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</si>
  <si>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</si>
  <si>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</si>
  <si>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</si>
  <si>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</si>
  <si>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</si>
  <si>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</si>
  <si>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</si>
  <si>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</si>
  <si>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</si>
  <si>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</si>
  <si>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</si>
  <si>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</si>
  <si>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</si>
  <si>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</si>
  <si>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</si>
  <si>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</si>
  <si>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</si>
  <si>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</si>
  <si>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</si>
  <si>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</si>
  <si>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</si>
  <si>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</si>
  <si>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</si>
  <si>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</si>
  <si>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</si>
  <si>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</si>
  <si>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</si>
  <si>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</si>
  <si>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</si>
  <si>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</si>
  <si>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</si>
  <si>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</si>
  <si>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</si>
  <si>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</si>
  <si>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</si>
  <si>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</si>
  <si>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</si>
  <si>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</si>
  <si>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</si>
  <si>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</si>
  <si>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</si>
  <si>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</si>
  <si>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</si>
  <si>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</si>
  <si>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</si>
  <si>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</si>
  <si>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</si>
  <si>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</si>
  <si>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</si>
  <si>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</si>
  <si>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</si>
  <si>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</si>
  <si>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</si>
  <si>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</si>
  <si>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</si>
  <si>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</si>
  <si>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</si>
  <si>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</si>
  <si>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</si>
  <si>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</si>
  <si>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</si>
  <si>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</si>
  <si>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</si>
  <si>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</si>
  <si>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</si>
  <si>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</si>
  <si>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</si>
  <si>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</si>
  <si>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</si>
  <si>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</si>
  <si>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</si>
  <si>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</si>
  <si>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</si>
  <si>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</si>
  <si>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</si>
  <si>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</si>
  <si>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</si>
  <si>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</si>
  <si>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</si>
  <si>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</si>
  <si>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</si>
  <si>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</si>
  <si>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</si>
  <si>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</si>
  <si>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</si>
  <si>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</si>
  <si>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</si>
  <si>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</si>
  <si>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</si>
  <si>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</si>
  <si>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</si>
  <si>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</si>
  <si>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</si>
  <si>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</si>
  <si>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</si>
  <si>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</si>
  <si>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</si>
  <si>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</si>
  <si>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</si>
  <si>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</si>
  <si>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</si>
  <si>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</si>
  <si>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</si>
  <si>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</si>
  <si>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</si>
  <si>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</si>
  <si>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</si>
  <si>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</si>
  <si>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</si>
  <si>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</si>
  <si>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</si>
  <si>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</si>
  <si>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</si>
  <si>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</si>
  <si>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</si>
  <si>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</si>
  <si>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</si>
  <si>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</si>
  <si>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</si>
  <si>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</si>
  <si>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</si>
  <si>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</si>
  <si>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</si>
  <si>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</si>
  <si>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</si>
  <si>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</si>
  <si>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</si>
  <si>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</si>
  <si>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</si>
  <si>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</si>
  <si>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</si>
  <si>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</si>
  <si>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</si>
  <si>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</si>
  <si>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</si>
  <si>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</si>
  <si>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</si>
  <si>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</si>
  <si>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</si>
  <si>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</si>
  <si>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</si>
  <si>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</si>
  <si>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</si>
  <si>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</si>
  <si>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</si>
  <si>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</si>
  <si>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</si>
  <si>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</si>
  <si>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</si>
  <si>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</si>
  <si>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</si>
  <si>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</si>
  <si>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</si>
  <si>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</si>
  <si>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</si>
  <si>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</si>
  <si>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</si>
  <si>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</si>
  <si>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</si>
  <si>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</si>
  <si>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</si>
  <si>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</si>
  <si>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</si>
  <si>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</si>
  <si>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</si>
  <si>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</si>
  <si>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</si>
  <si>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</si>
  <si>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</si>
  <si>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</si>
  <si>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</si>
  <si>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</si>
  <si>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</si>
  <si>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</si>
  <si>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</si>
  <si>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</si>
  <si>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</si>
  <si>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</si>
  <si>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</si>
  <si>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</si>
  <si>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</si>
  <si>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</si>
  <si>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</si>
  <si>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</si>
  <si>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</si>
  <si>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</si>
  <si>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</si>
  <si>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</si>
  <si>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</si>
  <si>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</si>
  <si>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</si>
  <si>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</si>
  <si>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</si>
  <si>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</si>
  <si>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</si>
  <si>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</si>
  <si>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</si>
  <si>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</si>
  <si>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</si>
  <si>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</si>
  <si>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</si>
  <si>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</si>
  <si>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</si>
  <si>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</si>
  <si>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</si>
  <si>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</si>
  <si>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</si>
  <si>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</si>
  <si>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</si>
  <si>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</si>
  <si>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</si>
  <si>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</si>
  <si>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</si>
  <si>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</si>
  <si>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</si>
  <si>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</si>
  <si>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</si>
  <si>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</si>
  <si>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</si>
  <si>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</si>
  <si>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</si>
  <si>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</si>
  <si>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</si>
  <si>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</si>
  <si>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</si>
  <si>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</si>
  <si>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</si>
  <si>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</si>
  <si>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</si>
  <si>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</si>
  <si>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</si>
  <si>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</si>
  <si>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</si>
  <si>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</si>
  <si>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</si>
  <si>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</si>
  <si>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</si>
  <si>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</si>
  <si>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</si>
  <si>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</si>
  <si>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</si>
  <si>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</si>
  <si>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</si>
  <si>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</si>
  <si>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</si>
  <si>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</si>
  <si>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</si>
  <si>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</si>
  <si>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</si>
  <si>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</si>
  <si>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</si>
  <si>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</si>
  <si>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</si>
  <si>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</si>
  <si>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</si>
  <si>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</si>
  <si>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</si>
  <si>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</si>
  <si>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</si>
  <si>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</si>
  <si>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</si>
  <si>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</si>
  <si>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</si>
  <si>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</si>
  <si>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</si>
  <si>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</si>
  <si>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</si>
  <si>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</si>
  <si>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</si>
  <si>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</si>
  <si>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</si>
  <si>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</si>
  <si>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</si>
  <si>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</si>
  <si>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</si>
  <si>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</si>
  <si>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</si>
  <si>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</si>
  <si>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</si>
  <si>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</si>
  <si>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</si>
  <si>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</si>
  <si>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</si>
  <si>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</si>
  <si>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</si>
  <si>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</si>
  <si>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</si>
  <si>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</si>
  <si>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</si>
  <si>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</si>
  <si>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</si>
  <si>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</si>
  <si>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</si>
  <si>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</si>
  <si>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</si>
  <si>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</si>
  <si>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</si>
  <si>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</si>
  <si>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</si>
  <si>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</si>
  <si>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</si>
  <si>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</si>
  <si>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</si>
  <si>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</si>
  <si>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</si>
  <si>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</si>
  <si>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</si>
  <si>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</si>
  <si>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</si>
  <si>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</si>
  <si>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</si>
  <si>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</si>
  <si>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</si>
  <si>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</si>
  <si>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</si>
  <si>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</si>
  <si>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</si>
  <si>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</si>
  <si>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</si>
  <si>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</si>
  <si>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</si>
  <si>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</si>
  <si>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</si>
  <si>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</si>
  <si>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</si>
  <si>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</si>
  <si>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</si>
  <si>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</si>
  <si>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</si>
  <si>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</si>
  <si>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</si>
  <si>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</si>
  <si>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</si>
  <si>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</si>
  <si>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</si>
  <si>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</si>
  <si>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</si>
  <si>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</si>
  <si>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</si>
  <si>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</si>
  <si>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</si>
  <si>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</si>
  <si>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</si>
  <si>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</si>
  <si>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</si>
  <si>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</si>
  <si>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</si>
  <si>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</si>
  <si>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</si>
  <si>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</si>
  <si>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</si>
  <si>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</si>
  <si>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</si>
  <si>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</si>
  <si>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</si>
  <si>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</si>
  <si>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</si>
  <si>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</si>
  <si>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</si>
  <si>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</si>
  <si>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</si>
  <si>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</si>
  <si>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</si>
  <si>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</si>
  <si>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</si>
  <si>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</si>
  <si>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</si>
  <si>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</si>
  <si>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</si>
  <si>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</si>
  <si>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</si>
  <si>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</si>
  <si>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</si>
  <si>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</si>
  <si>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</si>
  <si>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</si>
  <si>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</si>
  <si>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</si>
  <si>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</si>
  <si>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</si>
  <si>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</si>
  <si>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</si>
  <si>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</si>
  <si>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</si>
  <si>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</si>
  <si>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</si>
  <si>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</si>
  <si>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</si>
  <si>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</si>
  <si>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</si>
  <si>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</si>
  <si>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</si>
  <si>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</si>
  <si>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</si>
  <si>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</si>
  <si>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</si>
  <si>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</si>
  <si>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</si>
  <si>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</si>
  <si>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</si>
  <si>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</si>
  <si>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</si>
  <si>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</si>
  <si>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</si>
  <si>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</si>
  <si>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</si>
  <si>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</si>
  <si>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</si>
  <si>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</si>
  <si>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</si>
  <si>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</si>
  <si>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</si>
  <si>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</si>
  <si>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</si>
  <si>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</si>
  <si>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</si>
  <si>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</si>
  <si>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</si>
  <si>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</si>
  <si>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</si>
  <si>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</si>
  <si>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</si>
  <si>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</si>
  <si>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</si>
  <si>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</si>
  <si>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</si>
  <si>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</si>
  <si>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</si>
  <si>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</si>
  <si>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</si>
  <si>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</si>
  <si>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</si>
  <si>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</si>
  <si>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</si>
  <si>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</si>
  <si>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</si>
  <si>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</si>
  <si>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</si>
  <si>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</si>
  <si>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</si>
  <si>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</si>
  <si>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</si>
  <si>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</si>
  <si>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</si>
  <si>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</si>
  <si>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</si>
  <si>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</si>
  <si>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</si>
  <si>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</si>
  <si>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</si>
  <si>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</si>
  <si>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</si>
  <si>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</si>
  <si>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</si>
  <si>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</si>
  <si>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</si>
  <si>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</si>
  <si>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</si>
  <si>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</si>
  <si>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</si>
  <si>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</si>
  <si>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</si>
  <si>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</si>
  <si>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</si>
  <si>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</si>
  <si>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</si>
  <si>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</si>
  <si>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</si>
  <si>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</si>
  <si>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</si>
  <si>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</si>
  <si>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</si>
  <si>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</si>
  <si>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</si>
  <si>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</si>
  <si>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</si>
  <si>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</si>
  <si>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</si>
  <si>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</si>
  <si>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</si>
  <si>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</si>
  <si>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</si>
  <si>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</si>
  <si>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</si>
  <si>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</si>
  <si>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</si>
  <si>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</si>
  <si>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</si>
  <si>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</si>
  <si>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</si>
  <si>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</si>
  <si>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</si>
  <si>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</si>
  <si>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</si>
  <si>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</si>
  <si>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</si>
  <si>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</si>
  <si>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</si>
  <si>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</si>
  <si>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</si>
  <si>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</si>
  <si>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</si>
  <si>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</si>
  <si>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</si>
  <si>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</si>
  <si>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</si>
  <si>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</si>
  <si>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</si>
  <si>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</si>
  <si>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</si>
  <si>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</si>
  <si>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</si>
  <si>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</si>
  <si>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</si>
  <si>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</si>
  <si>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</si>
  <si>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</si>
  <si>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</si>
  <si>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</si>
  <si>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</si>
  <si>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</si>
  <si>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</si>
  <si>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</si>
  <si>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</si>
  <si>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</si>
  <si>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</si>
  <si>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</si>
  <si>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</si>
  <si>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</si>
  <si>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</si>
  <si>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</si>
  <si>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</si>
  <si>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</si>
  <si>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</si>
  <si>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</si>
  <si>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</si>
  <si>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</si>
  <si>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</si>
  <si>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</si>
  <si>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</si>
  <si>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</si>
  <si>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</si>
  <si>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</si>
  <si>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</si>
  <si>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</si>
  <si>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</si>
  <si>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</si>
  <si>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</si>
  <si>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</si>
  <si>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</si>
  <si>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</si>
  <si>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</si>
  <si>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</si>
  <si>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</si>
  <si>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</si>
  <si>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</si>
  <si>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</si>
  <si>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</si>
  <si>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</si>
  <si>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</si>
  <si>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</si>
  <si>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</si>
  <si>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</si>
  <si>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</si>
  <si>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</si>
  <si>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</si>
  <si>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</si>
  <si>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</si>
  <si>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</si>
  <si>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</si>
  <si>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</si>
  <si>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</si>
  <si>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</si>
  <si>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</si>
  <si>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</si>
  <si>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</si>
  <si>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</si>
  <si>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</si>
  <si>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</si>
  <si>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</si>
  <si>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</si>
  <si>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</si>
  <si>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</si>
  <si>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</si>
  <si>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</si>
  <si>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</si>
  <si>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</si>
  <si>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</si>
  <si>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</si>
  <si>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</si>
  <si>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</si>
  <si>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</si>
  <si>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</si>
  <si>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</si>
  <si>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</si>
  <si>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</si>
  <si>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</si>
  <si>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</si>
  <si>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</si>
  <si>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</si>
  <si>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</si>
  <si>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</si>
  <si>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</si>
  <si>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</si>
  <si>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</si>
  <si>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</si>
  <si>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</si>
  <si>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</si>
  <si>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</si>
  <si>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</si>
  <si>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</si>
  <si>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</si>
  <si>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</si>
  <si>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</si>
  <si>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</si>
  <si>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</si>
  <si>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</si>
  <si>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</si>
  <si>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</si>
  <si>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</si>
  <si>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</si>
  <si>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</si>
  <si>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</si>
  <si>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</si>
  <si>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</si>
  <si>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</si>
  <si>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</si>
  <si>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</si>
  <si>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</si>
  <si>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</si>
  <si>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</si>
  <si>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</si>
  <si>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</si>
  <si>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</si>
  <si>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</si>
  <si>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</si>
  <si>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</si>
  <si>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</si>
  <si>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</si>
  <si>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</si>
  <si>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</si>
  <si>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</si>
  <si>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</si>
  <si>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</si>
  <si>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</si>
  <si>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</si>
  <si>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</si>
  <si>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</si>
  <si>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</si>
  <si>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</si>
  <si>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</si>
  <si>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</si>
  <si>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</si>
  <si>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</si>
  <si>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</si>
  <si>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</si>
  <si>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</si>
  <si>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</si>
  <si>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</si>
  <si>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</si>
  <si>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</si>
  <si>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</si>
  <si>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</si>
  <si>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</si>
  <si>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</si>
  <si>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</si>
  <si>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</si>
  <si>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</si>
  <si>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</si>
  <si>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</si>
  <si>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</si>
  <si>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</si>
  <si>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</si>
  <si>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</si>
  <si>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</si>
  <si>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</si>
  <si>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</si>
  <si>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</si>
  <si>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</si>
  <si>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</si>
  <si>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</si>
  <si>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</si>
  <si>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</si>
  <si>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</si>
  <si>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</si>
  <si>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</si>
  <si>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</si>
  <si>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</si>
  <si>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</si>
  <si>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</si>
  <si>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</si>
  <si>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</si>
  <si>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</si>
  <si>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</si>
  <si>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</si>
  <si>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</si>
  <si>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</si>
  <si>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</si>
  <si>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</si>
  <si>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</si>
  <si>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</si>
  <si>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</si>
  <si>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</si>
  <si>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</si>
  <si>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</si>
  <si>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</si>
  <si>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</si>
  <si>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</si>
  <si>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</si>
  <si>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</si>
  <si>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</si>
  <si>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</si>
  <si>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</si>
  <si>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</si>
  <si>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</si>
  <si>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</si>
  <si>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</si>
  <si>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</si>
  <si>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</si>
  <si>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</si>
  <si>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</si>
  <si>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</si>
  <si>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</si>
  <si>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</si>
  <si>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</si>
  <si>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</si>
  <si>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</si>
  <si>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</si>
  <si>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</si>
  <si>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</si>
  <si>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</si>
  <si>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</si>
  <si>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</si>
  <si>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</si>
  <si>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</si>
  <si>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</si>
  <si>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</si>
  <si>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</si>
  <si>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</si>
  <si>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</si>
  <si>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</si>
  <si>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</si>
  <si>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</si>
  <si>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</si>
  <si>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</si>
  <si>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</si>
  <si>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</si>
  <si>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</si>
  <si>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</si>
  <si>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</si>
  <si>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</si>
  <si>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</si>
  <si>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</si>
  <si>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</si>
  <si>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</si>
  <si>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</si>
  <si>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</si>
  <si>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</si>
  <si>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</si>
  <si>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</si>
  <si>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</si>
  <si>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</si>
  <si>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</si>
  <si>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</si>
  <si>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</si>
  <si>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</si>
  <si>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</si>
  <si>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</si>
  <si>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</si>
  <si>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</si>
  <si>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</si>
  <si>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</si>
  <si>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</si>
  <si>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</si>
  <si>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</si>
  <si>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</si>
  <si>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</si>
  <si>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</si>
  <si>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</si>
  <si>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</si>
  <si>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</si>
  <si>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</si>
  <si>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</si>
  <si>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</si>
  <si>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</si>
  <si>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</si>
  <si>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</si>
  <si>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</si>
  <si>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</si>
  <si>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</si>
  <si>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</si>
  <si>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</si>
  <si>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</si>
  <si>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</si>
  <si>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</si>
  <si>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</si>
  <si>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</si>
  <si>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</si>
  <si>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</si>
  <si>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</si>
  <si>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</si>
  <si>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</si>
  <si>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</si>
  <si>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</si>
  <si>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</si>
  <si>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</si>
  <si>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</si>
  <si>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</si>
  <si>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</si>
  <si>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</si>
  <si>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</si>
  <si>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</si>
  <si>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</si>
  <si>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</si>
  <si>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</si>
  <si>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</si>
  <si>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</si>
  <si>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</si>
  <si>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</si>
  <si>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</si>
  <si>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</si>
  <si>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</si>
  <si>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</si>
  <si>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</si>
  <si>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</si>
  <si>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</si>
  <si>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</si>
  <si>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</si>
  <si>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</si>
  <si>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</si>
  <si>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</si>
  <si>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</si>
  <si>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</si>
  <si>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</si>
  <si>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</si>
  <si>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</si>
  <si>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</si>
  <si>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</si>
  <si>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</si>
  <si>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</si>
  <si>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</si>
  <si>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</si>
  <si>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</si>
  <si>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</si>
  <si>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</si>
  <si>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</si>
  <si>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</si>
  <si>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</si>
  <si>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</si>
  <si>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</si>
  <si>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</si>
  <si>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</si>
  <si>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</si>
  <si>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</si>
  <si>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</si>
  <si>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</si>
  <si>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</si>
  <si>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</si>
  <si>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</si>
  <si>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</si>
  <si>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</si>
  <si>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</si>
  <si>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</si>
  <si>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</si>
  <si>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</si>
  <si>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</si>
  <si>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</si>
  <si>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</si>
  <si>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</si>
  <si>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</si>
  <si>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</si>
  <si>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</si>
  <si>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</si>
  <si>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</si>
  <si>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</si>
  <si>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</si>
  <si>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</si>
  <si>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</si>
  <si>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</si>
  <si>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</si>
  <si>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</si>
  <si>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</si>
  <si>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</si>
  <si>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</si>
  <si>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</si>
  <si>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</si>
  <si>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Count of TX ID</t>
  </si>
  <si>
    <t>Sum of Quantity</t>
  </si>
  <si>
    <t>Sum of Amount</t>
  </si>
  <si>
    <t>Average of Rating C</t>
  </si>
  <si>
    <t>Average of Days to Deliver</t>
  </si>
  <si>
    <t>Value for display</t>
  </si>
  <si>
    <t xml:space="preserve">Order </t>
  </si>
  <si>
    <t>Avg. rating</t>
  </si>
  <si>
    <t>Avg. days</t>
  </si>
  <si>
    <t>Row Labels</t>
  </si>
  <si>
    <t>Grand Total</t>
  </si>
  <si>
    <t>Column Labels</t>
  </si>
  <si>
    <t>Female</t>
  </si>
  <si>
    <t>Male</t>
  </si>
  <si>
    <t>Other</t>
  </si>
  <si>
    <t>Unknown</t>
  </si>
  <si>
    <t>For Matrix</t>
  </si>
  <si>
    <t>6 to 10</t>
  </si>
  <si>
    <t>More than 10</t>
  </si>
  <si>
    <t>Customer satisfication</t>
  </si>
  <si>
    <t>Jan</t>
  </si>
  <si>
    <t>Feb</t>
  </si>
  <si>
    <t>Mar</t>
  </si>
  <si>
    <t>summary</t>
  </si>
  <si>
    <t>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</si>
</sst>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
    <numFmt numFmtId="166" formatCode="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2"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4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2" fontId="0" fillId="0" borderId="0" xfId="0" applyNumberFormat="1"/>
    <xf numFmtId="164"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left" vertical="center"/>
    </xf>
    <xf numFmtId="166" fontId="0" fillId="0" borderId="14" xfId="0" applyNumberFormat="1" applyBorder="1" applyAlignment="1">
      <alignment horizontal="center" vertical="center"/>
    </xf>
    <xf numFmtId="166" fontId="0" fillId="0" borderId="15" xfId="0" applyNumberFormat="1" applyBorder="1" applyAlignment="1">
      <alignment horizontal="center" vertical="center"/>
    </xf>
    <xf numFmtId="0" fontId="0" fillId="0" borderId="16" xfId="0" applyBorder="1" applyAlignment="1">
      <alignment horizontal="left" vertical="center"/>
    </xf>
    <xf numFmtId="166" fontId="0" fillId="0" borderId="17" xfId="0" applyNumberFormat="1" applyBorder="1" applyAlignment="1">
      <alignment horizontal="center" vertical="center"/>
    </xf>
    <xf numFmtId="166" fontId="0" fillId="0" borderId="18" xfId="0" applyNumberFormat="1" applyBorder="1" applyAlignment="1">
      <alignment horizontal="center" vertical="center"/>
    </xf>
    <xf numFmtId="0" fontId="0" fillId="8" borderId="0" xfId="0" applyFill="1"/>
    <xf numFmtId="165" fontId="0" fillId="8" borderId="0" xfId="0" applyNumberFormat="1" applyFill="1"/>
    <xf numFmtId="0" fontId="0" fillId="8" borderId="2" xfId="0" applyFill="1" applyBorder="1"/>
    <xf numFmtId="0" fontId="0" fillId="8" borderId="3" xfId="0" applyFill="1" applyBorder="1"/>
    <xf numFmtId="0" fontId="0" fillId="8" borderId="4" xfId="0" applyFill="1"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cellXfs>
  <cellStyles count="1">
    <cellStyle name="Normal" xfId="0" builtinId="0"/>
  </cellStyles>
  <dxfs count="11">
    <dxf>
      <numFmt numFmtId="2" formatCode="0.00"/>
    </dxf>
    <dxf>
      <numFmt numFmtId="164" formatCode="0.0"/>
    </dxf>
    <dxf>
      <fill>
        <patternFill patternType="solid">
          <bgColor theme="2" tint="-0.499984740745262"/>
        </patternFill>
      </fill>
    </dxf>
    <dxf>
      <fill>
        <patternFill patternType="solid">
          <bgColor theme="2" tint="-0.499984740745262"/>
        </patternFill>
      </fill>
    </dxf>
    <dxf>
      <numFmt numFmtId="165" formatCode="&quot;$&quot;#,##0"/>
    </dxf>
    <dxf>
      <numFmt numFmtId="165" formatCode="&quot;$&quot;#,##0"/>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81EB86"/>
      <color rgb="FF74F8B3"/>
      <color rgb="FFEDF20E"/>
      <color rgb="FFFFFF66"/>
      <color rgb="FFFFFFCC"/>
      <color rgb="FFFFFF00"/>
      <color rgb="FF7CF0B3"/>
      <color rgb="FF287241"/>
      <color rgb="FF6699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[ecommerce_Dashboard_project_30.12.25.xlsx]Pivots!Pvt_Trend</c:name>
    <c:fmtId val="2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Past</a:t>
            </a:r>
            <a:r>
              <a:rPr lang="en-US" sz="1600" baseline="0"/>
              <a:t> 13 Weeks Trends-Qty &amp; Amount</a:t>
            </a:r>
            <a:endParaRPr lang="en-US" sz="1600"/>
          </a:p>
        </c:rich>
      </c:tx>
      <c:layout>
        <c:manualLayout>
          <c:xMode val="edge"/>
          <c:yMode val="edge"/>
          <c:x val="0.19648539820714822"/>
          <c:y val="1.872909567470952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Pivots!$B$19</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Pivots!$A$20:$A$33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Pivots!$B$20:$B$33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DD3C-4D8E-ACC7-CD6A9EE8C933}"/>
            </c:ext>
          </c:extLst>
        </c:ser>
        <c:dLbls>
          <c:showLegendKey val="0"/>
          <c:showVal val="0"/>
          <c:showCatName val="0"/>
          <c:showSerName val="0"/>
          <c:showPercent val="0"/>
          <c:showBubbleSize val="0"/>
        </c:dLbls>
        <c:marker val="1"/>
        <c:smooth val="0"/>
        <c:axId val="333345872"/>
        <c:axId val="333346264"/>
      </c:lineChart>
      <c:lineChart>
        <c:grouping val="standard"/>
        <c:varyColors val="0"/>
        <c:ser>
          <c:idx val="1"/>
          <c:order val="1"/>
          <c:tx>
            <c:strRef>
              <c:f>Pivots!$C$19</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Pivots!$A$20:$A$33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Pivots!$C$20:$C$33</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DD3C-4D8E-ACC7-CD6A9EE8C933}"/>
            </c:ext>
          </c:extLst>
        </c:ser>
        <c:dLbls>
          <c:showLegendKey val="0"/>
          <c:showVal val="0"/>
          <c:showCatName val="0"/>
          <c:showSerName val="0"/>
          <c:showPercent val="0"/>
          <c:showBubbleSize val="0"/>
        </c:dLbls>
        <c:marker val="1"/>
        <c:smooth val="0"/>
        <c:axId val="341475568"/>
        <c:axId val="341475176"/>
      </c:lineChart>
      <c:catAx>
        <c:axId val="33334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346264"/>
        <c:crosses val="autoZero"/>
        <c:auto val="1"/>
        <c:lblAlgn val="ctr"/>
        <c:lblOffset val="100"/>
        <c:noMultiLvlLbl val="0"/>
      </c:catAx>
      <c:valAx>
        <c:axId val="333346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33345872"/>
        <c:crosses val="autoZero"/>
        <c:crossBetween val="between"/>
      </c:valAx>
      <c:valAx>
        <c:axId val="341475176"/>
        <c:scaling>
          <c:orientation val="minMax"/>
        </c:scaling>
        <c:delete val="0"/>
        <c:axPos val="r"/>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41475568"/>
        <c:crosses val="max"/>
        <c:crossBetween val="between"/>
      </c:valAx>
      <c:catAx>
        <c:axId val="341475568"/>
        <c:scaling>
          <c:orientation val="minMax"/>
        </c:scaling>
        <c:delete val="1"/>
        <c:axPos val="b"/>
        <c:numFmt formatCode="General" sourceLinked="1"/>
        <c:majorTickMark val="none"/>
        <c:minorTickMark val="none"/>
        <c:tickLblPos val="nextTo"/>
        <c:crossAx val="341475176"/>
        <c:crosses val="autoZero"/>
        <c:auto val="1"/>
        <c:lblAlgn val="ctr"/>
        <c:lblOffset val="100"/>
        <c:noMultiLvlLbl val="0"/>
      </c:catAx>
      <c:spPr>
        <a:noFill/>
        <a:ln>
          <a:noFill/>
        </a:ln>
        <a:effectLst/>
      </c:spPr>
    </c:plotArea>
    <c:plotVisOnly val="1"/>
    <c:dispBlanksAs val="gap"/>
    <c:showDLblsOverMax val="0"/>
  </c:chart>
  <c:spPr>
    <a:solidFill>
      <a:schemeClr val="bg1"/>
    </a:solidFill>
    <a:ln w="2857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[ecommerce_Dashboard_project_30.12.25.xlsx]Pivots!Pvt_Qty</c:name>
    <c:fmtId val="2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Hoa</a:t>
            </a:r>
            <a:r>
              <a:rPr lang="en-US" baseline="0"/>
              <a:t> many they bought?</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spPr>
          <a:solidFill>
            <a:schemeClr val="tx2">
              <a:lumMod val="75000"/>
              <a:lumOff val="25000"/>
            </a:schemeClr>
          </a:solidFill>
          <a:ln>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solidFill>
              <a:schemeClr val="accent1">
                <a:lumMod val="60000"/>
                <a:lumOff val="40000"/>
              </a:schemeClr>
            </a:solidFill>
          </a:ln>
          <a:effectLst/>
        </c:spPr>
      </c:pivotFmt>
      <c:pivotFmt>
        <c:idx val="4"/>
        <c:spPr>
          <a:solidFill>
            <a:schemeClr val="tx2">
              <a:lumMod val="75000"/>
              <a:lumOff val="25000"/>
            </a:schemeClr>
          </a:solidFill>
          <a:ln>
            <a:solidFill>
              <a:schemeClr val="accent2">
                <a:lumMod val="20000"/>
                <a:lumOff val="80000"/>
              </a:schemeClr>
            </a:solidFill>
          </a:ln>
          <a:effectLst/>
        </c:spPr>
      </c:pivotFmt>
      <c:pivotFmt>
        <c:idx val="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Pivots!$B$40</c:f>
              <c:strCache>
                <c:ptCount val="1"/>
                <c:pt idx="0">
                  <c:v>Total</c:v>
                </c:pt>
              </c:strCache>
            </c:strRef>
          </c:tx>
          <c:spPr>
            <a:solidFill>
              <a:schemeClr val="accent6">
                <a:alpha val="70000"/>
              </a:schemeClr>
            </a:solidFill>
            <a:ln>
              <a:noFill/>
            </a:ln>
            <a:effectLst/>
          </c:spPr>
          <c:invertIfNegative val="0"/>
          <c:dPt>
            <c:idx val="1"/>
            <c:invertIfNegative val="0"/>
            <c:bubble3D val="0"/>
            <c:extLst>
              <c:ext xmlns:c16="http://schemas.microsoft.com/office/drawing/2014/chart" uri="{C3380CC4-5D6E-409C-BE32-E72D297353CC}">
                <c16:uniqueId val="{00000002-8B8E-456C-A4FD-19F117890C46}"/>
              </c:ext>
            </c:extLst>
          </c:dPt>
          <c:dPt>
            <c:idx val="2"/>
            <c:invertIfNegative val="0"/>
            <c:bubble3D val="0"/>
            <c:extLst>
              <c:ext xmlns:c16="http://schemas.microsoft.com/office/drawing/2014/chart" uri="{C3380CC4-5D6E-409C-BE32-E72D297353CC}">
                <c16:uniqueId val="{00000001-8B8E-456C-A4FD-19F117890C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Pivots!$A$41:$A$48</c:f>
              <c:strCache>
                <c:ptCount val="7"/>
                <c:pt idx="0">
                  <c:v>1</c:v>
                </c:pt>
                <c:pt idx="1">
                  <c:v>2</c:v>
                </c:pt>
                <c:pt idx="2">
                  <c:v>3</c:v>
                </c:pt>
                <c:pt idx="3">
                  <c:v>4</c:v>
                </c:pt>
                <c:pt idx="4">
                  <c:v>5</c:v>
                </c:pt>
                <c:pt idx="5">
                  <c:v>6 to 10</c:v>
                </c:pt>
                <c:pt idx="6">
                  <c:v>More than 10</c:v>
                </c:pt>
              </c:strCache>
            </c:strRef>
          </c:cat>
          <c:val>
            <c:numRef>
              <c:f>Pivots!$B$41:$B$48</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8B8E-456C-A4FD-19F117890C46}"/>
            </c:ext>
          </c:extLst>
        </c:ser>
        <c:dLbls>
          <c:dLblPos val="outEnd"/>
          <c:showLegendKey val="0"/>
          <c:showVal val="1"/>
          <c:showCatName val="0"/>
          <c:showSerName val="0"/>
          <c:showPercent val="0"/>
          <c:showBubbleSize val="0"/>
        </c:dLbls>
        <c:gapWidth val="0"/>
        <c:overlap val="27"/>
        <c:axId val="341476352"/>
        <c:axId val="341476744"/>
      </c:barChart>
      <c:catAx>
        <c:axId val="34147635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cap="none" spc="20" normalizeH="0" baseline="0">
                <a:solidFill>
                  <a:schemeClr val="tx1">
                    <a:lumMod val="65000"/>
                    <a:lumOff val="35000"/>
                  </a:schemeClr>
                </a:solidFill>
                <a:latin typeface="+mn-lt"/>
                <a:ea typeface="+mn-ea"/>
                <a:cs typeface="+mn-cs"/>
              </a:defRPr>
            </a:pPr>
            <a:endParaRPr lang="en-US"/>
          </a:p>
        </c:txPr>
        <c:crossAx val="341476744"/>
        <c:crosses val="autoZero"/>
        <c:auto val="1"/>
        <c:lblAlgn val="ctr"/>
        <c:lblOffset val="100"/>
        <c:noMultiLvlLbl val="0"/>
      </c:catAx>
      <c:valAx>
        <c:axId val="34147674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spc="20" baseline="0">
                <a:solidFill>
                  <a:schemeClr val="tx1">
                    <a:lumMod val="65000"/>
                    <a:lumOff val="35000"/>
                  </a:schemeClr>
                </a:solidFill>
                <a:latin typeface="+mn-lt"/>
                <a:ea typeface="+mn-ea"/>
                <a:cs typeface="+mn-cs"/>
              </a:defRPr>
            </a:pPr>
            <a:endParaRPr lang="en-US"/>
          </a:p>
        </c:txPr>
        <c:crossAx val="341476352"/>
        <c:crosses val="autoZero"/>
        <c:crossBetween val="between"/>
      </c:valAx>
      <c:spPr>
        <a:noFill/>
        <a:ln>
          <a:solidFill>
            <a:schemeClr val="dk1">
              <a:alpha val="97000"/>
            </a:schemeClr>
          </a:solidFill>
        </a:ln>
        <a:effectLst>
          <a:softEdge rad="0"/>
        </a:effectLst>
      </c:spPr>
    </c:plotArea>
    <c:plotVisOnly val="1"/>
    <c:dispBlanksAs val="gap"/>
    <c:showDLblsOverMax val="0"/>
  </c:chart>
  <c:spPr>
    <a:solidFill>
      <a:schemeClr val="lt1"/>
    </a:solidFill>
    <a:ln w="2857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[ecommerce_Dashboard_project_30.12.25.xlsx]Pivots!Pvt_products</c:name>
    <c:fmtId val="1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Which products are</a:t>
            </a:r>
            <a:r>
              <a:rPr lang="en-US" sz="1600" baseline="0"/>
              <a:t> popular?</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Pivots!$B$55:$B$56</c:f>
              <c:strCache>
                <c:ptCount val="1"/>
                <c:pt idx="0">
                  <c:v>Female</c:v>
                </c:pt>
              </c:strCache>
            </c:strRef>
          </c:tx>
          <c:spPr>
            <a:solidFill>
              <a:schemeClr val="accent6"/>
            </a:solidFill>
            <a:ln>
              <a:noFill/>
            </a:ln>
            <a:effectLst/>
          </c:spPr>
          <c:invertIfNegative val="0"/>
          <c:cat>
            <c:strRef>
              <c:f>Pivots!$A$57:$A$77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Pivots!$B$57:$B$77</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1F83-4490-BBFB-E19F1012B0F0}"/>
            </c:ext>
          </c:extLst>
        </c:ser>
        <c:ser>
          <c:idx val="1"/>
          <c:order val="1"/>
          <c:tx>
            <c:strRef>
              <c:f>Pivots!$C$55:$C$56</c:f>
              <c:strCache>
                <c:ptCount val="1"/>
                <c:pt idx="0">
                  <c:v>Male</c:v>
                </c:pt>
              </c:strCache>
            </c:strRef>
          </c:tx>
          <c:spPr>
            <a:solidFill>
              <a:schemeClr val="accent5"/>
            </a:solidFill>
            <a:ln>
              <a:noFill/>
            </a:ln>
            <a:effectLst/>
          </c:spPr>
          <c:invertIfNegative val="0"/>
          <c:cat>
            <c:strRef>
              <c:f>Pivots!$A$57:$A$77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Pivots!$C$57:$C$77</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6-0C97-47A2-A262-BEB646F8C950}"/>
            </c:ext>
          </c:extLst>
        </c:ser>
        <c:ser>
          <c:idx val="2"/>
          <c:order val="2"/>
          <c:tx>
            <c:strRef>
              <c:f>Pivots!$D$55:$D$56</c:f>
              <c:strCache>
                <c:ptCount val="1"/>
                <c:pt idx="0">
                  <c:v>Other</c:v>
                </c:pt>
              </c:strCache>
            </c:strRef>
          </c:tx>
          <c:spPr>
            <a:solidFill>
              <a:schemeClr val="accent4"/>
            </a:solidFill>
            <a:ln>
              <a:noFill/>
            </a:ln>
            <a:effectLst/>
          </c:spPr>
          <c:invertIfNegative val="0"/>
          <c:cat>
            <c:strRef>
              <c:f>Pivots!$A$57:$A$77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Pivots!$D$57:$D$77</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7-0C97-47A2-A262-BEB646F8C950}"/>
            </c:ext>
          </c:extLst>
        </c:ser>
        <c:ser>
          <c:idx val="3"/>
          <c:order val="3"/>
          <c:tx>
            <c:strRef>
              <c:f>Pivots!$E$55:$E$56</c:f>
              <c:strCache>
                <c:ptCount val="1"/>
                <c:pt idx="0">
                  <c:v>Unknown</c:v>
                </c:pt>
              </c:strCache>
            </c:strRef>
          </c:tx>
          <c:spPr>
            <a:solidFill>
              <a:schemeClr val="accent6">
                <a:lumMod val="60000"/>
              </a:schemeClr>
            </a:solidFill>
            <a:ln>
              <a:noFill/>
            </a:ln>
            <a:effectLst/>
          </c:spPr>
          <c:invertIfNegative val="0"/>
          <c:cat>
            <c:strRef>
              <c:f>Pivots!$A$57:$A$77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Pivots!$E$57:$E$77</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2-D19E-4BEC-B13B-EC2152488963}"/>
            </c:ext>
          </c:extLst>
        </c:ser>
        <c:dLbls>
          <c:showLegendKey val="0"/>
          <c:showVal val="0"/>
          <c:showCatName val="0"/>
          <c:showSerName val="0"/>
          <c:showPercent val="0"/>
          <c:showBubbleSize val="0"/>
        </c:dLbls>
        <c:gapWidth val="38"/>
        <c:overlap val="100"/>
        <c:axId val="341936592"/>
        <c:axId val="341936984"/>
      </c:barChart>
      <c:catAx>
        <c:axId val="34193659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36984"/>
        <c:crosses val="autoZero"/>
        <c:auto val="1"/>
        <c:lblAlgn val="ctr"/>
        <c:lblOffset val="100"/>
        <c:noMultiLvlLbl val="0"/>
      </c:catAx>
      <c:valAx>
        <c:axId val="34193698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36592"/>
        <c:crosses val="autoZero"/>
        <c:crossBetween val="between"/>
      </c:valAx>
      <c:spPr>
        <a:noFill/>
        <a:ln>
          <a:noFill/>
        </a:ln>
        <a:effectLst/>
      </c:spPr>
    </c:plotArea>
    <c:plotVisOnly val="1"/>
    <c:dispBlanksAs val="gap"/>
    <c:showDLblsOverMax val="0"/>
  </c:chart>
  <c:spPr>
    <a:solidFill>
      <a:schemeClr val="bg1"/>
    </a:solidFill>
    <a:ln w="2857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[ecommerce_Dashboard_project_30.12.25.xlsx]Pivots!Pvt_gender</c:name>
    <c:fmtId val="11"/>
  </c:pivotSource>
  <c:chart>
    <c:autoTitleDeleted val="1"/>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2.1655371435734538E-2"/>
              <c:y val="0.31821196317662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695466171650173"/>
                  <c:h val="0.17045277607441567"/>
                </c:manualLayout>
              </c15:layout>
            </c:ext>
          </c:extLst>
        </c:dLbl>
      </c:pivotFmt>
      <c:pivotFmt>
        <c:idx val="8"/>
        <c:spPr>
          <a:solidFill>
            <a:schemeClr val="accent6"/>
          </a:solidFill>
          <a:ln w="19050">
            <a:solidFill>
              <a:schemeClr val="lt1"/>
            </a:solidFill>
          </a:ln>
          <a:effectLst/>
        </c:spPr>
        <c:dLbl>
          <c:idx val="0"/>
          <c:layout>
            <c:manualLayout>
              <c:x val="-7.7906421612164184E-2"/>
              <c:y val="0.292956923414062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267367584420847"/>
                  <c:h val="0.16862419816498242"/>
                </c:manualLayout>
              </c15:layout>
            </c:ext>
          </c:extLst>
        </c:dLbl>
      </c:pivotFmt>
      <c:pivotFmt>
        <c:idx val="9"/>
        <c:spPr>
          <a:solidFill>
            <a:schemeClr val="accent6"/>
          </a:solidFill>
          <a:ln w="19050">
            <a:solidFill>
              <a:schemeClr val="lt1"/>
            </a:solidFill>
          </a:ln>
          <a:effectLst/>
        </c:spPr>
        <c:dLbl>
          <c:idx val="0"/>
          <c:layout>
            <c:manualLayout>
              <c:x val="-0.17952349328020439"/>
              <c:y val="-0.115961875231876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686944740049663"/>
                  <c:h val="0.20707239150117357"/>
                </c:manualLayout>
              </c15:layout>
            </c:ext>
          </c:extLst>
        </c:dLbl>
      </c:pivotFmt>
      <c:pivotFmt>
        <c:idx val="10"/>
        <c:spPr>
          <a:solidFill>
            <a:schemeClr val="accent6"/>
          </a:solidFill>
          <a:ln w="19050">
            <a:solidFill>
              <a:schemeClr val="lt1"/>
            </a:solidFill>
          </a:ln>
          <a:effectLst/>
        </c:spPr>
        <c:dLbl>
          <c:idx val="0"/>
          <c:layout>
            <c:manualLayout>
              <c:x val="0.35951853244678422"/>
              <c:y val="-0.15868475989642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813595350685584"/>
                  <c:h val="0.20707239150117357"/>
                </c:manualLayout>
              </c15:layout>
            </c:ext>
          </c:extLst>
        </c:dLbl>
      </c:pivotFmt>
    </c:pivotFmts>
    <c:plotArea>
      <c:layout>
        <c:manualLayout>
          <c:layoutTarget val="inner"/>
          <c:xMode val="edge"/>
          <c:yMode val="edge"/>
          <c:x val="0.12835493663566713"/>
          <c:y val="0.1666327650781351"/>
          <c:w val="0.73653414470674594"/>
          <c:h val="0.67695978253429678"/>
        </c:manualLayout>
      </c:layout>
      <c:doughnutChart>
        <c:varyColors val="1"/>
        <c:ser>
          <c:idx val="0"/>
          <c:order val="0"/>
          <c:tx>
            <c:strRef>
              <c:f>Pivots!$B$83</c:f>
              <c:strCache>
                <c:ptCount val="1"/>
                <c:pt idx="0">
                  <c:v>Total</c:v>
                </c:pt>
              </c:strCache>
            </c:strRef>
          </c:tx>
          <c:explosion val="1"/>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1CB-4312-A567-1BCE18ED69C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1CB-4312-A567-1BCE18ED69C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1CB-4312-A567-1BCE18ED69C0}"/>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E1CB-4312-A567-1BCE18ED69C0}"/>
              </c:ext>
            </c:extLst>
          </c:dPt>
          <c:dLbls>
            <c:dLbl>
              <c:idx val="0"/>
              <c:layout>
                <c:manualLayout>
                  <c:x val="2.1655371435734538E-2"/>
                  <c:y val="0.31821196317662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695466171650173"/>
                      <c:h val="0.17045277607441567"/>
                    </c:manualLayout>
                  </c15:layout>
                </c:ext>
                <c:ext xmlns:c16="http://schemas.microsoft.com/office/drawing/2014/chart" uri="{C3380CC4-5D6E-409C-BE32-E72D297353CC}">
                  <c16:uniqueId val="{00000001-E1CB-4312-A567-1BCE18ED69C0}"/>
                </c:ext>
              </c:extLst>
            </c:dLbl>
            <c:dLbl>
              <c:idx val="1"/>
              <c:layout>
                <c:manualLayout>
                  <c:x val="-7.7906421612164184E-2"/>
                  <c:y val="0.2929569234140629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267367584420847"/>
                      <c:h val="0.16862419816498242"/>
                    </c:manualLayout>
                  </c15:layout>
                </c:ext>
                <c:ext xmlns:c16="http://schemas.microsoft.com/office/drawing/2014/chart" uri="{C3380CC4-5D6E-409C-BE32-E72D297353CC}">
                  <c16:uniqueId val="{00000003-E1CB-4312-A567-1BCE18ED69C0}"/>
                </c:ext>
              </c:extLst>
            </c:dLbl>
            <c:dLbl>
              <c:idx val="2"/>
              <c:layout>
                <c:manualLayout>
                  <c:x val="-0.17952349328020439"/>
                  <c:y val="-0.115961875231876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686944740049663"/>
                      <c:h val="0.20707239150117357"/>
                    </c:manualLayout>
                  </c15:layout>
                </c:ext>
                <c:ext xmlns:c16="http://schemas.microsoft.com/office/drawing/2014/chart" uri="{C3380CC4-5D6E-409C-BE32-E72D297353CC}">
                  <c16:uniqueId val="{00000005-E1CB-4312-A567-1BCE18ED69C0}"/>
                </c:ext>
              </c:extLst>
            </c:dLbl>
            <c:dLbl>
              <c:idx val="3"/>
              <c:layout>
                <c:manualLayout>
                  <c:x val="0.35951853244678422"/>
                  <c:y val="-0.158684759896427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813595350685584"/>
                      <c:h val="0.20707239150117357"/>
                    </c:manualLayout>
                  </c15:layout>
                </c:ext>
                <c:ext xmlns:c16="http://schemas.microsoft.com/office/drawing/2014/chart" uri="{C3380CC4-5D6E-409C-BE32-E72D297353CC}">
                  <c16:uniqueId val="{00000007-E1CB-4312-A567-1BCE18ED69C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Pivots!$A$84:$A$88</c:f>
              <c:strCache>
                <c:ptCount val="4"/>
                <c:pt idx="0">
                  <c:v>Female</c:v>
                </c:pt>
                <c:pt idx="1">
                  <c:v>Male</c:v>
                </c:pt>
                <c:pt idx="2">
                  <c:v>Other</c:v>
                </c:pt>
                <c:pt idx="3">
                  <c:v>Unknown</c:v>
                </c:pt>
              </c:strCache>
            </c:strRef>
          </c:cat>
          <c:val>
            <c:numRef>
              <c:f>Pivots!$B$84:$B$88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E1CB-4312-A567-1BCE18ED69C0}"/>
            </c:ext>
          </c:extLst>
        </c:ser>
        <c:dLbls>
          <c:showLegendKey val="0"/>
          <c:showVal val="0"/>
          <c:showCatName val="0"/>
          <c:showSerName val="0"/>
          <c:showPercent val="0"/>
          <c:showBubbleSize val="0"/>
          <c:showLeaderLines val="1"/>
        </c:dLbls>
        <c:firstSliceAng val="10"/>
        <c:holeSize val="55"/>
      </c:doughnut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[ecommerce_Dashboard_project_30.12.25.xlsx]Pivots!Pvt_duration</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How</a:t>
            </a:r>
            <a:r>
              <a:rPr lang="en-US" sz="1600" baseline="0"/>
              <a:t> many days to ship?</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w="101600">
            <a:solidFill>
              <a:schemeClr val="accent1"/>
            </a:solidFill>
          </a:ln>
          <a:effectLst/>
        </c:spPr>
      </c:pivotFmt>
      <c:pivotFmt>
        <c:idx val="2"/>
        <c:spPr>
          <a:solidFill>
            <a:schemeClr val="accent6"/>
          </a:solidFill>
          <a:ln w="101600">
            <a:solidFill>
              <a:schemeClr val="accent1"/>
            </a:solidFill>
          </a:ln>
          <a:effectLst/>
        </c:spPr>
        <c:marker>
          <c:symbol val="none"/>
        </c:marker>
      </c:pivotFmt>
      <c:pivotFmt>
        <c:idx val="3"/>
        <c:spPr>
          <a:solidFill>
            <a:schemeClr val="accent6"/>
          </a:solidFill>
          <a:ln w="1016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62467664960185E-2"/>
          <c:y val="0.15875936718893999"/>
          <c:w val="0.85651791778693653"/>
          <c:h val="0.77565099643957092"/>
        </c:manualLayout>
      </c:layout>
      <c:barChart>
        <c:barDir val="col"/>
        <c:grouping val="clustered"/>
        <c:varyColors val="0"/>
        <c:ser>
          <c:idx val="0"/>
          <c:order val="0"/>
          <c:tx>
            <c:strRef>
              <c:f>Pivots!$B$164</c:f>
              <c:strCache>
                <c:ptCount val="1"/>
                <c:pt idx="0">
                  <c:v>Total</c:v>
                </c:pt>
              </c:strCache>
            </c:strRef>
          </c:tx>
          <c:spPr>
            <a:solidFill>
              <a:schemeClr val="accent6"/>
            </a:solidFill>
            <a:ln w="101600">
              <a:solidFill>
                <a:schemeClr val="accent1"/>
              </a:solidFill>
            </a:ln>
            <a:effectLst/>
          </c:spPr>
          <c:invertIfNegative val="0"/>
          <c:cat>
            <c:strRef>
              <c:f>Pivots!$A$165:$A$180</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Pivots!$B$165:$B$180</c:f>
              <c:numCache>
                <c:formatCode>General</c:formatCode>
                <c:ptCount val="15"/>
                <c:pt idx="0">
                  <c:v>175</c:v>
                </c:pt>
                <c:pt idx="1">
                  <c:v>888</c:v>
                </c:pt>
                <c:pt idx="2">
                  <c:v>537</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689C-4488-B709-F739583A694C}"/>
            </c:ext>
          </c:extLst>
        </c:ser>
        <c:dLbls>
          <c:showLegendKey val="0"/>
          <c:showVal val="0"/>
          <c:showCatName val="0"/>
          <c:showSerName val="0"/>
          <c:showPercent val="0"/>
          <c:showBubbleSize val="0"/>
        </c:dLbls>
        <c:gapWidth val="219"/>
        <c:overlap val="-27"/>
        <c:axId val="472801544"/>
        <c:axId val="472801216"/>
      </c:barChart>
      <c:catAx>
        <c:axId val="47280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01216"/>
        <c:crosses val="autoZero"/>
        <c:auto val="1"/>
        <c:lblAlgn val="ctr"/>
        <c:lblOffset val="100"/>
        <c:noMultiLvlLbl val="0"/>
      </c:catAx>
      <c:valAx>
        <c:axId val="47280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72801544"/>
        <c:crosses val="autoZero"/>
        <c:crossBetween val="between"/>
      </c:valAx>
      <c:spPr>
        <a:noFill/>
        <a:ln>
          <a:noFill/>
        </a:ln>
        <a:effectLst>
          <a:outerShdw blurRad="50800" dist="50800" dir="5400000" sx="1000" sy="1000" algn="ctr" rotWithShape="0">
            <a:srgbClr val="000000"/>
          </a:outerShdw>
        </a:effectLst>
      </c:spPr>
    </c:plotArea>
    <c:plotVisOnly val="1"/>
    <c:dispBlanksAs val="gap"/>
    <c:showDLblsOverMax val="0"/>
  </c:chart>
  <c:spPr>
    <a:solidFill>
      <a:schemeClr val="bg1"/>
    </a:solidFill>
    <a:ln w="2857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[ecommerce_Dashboard_project_30.12.25.xlsx]Pivots!Pvt_rating</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How satisfied are our customers?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Pivots!$B$191:$B$192</c:f>
              <c:strCache>
                <c:ptCount val="1"/>
                <c:pt idx="0">
                  <c:v>1</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Pivots!$A$193:$A$196</c:f>
              <c:strCache>
                <c:ptCount val="3"/>
                <c:pt idx="0">
                  <c:v>Jan</c:v>
                </c:pt>
                <c:pt idx="1">
                  <c:v>Feb</c:v>
                </c:pt>
                <c:pt idx="2">
                  <c:v>Mar</c:v>
                </c:pt>
              </c:strCache>
            </c:strRef>
          </c:cat>
          <c:val>
            <c:numRef>
              <c:f>Pivots!$B$193:$B$196</c:f>
              <c:numCache>
                <c:formatCode>General</c:formatCode>
                <c:ptCount val="3"/>
                <c:pt idx="0">
                  <c:v>7</c:v>
                </c:pt>
                <c:pt idx="1">
                  <c:v>8</c:v>
                </c:pt>
                <c:pt idx="2">
                  <c:v>6</c:v>
                </c:pt>
              </c:numCache>
            </c:numRef>
          </c:val>
          <c:extLst>
            <c:ext xmlns:c16="http://schemas.microsoft.com/office/drawing/2014/chart" uri="{C3380CC4-5D6E-409C-BE32-E72D297353CC}">
              <c16:uniqueId val="{00000000-FCDD-4548-920A-EFBD0BB9B1DE}"/>
            </c:ext>
          </c:extLst>
        </c:ser>
        <c:ser>
          <c:idx val="1"/>
          <c:order val="1"/>
          <c:tx>
            <c:strRef>
              <c:f>Pivots!$C$191:$C$192</c:f>
              <c:strCache>
                <c:ptCount val="1"/>
                <c:pt idx="0">
                  <c:v>2</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Pivots!$A$193:$A$196</c:f>
              <c:strCache>
                <c:ptCount val="3"/>
                <c:pt idx="0">
                  <c:v>Jan</c:v>
                </c:pt>
                <c:pt idx="1">
                  <c:v>Feb</c:v>
                </c:pt>
                <c:pt idx="2">
                  <c:v>Mar</c:v>
                </c:pt>
              </c:strCache>
            </c:strRef>
          </c:cat>
          <c:val>
            <c:numRef>
              <c:f>Pivots!$C$193:$C$196</c:f>
              <c:numCache>
                <c:formatCode>General</c:formatCode>
                <c:ptCount val="3"/>
                <c:pt idx="0">
                  <c:v>37</c:v>
                </c:pt>
                <c:pt idx="1">
                  <c:v>51</c:v>
                </c:pt>
                <c:pt idx="2">
                  <c:v>39</c:v>
                </c:pt>
              </c:numCache>
            </c:numRef>
          </c:val>
          <c:extLst>
            <c:ext xmlns:c16="http://schemas.microsoft.com/office/drawing/2014/chart" uri="{C3380CC4-5D6E-409C-BE32-E72D297353CC}">
              <c16:uniqueId val="{00000001-FCDD-4548-920A-EFBD0BB9B1DE}"/>
            </c:ext>
          </c:extLst>
        </c:ser>
        <c:ser>
          <c:idx val="2"/>
          <c:order val="2"/>
          <c:tx>
            <c:strRef>
              <c:f>Pivots!$D$191:$D$192</c:f>
              <c:strCache>
                <c:ptCount val="1"/>
                <c:pt idx="0">
                  <c:v>3</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Pivots!$A$193:$A$196</c:f>
              <c:strCache>
                <c:ptCount val="3"/>
                <c:pt idx="0">
                  <c:v>Jan</c:v>
                </c:pt>
                <c:pt idx="1">
                  <c:v>Feb</c:v>
                </c:pt>
                <c:pt idx="2">
                  <c:v>Mar</c:v>
                </c:pt>
              </c:strCache>
            </c:strRef>
          </c:cat>
          <c:val>
            <c:numRef>
              <c:f>Pivots!$D$193:$D$196</c:f>
              <c:numCache>
                <c:formatCode>General</c:formatCode>
                <c:ptCount val="3"/>
                <c:pt idx="0">
                  <c:v>150</c:v>
                </c:pt>
                <c:pt idx="1">
                  <c:v>182</c:v>
                </c:pt>
                <c:pt idx="2">
                  <c:v>163</c:v>
                </c:pt>
              </c:numCache>
            </c:numRef>
          </c:val>
          <c:extLst>
            <c:ext xmlns:c16="http://schemas.microsoft.com/office/drawing/2014/chart" uri="{C3380CC4-5D6E-409C-BE32-E72D297353CC}">
              <c16:uniqueId val="{00000002-FCDD-4548-920A-EFBD0BB9B1DE}"/>
            </c:ext>
          </c:extLst>
        </c:ser>
        <c:ser>
          <c:idx val="3"/>
          <c:order val="3"/>
          <c:tx>
            <c:strRef>
              <c:f>Pivots!$E$191:$E$192</c:f>
              <c:strCache>
                <c:ptCount val="1"/>
                <c:pt idx="0">
                  <c:v>4</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Pivots!$A$193:$A$196</c:f>
              <c:strCache>
                <c:ptCount val="3"/>
                <c:pt idx="0">
                  <c:v>Jan</c:v>
                </c:pt>
                <c:pt idx="1">
                  <c:v>Feb</c:v>
                </c:pt>
                <c:pt idx="2">
                  <c:v>Mar</c:v>
                </c:pt>
              </c:strCache>
            </c:strRef>
          </c:cat>
          <c:val>
            <c:numRef>
              <c:f>Pivots!$E$193:$E$196</c:f>
              <c:numCache>
                <c:formatCode>General</c:formatCode>
                <c:ptCount val="3"/>
                <c:pt idx="0">
                  <c:v>312</c:v>
                </c:pt>
                <c:pt idx="1">
                  <c:v>373</c:v>
                </c:pt>
                <c:pt idx="2">
                  <c:v>351</c:v>
                </c:pt>
              </c:numCache>
            </c:numRef>
          </c:val>
          <c:extLst>
            <c:ext xmlns:c16="http://schemas.microsoft.com/office/drawing/2014/chart" uri="{C3380CC4-5D6E-409C-BE32-E72D297353CC}">
              <c16:uniqueId val="{00000003-FCDD-4548-920A-EFBD0BB9B1DE}"/>
            </c:ext>
          </c:extLst>
        </c:ser>
        <c:ser>
          <c:idx val="4"/>
          <c:order val="4"/>
          <c:tx>
            <c:strRef>
              <c:f>Pivots!$F$191:$F$192</c:f>
              <c:strCache>
                <c:ptCount val="1"/>
                <c:pt idx="0">
                  <c:v>5</c:v>
                </c:pt>
              </c:strCache>
            </c:strRef>
          </c:tx>
          <c:spPr>
            <a:solidFill>
              <a:schemeClr val="accent5">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Pivots!$A$193:$A$196</c:f>
              <c:strCache>
                <c:ptCount val="3"/>
                <c:pt idx="0">
                  <c:v>Jan</c:v>
                </c:pt>
                <c:pt idx="1">
                  <c:v>Feb</c:v>
                </c:pt>
                <c:pt idx="2">
                  <c:v>Mar</c:v>
                </c:pt>
              </c:strCache>
            </c:strRef>
          </c:cat>
          <c:val>
            <c:numRef>
              <c:f>Pivots!$F$193:$F$196</c:f>
              <c:numCache>
                <c:formatCode>General</c:formatCode>
                <c:ptCount val="3"/>
                <c:pt idx="0">
                  <c:v>224</c:v>
                </c:pt>
                <c:pt idx="1">
                  <c:v>247</c:v>
                </c:pt>
                <c:pt idx="2">
                  <c:v>250</c:v>
                </c:pt>
              </c:numCache>
            </c:numRef>
          </c:val>
          <c:extLst>
            <c:ext xmlns:c16="http://schemas.microsoft.com/office/drawing/2014/chart" uri="{C3380CC4-5D6E-409C-BE32-E72D297353CC}">
              <c16:uniqueId val="{00000000-EA3E-42FF-B8D0-FB969CE45B62}"/>
            </c:ext>
          </c:extLst>
        </c:ser>
        <c:dLbls>
          <c:dLblPos val="outEnd"/>
          <c:showLegendKey val="0"/>
          <c:showVal val="1"/>
          <c:showCatName val="0"/>
          <c:showSerName val="0"/>
          <c:showPercent val="0"/>
          <c:showBubbleSize val="0"/>
        </c:dLbls>
        <c:gapWidth val="444"/>
        <c:overlap val="-90"/>
        <c:axId val="986144112"/>
        <c:axId val="986143128"/>
      </c:barChart>
      <c:catAx>
        <c:axId val="98614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86143128"/>
        <c:crosses val="autoZero"/>
        <c:auto val="1"/>
        <c:lblAlgn val="ctr"/>
        <c:lblOffset val="100"/>
        <c:noMultiLvlLbl val="0"/>
      </c:catAx>
      <c:valAx>
        <c:axId val="986143128"/>
        <c:scaling>
          <c:orientation val="minMax"/>
        </c:scaling>
        <c:delete val="1"/>
        <c:axPos val="l"/>
        <c:numFmt formatCode="General" sourceLinked="1"/>
        <c:majorTickMark val="none"/>
        <c:minorTickMark val="none"/>
        <c:tickLblPos val="nextTo"/>
        <c:crossAx val="98614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customers live&gt;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customers live&gt;</a:t>
          </a:r>
        </a:p>
      </cx:txPr>
    </cx:title>
    <cx:plotArea>
      <cx:plotAreaRegion>
        <cx:series layoutId="regionMap" uniqueId="{22A87927-D219-430E-BAF9-17F609D11C78}">
          <cx:tx>
            <cx:txData>
              <cx:f>_xlchart.v5.2</cx:f>
              <cx:v>Sum of Amount</cx:v>
            </cx:txData>
          </cx:tx>
          <cx:dataId val="0"/>
          <cx:layoutPr>
            <cx:geography cultureLanguage="en-US" cultureRegion="US" attribution="Powered by Bing">
              <cx:geoCache provider="{E9337A44-BEBE-4D9F-B70C-5C5E7DAFC167}">
                <cx:binary>3H1pj9u4svZfCfL5VQ83UdLBmQMcSt56TS/pTvJFcDqORC3URq2//pbTnUxbdmfcF2O8uPYMECR2
USU+rL1I/vux+9djslqW77o0UdW/Hrs/34da5//644/qMVyly+oklY9lVmXf9cljlv6Rff8uH1d/
fCuXrVTBHwRh9sdjuCz1qnv/n3/DaMEqO88el1pm6rpelf3NqqoTXf3mu51fvVt+S6XyZKVL+ajx
n+/dZSK/Z6WSy/eb35E/3/83Waarb8t3blYr3b9/t1Ja6v6uz1d/vt8Yh7x/98f4cVusvUuAe11/
A2JqndiI2cTm1Pnxsd6/SzIVPH9tYEJOiEWYxWHkp6deAitv4ugHP8tv38pVVcGb/fhze4CN14DZ
+O/fz8LjejbWAASAxZ/vPyqpV9/e3eqlXlXv38kq+zFdZe9m61f9ePtjbv7YhPA//x79A8zW6F9e
oDye2r/7ahPIvwHZWyXvLjNYaP88zAyfWCazLILtV2BmJwQxCjCPcH4TU7uR3h5iD6y3iY4M7btV
uEwPINEMnWCLc2QS/AS1s0OiKcOMY4LWH7wp2PvztRvtEf0eUI8ojgzni0xl/7xAU/uEmKZl82d5
dsZ6GzsnhNi2YyHA/6Xi3pef3ehuUO+B7cbvjwzZ/6bLb1l5EGwpGFxEbDYWXXQCOpw4FDm7RHd/
hnaDO6LfA94RxZEBfJsly4MJL2a2ZdEfMK5V8NjpQsyxTcT4pvDuz9FuhEf0eyA8ojgyhP+b5FId
wN8C9cwdanJssicjbI8QBvVswQdUOMj4S/W8P0e7ER7R74HwiOL/AMK/Z3HjldcuN0QSTzO8I156
e7hETMa5g58U8JbkAq4cW8TC7Nn7+vnsp6jpZYz3Ok+7kX1Ju/GOT6/4+0n5PxcMfc6Sw7hN3LKY
w5A5EkgCEZLFLIz5yB/el5HdoG1Q70Bt458g0N/4/ZFBCoG5klWyrKsD+EzWCWfIApX7bFIhjN00
qfgEIcIotUAVv1S4b+NqN8o7xtgAdnc6YwfVsSG+VBpC3LIeDoA4P3EsCGMR5rtNLGSuwIW2EXLG
TtSbuHoF8e0x9kF8m+rIEL9c5gfIaayjXQeykJjgJ4eZjqUbspT2Wqvbo/TVvvzsRnmDeg98N35/
ZMheZN+yx39ejCEzyRzkmM5PMQZh3VTc6MRk4HQ5GEB/qbj3Zmg3tpvke4C7SXBk6IpaHyLvTJ0T
ExMKgvlKHARulwkONQbJ3kR3b4Z2o7tJvge6mwRHhu7t8rGEqo3Sh3GpTQuCXWajV0oLawlf/wfL
YP0ZAf023najvWOMPSDfQXVkuEPIuGxW5fIQDrd9gh1OMLGsJ5O85XCjEw5LAoR/5H69iandeG8P
sQfc20RHhvbtUr07r2X17uqrrPJDiLoJXhbh2AFZ//EBUR7baqg8IdDmo6LD/4K13ci/NtAe+L9G
emSrwM2gJr4ER61ah17/eL+AfYLWNWSIo1+NujDYAtPCozj7rXztxn/nKHuAv5PuyJC/DZcHwRwq
ypCm5tSmr6l6ckJtjGzQDZtO3P4c7UZ7RL8HziOKY0MYNLxYQZvLIZQ7P7FNsvbWzSfJ3uobAD8O
EcShc2CE8pu4egXp7TH2QXub6sgQP8+qd/9VwSpZHcKHYyfQJkKozZ4h36pSQd4FUqaQFn+S/JHr
/kbmdiO/a5A9oN9FdmTYu1lSV4ew4dAasnbMoTr5iusOmVNkU+4wqJK8TLnsz9FurEf0e8A8ojgy
hCfJOy8roYvkII6aRRxukue+TmdLnUMvieNAF4IJHjt8RrL9JtZ2o709xB6AbxMdGeaf66+HkWko
OZsmhoavH5+tcBwSbbbFbfDjNmV6X352Y7xBvQe8G78/MmQvV83yID3aoK85sWyKnvX1VvUDapsQ
lEOOdeSZ7c/RbnRH9HvgO6I4MoSn0MJ+kIYwfmJRzEF8X+nZXbcL2Sb8h0cWeX+OdiM8ot8D4RHF
kSE8S1ZKHcAaQx2EINDO6wh5M2VGII9qY+hcGFUu9+ZkN7Cb5HvguklwZLCuc38XsC3kEI6WdcJs
2FoB7X6v1D+gNk1sDBWQkYv1JqZ2o7w9xB5IbxMdGdpnq/IQMmyeUOtHKfPJYd7V+7fOjWJKoBn/
Zdi0Lz+7Md6g3gPejd8fGbLzOv2aJd/0P6+hIckJuykwY9samp1AUyBFsEnuScA3wX0LS7sB3hph
D5C3aI4M6EWar0q5TP55oCmBuJfYJqOv9BJh88QEV8yEXVQ/IqmR1n4LZ7vx3hphD7y3aI4Nb9Uf
wjZDThsR8Lyg5fen7G54X3hdxXY4t+1RtWqxJz+vIPySeh90X/7+yJA9g13Uh8hd8xOws9AT+DN3
Pc5vrTvx4TtoLBpb430Z2o3t5vvsAe4mwZGhe76MD7F9xjmBzchQdICdbruzWeTEwSbmkNHatMb7
8rMb2w3qPaDd+P3RIVtVqwO40eBoQaKS2c7T7mOEtrJZ0DgEXzObjwT3fLkvR6+hu0G/F74bFEeG
8FW5hMriATwsCh4WFBZs/krTJ4ZDJ0zYw8rHRYf9OdqN8Ih+D4RHFEeG8MXyG3T/HQBh2HvBoVGA
WM8ZafCRN/wqgk4QhzYg2AW3qZ/352g3wiP6PRAeURwdwqU8gJKGY2Fgc40J8D6XD8edAbC5xqQY
VLQzcpwvlnsy9Bq+L8n3gvclwZGhC5k6aOITy/Lr8iBizE4YQWsQXy87cMeGw0KgF+DHZ1OY38ze
bsx3D7MH9rsJj2wNrAUqzw7SB/Ijcw063H52xcZaHEIohzPLJuCI74D/LZztRn5rhD1A36I5NrxX
CjZayYOUGZ0TKEM4jmU9p77GgBMKnUEWp3R9nMzLDPbFW5h6BeutIfYBe4vo6NAuH+HMMvcf79O2
TijiDv91QNCWAYcwzIZuEWzt3JVzsdqXr9fQ3qDfC+oNiiPD+a6GZr70IEeNgKtmE4cx2Eb5M189
9sWpTTC2yajz5y087UZ5a4Q9cN6iOTKk4cQrvSpX/QFkmp9wC46voOi5x2src4JPuMmhw2t8WONb
eNqN9NYIeyC9RXNkSN/KVXkQtxyaRTgCmbWfVPOuDBl8CY47nBC1/owqVPvztRvrEf0eSI8ojg3n
p1MbksPEYGCoocEeEt3P1eUtQ41PoDqFobtv1Pr1FP24+7L1CtY73m0fwHeQHRnqH5Ll4+owp/vB
qYzr/Oizvd6hxaFeCdVp8hR0jTJo+/O1G/ER/R5gjyiODucaDoE+gLWG4JlyCxrwn5MrEFKN/TIo
csDJF3Qk2B/AU9yPo9cQ3qDfC+ENiiND+EbCHvhKfjtMqcOxkUnpc0vYdk8YqHfYIQ9F6JEYv4mp
3ThvD7EH1NtER4b2XQ0W8RBQQ8MBReszk1+JsyBbRpy1qTa34qx9OdqN8+iN9gB5RHFkCIPjA7tg
S7Usvx0mTQYNf7D9DduA94/P2EJD/RICbgRWfDNL9nbGdgP+yjh7AP8K5REuAE+ugkN0jEF3IIa6
F3QIjsw1gI5hDzysiuc+723s9+bpddg3h9gT8U2iIwR7Cp0Kj7J6zH7O+Y6TXGH7xFtvvrDgGBML
NPYvP3vTPyPr6hg2bbpDzH9xtI/j+Drc28PsCfk24RHCfpoti/pQ5W0QckYA4J0aHo4lIw70FjrO
7gwLWKA3MPc6/uNB9kR/THZs2Msqln1W7yNbbxP69T0oFESa/LzuBkR7LPQcDpE1oXvlp655Orn5
9g08vYL3eIR9wB7THBvScDnGIS5BgQNDGXU4nBn6Wqr8h53nDFqURjjvzdErKG/S74PxJsWxIbw+
WPIQaTSoZVNC4AC65/TK2F8DFc7hOBvQ4aMW4du9OXoF4U36fRDepDgyhO+gAQsuIzuAsoYtWdDj
D4b6uftoK4MGXeBwtCh0J40qIG9gaTfG4wH2AHlMcmQo30M7SH2QahfcPAa1LIpeO1HuR14F0uEc
gYi/bEp5A0u7UR4PsAfKY5L/Hyi/fj3dr5v+vKVeTn7cEfjihrrff/tjiuBuwxHp84zvDrie0Fh8
+/M9NBRRaBZ9GYStB9rA6/bXKbQ/cdykXMHxdX++hysH4TgLAls7EFhvkzoI9He7+vWVzQk0pj5/
A89TcGNeCBcZ2qAs4AoA6HKAPwhcjfX+XZXVz1/Bvly23mMPsZzNqP3rIscPWdIHmfo1M89/f6fq
9EMmla7+fA9RwPt3+dPv1vyayLQsuLoHuIP7eRghJjwpf1zerLcVwUT8Pxo1qhqyrr3qEhu5rJb5
lDZhNMmjxk2tTk8rI66o6EzWfG6j9CyvOmcGq9sSrJDS9fug8nxl45sg4BPDNlOR9spyOZLGGdLD
0vTJcOnUetXyoppYURyIPPFvaW3wC9UkoegbWkzzrikuYd/qJArCex22kxYpOZWOfZpqcspK/D3u
+vs2TE8tFl8VSelZmMwdGUbCidJQyJTmXpTgQAw9TbwOscoNnDoUzOSryGIfW258iRtj1TZh4Vl+
n7pd23cCHLpvRdoHIkbGpUZN7eFS9aKNWyUah3/tQxZ7DlyN4yZWo0VTa+nVfXYfptk14cGEZ2Us
rJ7VblHrZhKUszq4COSC5/SmqPgFTfzVkKSiVx84zluPlvGlcvh06KKHtKDCJ/5jqMy7xvRDgaLv
fcByTybk2i77Xtj1gCZNUH3MDE1EX+vcrZMwmXY66UTh0MIreX+bBtr0tNWyeWWjyKVJWE6Qqi0x
ZGxwU4kHt/IjZ2JoXnlMB/M4ZJVIDTqrayO6MXFCvI4kmYh6FgkszcYzM4NelEUshZW1jRvbOD8d
jPImq7pEMCNDs7qrFibC0iupllNWR+a89p0+vleBYQUXpBrSh6gyDUckaZHD9DWD21HeiqaT7USZ
9vfKCedd2FyFuoxdmlbautC+rpwvpTnIb2mSWYbn4MSZS4b9qVlxfGUh2bnV4NRuQHo1zVmbXaQD
kR/t1r4vtezm0Pr7JZZd6ppNLq9aFhHPyOtySnr7zlHtgqbmLC/9epYMOJmXGH80ah97NWrppPMH
NWtaFdykLC2EVRF1VSnHKxDMJa2aiy7ssztYAZabMytzoyLpPsBeyGpi121+FxTN1wpOHDyzYtK4
PApXOQ47d2A9mkgHXxp25muB6g6m3sSu5eh6XtZ+OSclT24LXiRXTWapu5j02suxDN2G5XeZrT2t
uSGGetAikOa84yoWtW9EbkTrTOisv2q147sGLTs3jTNnYkrSnmmO7WkvfX6qe7Ts/Nwtwvbe7lnu
UoV6kQV55AXM6QXpmLEwDKf9EkdtK9RQ+J60tZp1eRY/xtSs5kndFmIo7NO4Dbt5M2h7UmpnYF45
5L7gplNetxT752FA7Qu76S8raNMWTmL0rpVJkMy0KacdsjtPE1VdGPaQiQrHSMRmN0xe3nS6oeMe
s7wvZRA+31f766//uctS+P/H1ad//eP6utu//jZbZetYuBr/aG2Pfv3qr+tT1/r/112qI6vydGfu
Kybnt1++yR4RqKz+Sgpu2aOf/Unb1mhN98saoROCoSF2vRECwWnWYA1eWCMHjmWyEOeQMaAOeKE/
rRFskIHjseGGLwqXqsJoP02RCacM/LiUkVkEerXgQT8nYQMmsMM7TBFYw7Epcui6N39dqoCLUKCP
ZNMUpXnCsh62aVymdGimOfKZlyHrs2UHk8yqH4jmH+Ph2u+bGSnwhBT2da2Dj34yxG4Ph12AVMZe
ofoLfh4FxiNt44+p4VMP0zKa9aX6yrXWom+DRZ5GcxSo1s3rbGri0nfDJuIu5E+/GKrJv2KtpKB+
0k4iJv3pEEbzVpZ87gflqWpDKSIaPqRmdq565/NgaJHkdum2slj2UXzthHRZcvypa3rict1d6CbK
3D6MMy8vorO6BnNjplnz0CP7i9S5PFM59ie4NbmH8uhjXCdfUG8NC5YGC78ysim3h/lQkC9NlV46
qnR7bt065SwG61A4WSnMqP1Yh/KzLY15i7KHqjSCU4vknlMxN1XNJY7QFJyCy66Xl6we3KIHs+XL
8FuW66tAq0IUvL10ZEtFJsmCZdOo0ALUnUvIbVBclNY01/HngoSFABZnVTVwoXHjJSyphDbL0I0j
Yn/0mS8ys6rmDXeU67d0FvnGOU+zdp5pq3F9WU/aLLrJK37OUTZMGQ8Nt0mSeQEHZZRG2IKCqHIR
lmhW8iEENV5/6G1njiLEBfIbNQsVXWkp2Wmi4HlJ4lZmMAjHKr+ioZdehfh5aA9eVkXLjvsO2FDr
vNXyKsmdyzRnHo9MJrI+Om+DcBDM8ixzSIVmHfcSZDZChX0hAvCIXN42WCQxK0RiVZUrpU5daeWw
2KRjCp0OHxxtLc3cWASG1NO6Iq6PDNCnpL9uLV65FpYuL+hjT6LCZUV0o3AaeSEgZ+T0o5m1okgT
sNVw0N15YeBFYmcXedR9adLuPqyqr3lhtx5ue98bOM9EFtWR25c49eJIL5peZ15TxA+1LHMx2Jbj
yjC99itG3bjp5inW2bQMqAKPCMxunC0okWAzLPs74HGW5fkVK8NpzNEMPADkpmEq8sYGNyOht9Gg
viRYnmncXmQDacSg1alf6XOUZguS1oNIUL6wG/trVAULJwxm4MUmgtvVXVvJ27w2PsqML5DKTuuS
rTLOFzEKrgykvqgq+cjjAiZ1aM8ZLc/AiF3UTaxFHnfXSdrMOl+es5p7amjnuZMtcMmmZs/mRRCe
BgzlouzpWZ60Z22FPqCQJdN6KD0/0J9aK2xExYapLPVVXq/9rsE6LR1yY8r8LJbNnMV9DW+Y1ouo
IVcMlRdBbl2pvHmsZG8JOyC3VVY9BKo487voog6ZFwb9jUIJ2CoQ+jgJp7yVD0Fszcwgm6dc2ove
VDPetCGsDn1BlSNd26LXLAoWjJPr1Gh8EaDCDety0TjoE+raxLVRkngOqW/a0DyvywYcV8sKwfim
n2pN51bduDn4AaQbDLe2FTiS/MtgO7PWaCfaaaeJbD6rsp5XJvo+VEEtpCSTofI/SSgCEWENhkpv
CGQ63MRuEzK1MxN0X0fpqcHSYQIux5kT1OfMiRedrrUwsHMWhuEVa5IzP+hbEWXBReuzFHwX9bWR
2hZGmVwayJkVmXNZqjhy7babpgXCE2nie4nr8w6zBxobl9iPboc1hNQ2v+a4A2kMJhScEhwYDx1q
rijGlyjuvJBb2aTs2yUx+ODKPJAgJ7lXaMCixOZU1YGcFXb6Jaf0ondSLbQs53EWzWIF3jT4hPdw
7slpUTUiDCPPrIzrRoKzTtidFdQTKYevUWLdDqYOzpVZ5AsU+Dd5qi4MhXzhF8mEDeYXnPOZRXzB
aGvOI83ZpC07Mo87BrIcrOJeR8JSGTrrrf4cw4WJU4xzc4oknVmFWQpYFLlLOrsUPEDzKq0/Va28
LdRw3tfBnV9Wc2UMgejASVWtnME73wV98qCLsFl07EMcx16EGpdEvAe10s1MloFLF9xJNFSezZu5
kQwzPdiLsuLXQ4LnZeDA1OAroyiVCJv+uqnJbZxk9gRhVXh22caiwe11TvlFlYC9nySVQZIJeHHy
3kylBuXPrTOifClSO2mmYcFFWgyWkHYD0jmcF9LqBS/hlfo+n5ddP7MC5XywU9MWqW7UZDBkIUhT
SBE0TQeBUfq1CWA6uYogGhhMEUJPgpeTxO2MwDUzPfdDQ3pdosHENE5zGiVdKgqj/65KiCRAikXc
KwgEohILLjt7YibJQ5MFxEM9h3AvtNUUh5VliDTiqVumwXmLdX6lCqw/RdjSoTCH0pjWdmteV60a
ThN7yKloE2ZL0aQMT/J2SLwBG+ctLU8hPvhA7HjKumhikeE+LfyboCjP6oIEwqLKJYldTxQuPvmt
GblW0E5KXFWiibtZzfx4QrX+2kS1i2P7M/PpRdP2YGSkl9bNVPumkLS6yxHqPdsKl6BZ7xEt534b
XiGzW/kRPUsHmCYnlBNYSJlbGfRTPphnlkwvfJlQl1spRLTx1MjT06YGE132te3x0r+KkOklcXaj
ofAkrHRY5AE/Nzs5x+UggjhfpE4rzAzFnrTiAEIReu206a3uwGBkfe+lSt2ppFVuasRnSLYLhIwL
OPDNBVdoRrpioX1nZsThIrCKsyDXD5zRs0Th05KCpaX2NLbzRz8aJhDMX3c+eAq9mU8GP5xA45pr
FnqVhs65oZRbwaLruvqsdpJHuOswEJWjFhmSNyWJJpxI12FRL2jK52GHbqvYKIRWhuH2HRa9FUyG
sp36TeA5foRE7VRTHeF5WpNPjc3cJMLd1DQyl1oQZ/iwHqVKCtDu8aeEQoiIzUC0JZk4McRcdZAs
jDy6dxx/Ru3hA2pIKGKN7/oWT2mUP2SYI4+mRAqjkd/8MmvcLmrriQ7pZWuiSz+gXzqk+URG+YT5
1ixy5MKRyJkGgX/WxMMq781LnWN44zbR55zAYgmy1nRb22rBl8rxxO+5fZXh7FSxepIlNvdCja4T
ZpwnuhtcI6DTqjJK4ZshFmWF0nnY889mG/W3DmgaL066866za89os4fOHK5zg38mJPKnuSw+oQbc
F8TraVw1iasqeGvbx3NnrXoKOxBNBhF3UCaRa+bxRe6n0zgwhiuDlGc5DgqP8KrzijL93uCuAhex
UB6Dv/Vx7+GmuA1kl0PYnC5ai0Si1/X5UK6ttsk+dRgELUJ24JWdk4iiZ5c4lpdxG7ssYuHCCofq
PPdLLmRHH0iQBKdt6V87VfIZyZzN1+LOIeskHAXWPC4b+tkO9a3K2TVuO3nuUOVBCmIR5OiOBODR
ZCYSsq1nAco8lMbnRQAZCYuVIjDT77WdQZKCkgkEo3exzk6ljs7ihoOf2XaTiuhPPS5unK5QQuXW
ZYSDy9SKponF+jPVRfdF4nxmHb2BU7eyM5NGalIHPJsSzT4PqbNwKmy4EZJqphoY2CjwNMMSQnbF
mnmUJERUKgfrGLAU0dsORwTCiLI02MROekYiN6bcmBAs/SFyX0R8O0IoCMXyv3J59no3JOySg/t6
wcZDuy4aBVBEItQRouRVlOdCqYtq6ITDbn//EEhY7njI+uIETKEb2FpHcS8ShrHfldSoKnmF+oWh
LpARCoPd6fbu94/ZzEs+v4sFhx6tr1uzYHvI5mN86FyEKACB406+t9lHg56+efz1HYxwiyqCYNMc
z1Xl9DzLeJpcqRYW2tz2l28f32brfmmYKEjVok3+A0v5AzWL9MqGuMP8YDrnvx9/nZfdwvrF/Iyw
ZjzGISTi5BVLZ0bqxnhaWh6TolslkffmR8EFOBxBeRlO3TbXJciXiCd2gIZ2yOIrFM3r0tVI5KkI
mAtm2MjF75+1Znv0WhuwrJf4i9UFGcW0sXiSXOXUdSrw6FwQLdCpfTP9/YN2zN/Gg0YvpazIyWr7
6UFUeioUXTgFO7I2xfnfrLUdcgl7JDDsggLrCHVe6NN4+VLUVCQDwwvpRDr14ZKzbmL6j79/nR3i
8vIR4+U2VCb4SiZSV8peRv5nZvwvljNs82Bw9hyUNMwfuZsXuECu09TMgIxoBBqQWiLp/xfKy4aG
ZNivTUFsOIFqyMtJUoYC/57j7Gqwlq11WatcIP03umsX6LCI4aZ6Rk04zgVyXC+f4YRprnp7SK9K
cPx61y4ENq+bUmS5N9C/Wck7nmUjeA3olrctDPmnzWeFvg1JtshUV+E6pp7IzA37iVWIDHysmx/g
P5fGPjzJx1NZ52Vq8mWm8jhTnusi6espz6fDu7cTnj9Kq8/lNzgTEQyhCTcnWwABWucUfyU8EaQ1
bVACUIyFX5gglT8TnhZcL2BCkhRTuCuK4PV5in/lPKGG52Ao5BPYCLHuuHlLztNar+q/9B2U3+AQ
bdCooFfBZINYjVRDnCbY6bRvXfpddRroolEXuiU9dyFlnueZp2Q9zOwW8k+QoAm6e/DhIKTIHJWH
ZzoKP3e0uk3DovfCCqKnVtezog28eAikwEgRL8MJF5kTfYWCJ+Q0lSknvVEVkFwxLyHnq12eGJ+z
Nr1RafzQ1hmOr7WVh7dxLOdOCwUyy6/dxABXFgp6lzFU+iBr1RSTMjWCz32uww++H0r+IUx664Op
7Cp0WQuWT/A6gQSV6adI3XHLAMVXOlDXqzrs66vCqEJ5X7O0aiZJ3D7EBJKmXhVnc6joRf2cQGKm
jdhpW5s3ZsB6z7fUPRqSu5pJiB/D/JHYMhU8rL+mepBuqaMJnPvyNVTRIMDVuuQ1eeBddw9ZUdOl
rXFuNIZnpExBCaWSguU59mxw/cFXs9gEs/CB+NR2Ux5/IYF5G9vtVRTlptcb8htc5nyX1myFWCQn
VQqTYtr62qJxLgIoW85bGF+QII+/9DQoRNzKORqc1isKyJamiX1XJJhMMxWDv0m1IbqIzEMdCNU0
pZe2ckFDGkFGOLSEKq1BVChWE0gZJpMY9ac0J9c+qVN3oKBIFCPzLO4hw2HHrev0HVn0DTaFUaNv
KHM8u67AKPumP4mtapYqZxmE2Rm0lp1V1CldaRuGoINza/lJ4zphNe1845vpDNMEdYvczy+Dkuei
8UsvLwc+TxWE1ZWff9cZhCVcQl6hNtLHNnQ6r+nVJ1jSWhCnseac6XgKy+uaYYgHtZ1dajMyBBv8
D4mjryFXBpmCEN/4OYR3dQKpLtSVphuZDeRJ89ALzexTHRFQxYE+1YCgruqpWYRyBpXnQXBUZJNB
sUXa9FddYT7gSl86Wt5FOotdiar7NAhvQhZKL0f1DAfcWEQccg1NWN70ln+HWnQ9FDWICIZ6VI/b
QDhSQmRT+h9qf5j3iW8saGc8loUReojl8aw3fSQG7CRuW6epF5jVDMr8zMOsH04zSBtGfdZPM9tc
1xEUddMm0aJg7bkZ429JIk8l+BcehMQXPMpLIZF1Bm2ieIacJBF9ULgYBMBjOFqWKG+nvaOvnJJ9
aowQsrGwsqAem3LIGtLvaQ8Z1zjPbuohd3VtzQeYGWFZHSSwVTa4Om4+knZQc4PB6vSDvBVVIldJ
TwYIi6xPZmvewmXk3aLJYukmJVlALzmF7Jx9HjYGEZwVtotSxqZtEV3JgHvciG/SpLkMQljbbWhh
0UbxRKbOB4i/iilPdDVr85ZCvNj1olD8rsVF46ISffcJ+4Jo8ggtFouipRCoQX1a+AZZscq4ryJI
VKdpep+2mkyIU9/2vcYzydPPWc/OIJzvIYq1+7BiUOrv+DWN7NzyZIV6KKEUX2mrvIyYkA0xrFzU
ZnHBjU5Phjibmc3wtaTkcwFe2NxBqhO5Y30Y6gaCRx3aEMxyDq8KGXEn7B/93q8WyNK3odKQjs1R
Mu9R1ovagtgtDemXnLNbnWrbbUNIE+Hab72yjiMPYivlKokumzrPJrFJV83QO54y+UUUkcZr/Mya
x7Fy3MaArJZTF45Iob4sWtY+GpAoczHk6OcI0kqXsjMhN1UVnWcbJPQoKW5axavT3rb0BA/NJJaq
A5zkVAe096QZ9V4fhflFarWLPvW/pKrrvBRSuhM4XhbifAqrNS+jR24pS+TrHI2p/GnAaD/nqiwW
Wc6mcUikF4KTPbXBFRKgD4eZioovpQ0J19KYBa3/P+yd2Y7cyNWtX+W8AA0GZ14eDjlVVlaWapJ0
EyipJAaHIBkDGUE+/VlUu9sl2e6GAd/8OD8abrQhZSYzSUbsvda3NveY8MLuIdhFkO7qNFuUcbNU
83RnnX6A4bvQ+6j3xl0syFFU/rmJ62qneZPslYBeYxBWyOm8LCc2TW+tcJsdG7V/8kZ/Ux/WqWxt
1R9Y369Pq+E4N2ZxdmFSDZnT47xWHseKqGf49VRmmAay5l0431RdeqLpeuPUK98EAbmjMAQlp0XF
4ofEiaPzqmAtsGll2TQv13Fij723LtgQSbcbfVlnE3MknHP9NRJ8zjiGd+5tom2+kErniYeOmXTs
qmvvigbOLdqhnvfjuN74mp5p5xetWK+zVND/GuEWHjUQNWJ5ScPma9LzL52iEJviFK545ECmc8LT
4CdLSaNqzqtVdJnrmmcyta9D61w7WT9AhBny7VGFUAlIlMlg/Nat8feKu8FO+4EqZB3gLWuvL0zn
fhprh0NurS80hXkJ0mwujICDOdD2pk+4e2hsUz0L1hW1oZ8iD9q1h1s37vh3yfWn0HeykOnLOONS
DjT/SkMvLUlat1nKu+dpgFg61PWceY5zv7qjWzhdfQu5G8be0N50EpVIgD01dGYsYIR8s4mCW0HP
CZiavVsvp45uzETrZKh9X/giL7b3+ixaOM9kAzuSSuj15Cbs+JszJt+NdaYsMsOxF86BquZb4sw7
NQ16r+KxVCP+1AzOMwzA81rd8IZlcoqPo2pf06n5whQW39lxs0bGx6mm21WTVLmK5GlVcEniFqeH
O3BsR3VjV1zPNfWAg3jBN98d/Azo1UPdVPjLWMBnTs617EgWuEOVE9x2e1Run1GBHWs77AQqnczX
0WkNB55P4EsikWQ0NS/Ex5uPdsgMhdJkIrb3uf4aVOlLFdM+H7m4uDG/bkUM8bHhpX21h8THiyXx
L7atn6QxLBuVW6OhFtexTs+LR9PCj8SHyZEmixsQIys6/WmwazFv4ikxPBv8MckU59Wuprh1+tXH
YiFBBM1Ai7ykn0uGujNLurp0en+rHuQx9tnJLM13RsJ6V5nkbiHNflj3Km0LL9nLpS+IPSdO+8i6
uYW0E/DcTcJ908wjNFkUMv76xU8MbLDqSxLBqvOgCTjUZThZ4nUY4BZazzQhNuJZ3uD2gdlhxwwO
0jMZ48zCyUyULJODX3UHb+iOs24LmvjjfR9JvuQAvyJT1kFInBc2D4ObWzAj8tRafGUfst+czDCz
Z2e5X3B2ejesnSKgQwXXNjZ1kaTtaTAujqJ1cLc5cr/C6crk4OycuBmLvnXMrg6GIuDtVNB5+EgT
spZ9MotsXipSdl7z5Mv+wQSR3Sk/+C4a+RLUcZhxFF4OhdebhumRxcHr2Nur3dxgtvnCbHOIUXep
vN1c43Dzj50FTjLfPOV2c5fV5jPP3nbuUJtPoG+qlJ2FJAEYgqCwOr7MMKtTmNZQZNKsh41N0qVQ
aXAmm789DuMX7C0L4Joub2GBq80L15P7bd3c8XXzyZc5OQQwzsXmoKds3Vu0EvBa4K5HtH+ThoOT
gu8ebg48KLVzILoPXjuDwYRHDzTBHLDunlPY9zG8zbzfHP1pxh29efzqh9u/+f4KAIDcSIAVSMC4
sQEpaT+3AiYeu2vHFisAUDrrH0MJgjBN5ouj4GP0YA542LyB7Wmziiy5AZUwVO4lTJddB1oh8O4i
zTNnBd+2kQwzkIYW2IYG4qBj/QRTWGYN4IdE7i1QCFupHHXvZQEiUY9QvDdmwgc8sW4URQOcAgf4
xGonKmLUgiXbmAusCp+DjcLgK8zXAWCG3QgN9YPV4Out2egNAYxjnIFPAeswpn9tN85jVhpXQvqp
AwBSbyDIRoT8/9jQv+/MQ+RM/6yXx/Ps6++D7GvoUv8AcX971e/wEkGUeXu866aqhL817H/08hj+
uT1QbmNm0Z1vDyf6ey8f4PGfUGCixIXek/7cy29jX/GGKEYSgE942M1/0suTTTz6uZWPII1hSB10
BkhY24Sb9+KSXv1hFNNkL73x03I2lI1YoZu4xZpg5nuUA8upsXPflq7b6k96COanNlBWbK6YeHn3
6/1dEXoP9m7PBfj1aBDqRtWHkXgBImK/SF1Bv4xtyqb54omeXKp27SnqkiFiuZ31kGazCaZP8Txi
b5Q80SLHKgc2l64qDnJAX/1bqrV7h/dgU+F1HXlaQyche6y59BtZHHhvf37E3s8S5iaFYNoXWJfU
S0MI/t4vijlWWIZzu+iLb8OqKiK7dk9zgImuOx0vQ4jFGWYKLE2agJWIljpbWtffgyxcSCHnQb8x
qxTJawd9u9L1MMNMZ9gHYhm2VVkNDbu2U3riAE9VgaRV+qyYuGk7E9qyVsCRa8lmvv/zb/XPpyEO
MOIMJyLCteH/+NLvdNN4cSrjjJ269DBVn4cKEmgWtB4ujbGf7NVYmT6MlHQf//xjf1ac4WYQjMUE
ZYIH40Jl9PztsN59bOhagMSq6i99shKYcWy6YA9F/0/Z859/0s8y52+fBJQQQ37wwCEAhL9cZ3C9
llVINlzQQgWvwgyy21OdLB4aVla6YurW3HeXBLysHxr+VxfNdlG8v+nwLaHDhV7gBxEMqV8/Hshi
zaqe15dYtOErb6bwFSAEjgFUlyojOQwZ2rqG7U0njJeJdoi/6S5VR5MuwdlGvnShDzUQEZq459j3
R88vWLIs30ZnHgvXWXmch+kQyEPoR+v0FyLx9sTDX48/3pYNcI8enrsW/KL/wa4N+zCkzi0aTP4K
bklVGXFa3QeZD8cARimr2y9Vko5nuwrAR0Ng69wjc/xdx+u6cYVVnAdDM3+rpR+/zeHI4r+wL+Dy
/HqUAD9xEW3JJcxchTL68+UEEKR2JdP+bQM8h6ZJoX+UFRr95k7P05RLK9z7mS/hBBCHxbkk/V55
EoZxMHp52wn+YexCbrO4M9ULcgTDcVGgMUdAOU+RapOCip7m09A0NUpFvzEZbVR/MaOjoBaufllV
JG1QE9Ce597M+CGMNKqWprpWS+/brJticdFUPGoPaHsRzcA4SL14WBvAo6yZa5Lm3LEw+UTdKTix
KCFoKOyc5gYMGcejm5f66AC755mBRQDuLnSKtbFfRyX0w+Q6kKwM1/GOKjEdA+p5j4IR0+5p7JA6
W1lLv2AumpxBIQjn88SBb4yj8o7t0I9HItLurZ5HiGujz9uHOqU2zmYRVCdJ5ZQv+B32JPDSO2G4
LQMjBSAjSyCPhjGp8tlUicjBLNCSK18W05jeMepUbkHID7Zm9Ezeu02UJTruPlrushtPpuND6Otw
P6WN4+1UxNfXBImFUrm2WXdzm1Q7x1r31VOd+a6qcQzz1dPulPWVN1eIGYBb9Y0x5VLNU7KTA2UF
AB5+6PFXMyzncsAPDcMua1TTOHlMTYzEAJjuLNAdzaF29hwgZ1tWwbS492DEA0g50u1QSgZC73xt
UrW3fmzPoI7Wjt4DUdLoFJe6W3r5xijzvPWTMo6NkfJIJZby4au38Eb7Mpv0NI3uRbeat/aU1mLd
z0ia0COXdT1mDTINDy6k52Oz+ABCIMR0NFuEm1qcLp4kRU8p9kMNBVqUESpMN5edJvSOCReQ1qFd
YsOKxULAPEdK+7iiDB0IWk4ATs4uclhD72bcOlGVi2QEYkH8VvFd39USuQeBzYuWFkAamgYA1mG2
ULcP8kFRznOWTobuTIfGvFQo3dtd2Fd8zZM1xIrZey0yJZxJtDCzQsbmqtD383Ko6uS7M81x7Rbu
4Ol9HSRTcgkdWtFT78c6BqvUWyXW5QAU1pesHKGN8JKqeRW7VCrEapYu4svBVYqPeegtXZ3HNly6
vaxF7eQ4rd4LoKOVFL4ftbzA/1znrmtcuACT7vuXhvOUH32ZakjUTEcfViCL/q5xBo/cMANIq89i
5jG9p3Ie+wdsxv6pqVav3U0jjqAcdFetZULsmuZJs4zmlkPxo6WDWwUkJyETUKMw7IqK+tVUxP2M
01nHCvVJvzb++q1rkZdGp6c7XvgL/I8jcevgUIF3AsbdtsIv6qEGNzvRFuK4kWN6bSgchdyvBSwC
PjYr4km0C3ZkpFWIw02hNpCFrcOR1VCHyzYNmMm2v5dBHQHNPEHnEkgN1c6aaVs7nxEUGhYnq3Ef
eRey9vVaZ8kcOP7j0hlvukRjusDASYW+DaceW1Kl4hYvSDks0B3oa9J/gizVs5NYeIdW0yD4ckN0
pR+RWwlfQ0s5zRKCi3c39Tb2SxWtNQ5+Ig0vOl+0CggmLWtSi0+dMagsmqqZH1QYmS+jZP5hjk1F
y6QNXfT+CcX7hN3QWKh8M7msdvSDe6VD8ki0g7+BiJRKck2W2JYzBLga3J/nmWMfV8q7q504fe5d
sV2cTSPUPu4UU1e7BJBIXWFwbpjpcWCDwqJ7gx0sffZBufKSY5WUkOtSOxyR76HetYGQ2n6AQJEG
ACBBWd1qq7fiky32GrZOZEtYUvjoYVjXTU6AybN323j78tuhI6OzHdfIySUIe3yLSYT4qdC/tWue
tjNunbGr2voefgpueTmhKqjwZ1hTPd2zOwEJH+SkPzIXpxuw53TLHTYqaPSTsAiqxK4P4kB426KB
mynHN8ICYlOy1cm6588UT6o/JXNdJ1nCwhbXxVJFr6ZH35xZ2SwffG1ddVOhzG3AWoOWfUiwW+xV
75KLSCvxKXC9CEolHAvvNCTIqt1QNlRzschYGBS4i4+WGj9r7sZi+dp2bXi1k3KHg3CXGVZdxCt1
4NQBoLWm2xpSi46B4UK6oqw96Oe7MeLpi+OC8+JmhDEVB1jmFmnYh3rQ6iblLUSa0JNehWUPDA68
Ei99lo0zV9BANidtRXwiPcJiIOIbx4K8nPDsX9wb6OlxjTQhOvSdnSFTY5Mx4obIyYtymnZ6xk7r
zy5Kb9F8lumcPjoLyvTTmmpJ3rTqFwTQQNLOx9p4eCvLCVthHFYRwhk4LSZ32i0lN8yzvrVL3D00
UMmzJFaHgNs5PKwmwslpXaLW/QgWcrjtIxucHe0GQ8lEzyEWL2ZkeRIqzh5Riag3N+2xjGDpBC3c
QjhUWQotCVYoXcRDVwlSfyTD6ieg3VGBLU8QrJ0Ub6aoLFnstNXJoaP5wirXmREHVFF7rFOX3Fvl
0HUvJ6Hqsl4nXKQ1VFf/atsOJiuPRtg9AipCdBsQFkBpRnWjSsNGnDWT9HWVyTXmWDuU6kpifSuL
ufOgbayJwNXfBraKi4UursopghPixYQLeWwYdG/cDnX6jGudq2uf9gQLrDemzS7hDMy/nT55iKYl
JGvbOX4KvV6YwoSVDm4D2iXzB0FVKrG544oux9rH2UTjsFioGrodzrEcmX/1rNtFR2qHFN/LAua9
baUD9porijUD1dikb7uO4vhl2lY7BbOEFca67nERAe77JYpiGK6Uxbc/Go//NvRwW3+Vgxq+61+D
Xj/RE//z0mAuGq1/j0b8X/76Nsj3UspvmebtVb/LKdtjjUA/IPKL3G+C58+9QyO20HIcAEvwXJ94
aFp+JyMQTMbIQIwODNGyoPl6R0YkiJZhDBE6QTwMK4rx1IX/gIzwf7T77zu7EL1k6qKNjQkUmjDA
4b1vYYcxXFv4TOrO7fzHdlAPngpveKDuWzs2mZkDpEFclOQkODTL0hS8bSlg4cjk2k40c8WIJW8x
U4FN+oMbrGvOxs3HDHSUqZXca1egFU/xXn08sLJrRnJMK+llI+seZNw32doPSUYGe+sId8h434y5
WWcnd2xIC5RaTdnNnpNJbaDv9/wxxgDV23he+3PjeTobIg9JIorog9fF+0ClFcqDweQRY0h7yP6R
9YkPh4gDdAIDLxApoImuStViJ48D/g393jNqZSfrvPAw+M6Ds7YEqQV1u27b4hpWX6CFNZkIpyWX
A2K18tiQM6n8t5m9Sj/XaXUYBgo/bp7Q+64TcgxL2xV9ZyH2r2osx6V5Bdo3ZlbLt0mbE5B6k6Uu
vpCc6VHJ5LpsRuvSl856njQ52SD5HDYRKO4myNIldIs0Ds+ykteaW5sFcwLVy5K7NpIdoJGpJImL
U+LHyIlVlTrGMnCBFCCcUpngPnXYV8j796pPsAF2fpfXhJGdJwZgtPEMNDuSUznSQYMTkU1BWwMy
2k3OXs2Oy1QHGdTookn6D7ZVTeauEymFj5Y9UchPRyl6KWCyoqyEnh8q7fo5JXBlnKGByzXuYUye
VBs/Bun6Spyq3/OlzbSry2ZmKXxm1qJdk7BmghHBunmL84mTT/BdVin2qc9B81LSu9cx0P1DQgU+
WCokmUCxBfJrPcDX8mbnigv8NR3qAQ5Y1Z9YSz5KMd9K9ACFkwQQtYz/zZrp2xwvy05p2CVCJfSA
svwLxy0K681Dwq6O2h2o54fQq9QNT9zT3DSfxjW9WQUy3uHA9gNIF4HEBhiSxIVnTEk2tNRkcO0u
ullx+8yPrKJfBIuTQ++jEWoc/gBcB/SjN70IPz62AgnxJAQ1vQCjHpaI7xLVH6MqfJLMZadZ91HW
NusD3tOcBZhz1EXDUOoqkrDFUQPPCAftSLqdPOvDz4loVBAavKihgXi+TlOmVN+flDdZhEPiGGw8
2P1OdTpfrRo+Vi6tDj1j8toAncoMYu62X8gumfgzDNomqzRD2dEA3vFAlaBe6EvaNRNKoLbG3a69
o6oHhrxcxArpTUd3TdyjSMChE9rtIxwL4o7+kmFZ1FmCrVM1eoUF0B8CLQ4NbIJmQNi6aXSDOtIh
uNMCnaNEttkSsLhIMfJABwRNDv7DCcJrU6XZoOYnYpubUE5wfJdLGsiHOZ6nbFV8zxzaZj2na9a3
5DLbCfG4sAdEya48mO7bCsns1t4qvn5UFJVYC4k240PzDBnjFFj3sCj1qIHoZmLq3cwdYF2mCAO0
SpSxK4cdXxKVedLeUunftz14Q2sIci3jyZumHv799D0I6ee6InfQii6Qtq6iiUWezOoLpSH85Xb9
2DHYNEBBkhJ1/GfFY+zvCzxP7SGHzoIb6wB4mDtcNdAyEfX3t9R/jciPv0+T0CvZgC48rIff8OP/
9kb/P28L32C/f7+Fb9NPb1/1tz/GRL6bL4IX/rGLw9/AQH2EuKDAukGEP/rDFIG/gUelwMNOfUCv
25MXft/GY2zjeBJWEuHZDH9nH38HHDEZFPKxt00iSpF5QVnwH2zj/6Tpw1XxkgQCLcZGg5j8RR1W
k5kEjxZz5w5XWQXl0sS/XR2ozv51bHwTSP9RJmzPjEAdgsB6iG8I4yDYpMt3Sndk4taf4mm6U0Fz
quNnx71LEQALDoRezXxRpHx3Eq6/vfN7YwUh+b/4xO2I3n3iFvSr0bdPSFlMDlClSm+AzODB060G
dW/kkGCVDMdL1IKaUNEuahZRCmppWAIoijHjpI8+W4xsPEY+m6FIwfklCre0n7BzOHTPfeK1wHjc
t9lpv6fW+YhY6HUgXgBxDSM6mkouOe7xMPM9hkkMKCEyXtUV0q3RXkHP2YWQcHfVWA97utg+r22N
nV9OPuQTF/Eir35wTAJqrf6QzPNNGvpDFtfz2REUZwkKLKfYxYXRRbD4GeLD9xRheDBcPsoJcp3Z
RhdEx96damwF1c2QkmzynSfpYADL3H+eV3Q/MYP+sKqSABWrdbAPxuQEGtNmLBoMUm1S7dHv3w5T
vD7E2k1lJsNF9Q+DYNEhEmPeIMt4EDCq9f06QnfOJy7tcNdVwVnD8rv0fA0PgdIrIne++NKiKogi
cwsY6jzG9dG25lamFJHV9rKs0QtGiUQwwTGRJIUQIr36K5zGt84ZwtKEwa0dgxO6+mJux7OmpkRM
/7j49dVdRd5TUdR2OWNizHlKIHrqlbt5FZobNbsvYvLKIAB/wEEzhZ2FjoEy4lJP/bVv9R6BxEu7
tid3aEE/jFjDWw2kQ9ikz9TculmA1RpY3BNSr7C1HbfaeXycjtNk9L6jnrpParGcO1hgO5V4N+Bm
UsfcBSz5oCaEJQkDdojdEkoWP9Guvk6982DmfsccnJbBdmUCgivm+i0GF5WRqLlH6VWmE4dWbwlC
yFGBFN69nrBnqhGjS0ywN3LeuQEtdIS8J3GLYRgegF9eORUiNxYdNFTT+YNd2IeIkqNEmQ0B9GPQ
9rmNQ/k4uo6fN7X83vuArBAnBLeXrStFMMsNEJmcv7mmuukRERYAIHOsYIiVYwSD79dl5JiM0OrK
6vk2CJsDtJ29dcOyiyHCWXqj1HCQG0ux6i3xe4FpUXjGOWKhuF+SSmOwgasyP6A7jMh5DqRClBMJ
GdH2GG4SdsuhNWF3lB0GyNQAQ/zFObVqfVQjGJyl05daDpAb3ALECy5rTM5BANvbaKNXhOdvB9E1
QHghzBgll4wqg2EzFMTFj2Xmfzc9zKv6i03vPNXq/9x9qdX4r7Y+vPz3rQ+z1DB4JCTb07cTjMLC
Qv3H1kf+hgf2ok/dmlX0lu+2PgwtSfEaPLAE8iOof7zq960v+BuMbbzMJW6awKz9j0Zr/bxNYEMC
T5DgXwGm8hJk7n/Z+qTnhwpbV3WHuCMq1Zs6YH9hHiJI9vNWhMBfgicrYcRrsjEOP7rx91sRJ4Ob
jt1i4e/Hx55N4DMRB5W7mNtbCEmRgXa+qP26zCDGsORivJNOwAIDgBkAxabRbSxjmKF9RcXtJB14
TFhLI0C1kePChlKYVVK4I4nXEgRoOYzGHTE+CkYEIHt3by0sF4mMdmlIRPaSBaJUg2n2fjS64Nuj
K0zVaj/CQCimAcOxaqfqkMuUQ+Pse47G86GXK/sOO2cGyvgjEZko1ynT35KSaYf/V5Ix4KSER+f6
D/pHtHIUVtxri6OA57NbnQ2At+yjP8J+sExm6JnBW2G0gT+LPeJkZzNFJIu1c5nY/By2/qNI1YNE
zr3q5+co5H2WRGLI2joAixXArRJnzBM4kqpqMX5iqovKRjeGdFni8iSbqwGko0Udjvz8OiwnGYLL
RG4h77oYY0oGcSfrqDmkPTtP1v3Cona5YaMPn5aCZU868o11Q1csaVouQ9RkOq09BOp8vtPWhvve
p+uNWMabmTp7y9uDdupqz7tQFhDpQJGOpTD1LTehX1IfpFnFxv26yiOV9QcWim7f9GFfVE57lOuA
4ROKHHtlZSkZf8AAuhvmWwMyzY2+QkpWmClSGRCo0c5CScwsqbGdIZ/gJH3BIQLYUdyaABNxSAPE
q4Xcj7jNjDasCR/CYBky3wYYRNH3YdbT1Cs4RbfkLvpWRBBLqhRTLzC8bT907rcgmt4IZgjsJSyo
Gz/lsLdYG9b3I9BVcIcbWUpankETck5p25C9StyvrcOOa4T5bCR+0szZd4zC51xkSdskn3z4uDy5
n/t+l2LcVyNpuSV0eWTaAyZfIDyjvUL4+OHDPoYpNr+QFd3VGFZFnKaf12i+HVwkBWppT2HnXle8
6Ux6WFIsWwOyn0YHBin55jj2iIFqZ586hzR+tvTzkKynmK/JLmyqUsbhk1gJxjHYL/OEnIRO9A0Q
wzMctmtFG5L7HmBU2gIcq7xP27zfQhpyToO+yk1wJ9hh4QHL2YoyLYQUGzPnMbHqKQCYZysMywhZ
dQ3m0ctA2S4ZnzGeZWiPqPu7bJ3J8+iwxyThT2jSoFyZXVyN36Gtn0TqnGDyIlfSRCfRpPsu6qZN
Si/8gcDJngL9ITDNCd/vJmzcz5jMh3i339UZMDu28/yxufDAtgfrcA9RoST+qJKhlrA8FvrENW0/
WApFxNqOlAHc7AzTcFghnG2sRaernGnMXBGe4xYGt8V5HsP6MgUrJuV00JiA7o3RdofhQQYDhtph
il4iaPJljRAnZ2H07CgvKmcVXcBTUTT6I2qPIFW4mH1MuVim7mZJMGKi8sIP2kV16wsjimoGGUtI
c4OBBw98bDHPxEDlmsHE7ODsfYwizLiJ5kJMzlrEVvWnBBNWbunI8GOvI8raaPgSVE2TRWJhuOWA
CQTho4uUD37Hpd1XS3VuOFkBIdF7hMy/TDbNG9oUSQPVjzruA41wlv3xs5rach2aw9zo77E0d124
NruKQlryTffJa6YdpqB83pzEKVFQJIngGazKMYNNkmRNvJwVRRBpqXOMMikb4b3xSNv9iHkATT9/
mn2KgSEaI4Dq6bPSwW6UOM2t2Xk0fiG9eob3+BKSgWepbR5st5z71By0QKXumOalYgs8GNyi1t7O
lO8rTnusn9EHrdc7DN37ZFl4GWCcJsH8YlaZEwNpKMZ8LrjbWCxc5IGDtOwRnFpFDUulifZBE4aZ
7TAbRCf1sVKWlczvAQCF0QNZcdZUR0B+9vGjmOuT9pFCU7X7CTvBjaADmOO6v2J0iz4MTfUSLgLT
91zgN9wvsdwUzmQxZAffHoGpM6Y7HYCtQbYMP6XjXFAQMWPS3vlhcmh5AKWJojfy2lcncYoQySzg
SKi9J/rq6vaE37qoV4tAiJeeQCjcq9HFYQbqBLMbNWb0mWLM0bygaoV8CGGmSJJw3SkIXhmv2dUN
7HfqGhj7mJeEeBjaorW+TcNuLwCiIDy1Fm0/HOYKKbEk5dvwGL+ANoyBP/XniA43rkTyy/MGveu5
i2I9CMwVqUOWJZjcVLaJ/Ni7DJCGm9y5qQFf3gtxo0hc5ZpZvguj6GuN2hYjCivnoxlRrDfoTMvF
xVQ+P6i7N6vruPB82EGFWbxbePP0+7v67F/0wz8DTD9y+gEIswhVCMaRAnH7uRsmbUg476lzaRpM
jnlu0y9B+BcM3V99xFZpvWu4F1zFUYuJhxdXQNON76bxzjbXP/8am5vwTkbYRifgayApitrQj4CF
/vwZnjct3KR1deca7PLx3aoxaePRcYo//5hf1IofHwMrFa4LEs4Bxq7+/DGAEBc/bufqbsIQJoEw
gwJU4oinKYBYgcE3CgN3wt/wrf9tJXycxD/Xz/54sMg/O2Hbi39vJDwPU5tRQAMhBowXk/camr/J
YZiehqfl/N3v+oeGhmVhM7v+8arfG4n4bxFYrxBV+X9HQ4sDeHH4B2+KtPLP1wxqEjdpqFxxTb6I
BBQvtOl3P8y/uId/ufihoQV4D8yZA2AGYHRrpN7fYJjhGY2gQcidsrCzXFAidabCt3n+ran9t1rd
zy3RptX9/Dnbjf7uRh4cMgpZh+QuhMxA5NnEb3/+RTZn8v1t/E+f8Ov9RUTvTQzfxNvwuuApTr8P
GOqQOohUAFPw3FzNn8bpMNXX/8femfXGbXXb9hcxYN88HrJYjaRSlXrJL4SsZrPv+19/BuXPjiQ7
NgIc4OICXx6CIIlMsdtce605x2ypjJXoJQ4B+BzV4oIBjhj46lanpiF8m8+gQFgSXw1ZuBqd7A+X
QlH/8Juyr31/LbRICtqhXq4FRTw2vKq86/rIKxT9MLCtCBgYRNOrhTuz4h8x2ni/v1QLQvqnS4Vz
bmkAy5hpPsutc1sobS9b04HNYaR4ilOnZwnrVutNb902J5ZzMHm2fVKPjWt0w6WSYnYbcrxRPbpY
r15MqGrZyfCuhHwyALStN2l2r2bayRDIzBJUKVZuRqZkGy1xYrxSdusiHoI+V+/KDlJijyKnnVZ9
O23C+dCbkZ8J6IwVtZDJznJ0jpl6hJOzDmCq0TwSzXUj7L3Wpm6dYKSB2qEyYkMr5lkzplrsPYlx
jQy/WpkaQ9YK2y2enQ42nSWjtii3U3XfxOgLJY3+Zo7aSr+I4308ZpseSMdNZqQMlJCbFs51qy+N
McONe1p6RiR08CqVvZLtTPeLJH1ogZ9k2Vy7jhE0q4S25O/v0Buz4+9vEh0E1p13L/5nQ8EQOQym
xmY+yBttG+zms/ZO20CBOzSuctZuKw8X1crxprXmndQn2bpYjQ/SLlm3G3mDmn0df1Nc/OPru7w8
f/8+P7++n76ReorGNlseWbYdlGk5htjGrdaV/Ifl6FdP5vvl6NOCh7N/TsOQ40iMyK7H50p4Uefp
Ku6lP7wEykf5+LdTev8SfGrSOJx/rbH7PoS0K49ssphJ1sg8G5+2nzjgev39Pf3VCkjSB6J8crpo
Pn1aATMzGy0r1dTDEDc0478yG/79AX61AL4/wKdrh3kOtaRQ1UPTrzojcQfJa8bkD2fxp4N8WmWd
0THnyeYgTs/s+aQ1r1Xzy+/P41efpPfn8Wl5nPhW13VmqAecQN7I8EE2L5343AnHb+fyf10d/aOM
aDnQeyjLfw688Jn/n/Kil1Lz3SX/iRf9P+lj9vL8+Lkw+vZjPwoj5S8dQxPNUnzQ+hv7+UeHVSUL
FvPUt/bqB42Q9Zcj646Gm0FXKFeWj/TfhZEOese2TJOUcN0B8vMvhosIAj+sSMsKiaXLXGo3ShfZ
0T69vvYoKqezQ0ZxcJRP7NTR93U+ntpwAD2jq29NuA1V3CbbvLDS+SUsmkq66OieTBXUEATIKbTm
MnfbhPmH0E+KJsPnm0IIwWyJcyhRpE2U9rqrl5QJSR/ukKcz+SmRECAgFNgr+ypfZ1aZdleTKB8g
C2BhRwdEt5Ghm1eqcAz6UZpPDLyiYeBN9hSddGmywuAr0dirX4WTgz5Fp7mZlIKRjJI4u7QT/W1J
Puupiuhjb2s57oDoquy0sPTtbJLXpWJHq76mqWL1DkgEvlkrmBOqq5psy2torolVt34loDq2ars2
xvLcNpg29lrhrPsUnzsFCKLjMB+29dCcw7Z0PEjQD/UgziZl8BfOjNqoe1kXp8MMB6Rl3ulGiCVd
igKYGA14TO4wEiep9TmYeA2GwvwyzXHP6GUpDnBNIGgPGyyZdXcZJtqV/VZUlG9DvWiZ7+F78PJl
4le9Df/Mt0Fg2AVW72pWoG80ZaDVaATGaxJ0w24JWtt0Oa2lOcuPU9ycm3p5kqfheSWrp3YrrYtm
OJEyc1XMiBFB/Mkx0piofB5y9TJqnYe3d+b/evX4/0+bIPOl/Oe91f8AMs1fPq8dVN/81Pe1g+mM
sWxzTQb/QM+WEcyPteNNeWjw1zdPJgvV902VTc44f8kGHRqbHZf699oByWkJUgFAB72eleXfuTV/
8jShbVTx5WkYffg9FZMjvS/ARW0NcazZ6UFSqgcRtYiuu/SrMhm7VGEgEAMkbtCeWUbmyr21njVx
5kzV+WBnDHiHrNplEZ26TkhebXXqGvjaGqLA1RD1qm9bRef1YjqT22BlSnQeI6W9jWy19FIlPVt6
9NBB6m2aNI+ZSXnZKfozY/nGK6WMXqYxno52/5x0ChIdKEArVmHfnHrDVaZ89uVOAiyTGSOO/a71
rI5EDGImTK8t8mmdF9NRnQxjBWjztBsNJviivdfGdlwhvH4uZPMEIx+U5RHEmuibBPEALWcazygh
nePsKHd9ADQ0toFChCHT2NRiHBCbceTNgv4zwIHAtYKdJtr1ZLGNqpA+U4iPt3Mo9q2Vn0ISOg05
J/RjUU3/Tb0comTVC5H5Sa7uA0W9Dhi1sg51UJwcZsRtQ7xKmUi2qwNHyTTanWgQ7myjljxTnkQH
RBjasLhq1bj8gt/gdpp1Ui7sBlIgCoNUoW8TV/WXUSAqz5NNVrJZ0TujcGGLFMgTAtWFybYPhXqr
VWxOumg4SKZu+knSzSvVmMHNOuj5Re1IG6noLjUpfDbSoNjgbYDVkySnhfnYjo/YOtZ6aT42k1Zs
Okj1aYfGsy6HrLh1lDC/SuW0TF4iMT8PY3g5a+gJLVgxyLrq0LYfayU+D3i+d3Kby9uxVYuDWgcO
IMcA8gtJHrrDygpBftvWE5rGECxESFDHuRbPSKmjIhs2uMLuBgpwaMHhXhuLF5Ti6hZshQMZx7Qh
2/93nUM5RAVBhf7P69x/ArJ+XuiWH/ux0Nl/MStWKXiY836TRH9f6JY1cJk2awY+5W/irO8LnU6R
pLAA6TqAUHXxnv8okjSE1LpK3gbGYeXtP/2LIuljrc4JEhtpMH9G7QVhjrrs4zI3ypLo6zrvzucp
8aq6Yw8Nm9rOvj0g/7g3pCn2uRZD56syhKd9KqsqLYWPB1JwfVRmrJfncmc4N0lYSaaXWek0b1no
jRozYN7pOxry81WsYvZhYqzfxbYlHsoipskgJudUsRBDlxi2x2M4aZfaVPQ4DCdhNRCW40b70o+V
aR+HoOr7dawU+qrX+8g1IX2wo0oRe0VlWai4h1IA+oyFAMJETZDfR8lELo491zJr4JOR6sO5pZfp
Qe/kMvWUMkkheQWjRk5R50opQ2wEUUOhHWToaslZn8aHumWKBD9yxLp3hLvzYjTlc14JDKHytUWH
H9v/xpDMYqPKnIVURr6DBsXJfGPMdsE0VSstyUioqJVVOlWvoc3aUEJKVsvXTuuvCK+iQ6HX8YOF
2h2RadLtkV7X5xWGrpM0cvYlhB5/nlV2jpKkveoYZLcYK2S85VXpM6qFgA1wyFeHpUXinDd5M6xm
1e5XIprVTZtbN5Mi3aeQOlZYoiHXt61QLdZGWNiCSYlPtl3kQ2Dgj2ih3KPhvqn1FqqMaefhZSN6
ye8spfadUR7v9TSauIpML9wm6eqVLtXTKjbmy8pskXpJMP7fvXvHX0jvPu6e355l7AoyTSus0hqP
9cdHjNSSSgjkd+eNnz0OgKGu5ivLldzKa7f5FrFzuBJ+trH82s9d40Rfa766Dbw/bn8/NSje9jYI
G4H/LA1HQCwffw9jRO8kGjzvgSpOppSUp0RUgVsOusrsIHH8qg8WiZkJbwoM6F5YdXCicI8Ivsi8
yUIdHBDBhJj5C1B2Z92omLTatkT/P3+xKHZdYlNCWAzjXZXCzFHriiClJtZW48BnTAnpYBnh6E8a
gRBKztyRSBed1vBsONtZg52uqhudpp9btTUPhaPDNsohQxGoo0HJLuTSHyjz1SABgp5HygoaPp/1
GF0zOWzD6GibSsQM6jRxI4Ziq2jZvhttGU1AiRGPB81yKn3dyfHV72/xx0VkmSbRaacRzXppaqb2
uT/izOrglCCizuWeriELQcrJy7knRaEPiYyNWCXY0/5Y0X/1VC1tq3dtrZ+O+eluSmNv1X0imnMM
ng9GwGC7E8Vqbiy8Zh16r0B2hVmXroX0zUiBvxjANYCfky5nS8ZZEdn3coQ7rW+k1yBhAFtVe7Uw
L+RgfjJE9QXEY0UuUVWevv3i/917LPOHH3fwp8bFVfRS19zjvykx36xNy099/yQv1iZmLwo7ZENl
LslC8f2TvOQxLh9D2OWU/ags/t57OH9Z4EfYrCyDFu2DMsz5iz8EITPYVxgeKhOif/FJ/kXoIiNA
C8EydQHfSqY6HxcQ/BZZiHdBPiBRY4nI5gXo9aUQz7LDO0z7vzbzM7I42G8Pjno2lPz7WrUOppIf
uqokEEpcph3z/mZGaSONmyYJ7/Pa2FSldanlNp8KKJyN9aCwPXbTBZBoJaetgUyDzz9wN9HdlGN+
zW68cjtHTr2KGI0VMP6HII5WpqGeGlOMc7d6nKkllXi+V3UJcdjYnoRGzvofW14yR9sGebcb5/O9
IqztEEKX1JN20f4+xFl+M9vFmRNX9xRAGVFv6qs05HfUILeJkqF06Iw1tfZ6tuZj5CCO5cw2pUOk
xkBHw47waWmBTbxiMOzAubiJNFGd5/rGqqR13fS2O2X2LVQPQI8ExuzmDncUkTWnsZwyxR+kLUk9
OjOeOth2EgIkfdypSu8yJ78cyu5yarP6JjWmx7QE3mWSbidC+U7OjFNbBvBWyuOeMA3DHYQl+Uac
b9ue0L2x6051vdmZmF4YzRgnk/KM9umLCLqbyTYGLCIsqrNNmp7cLBQAbU+ywItmMfKiUrwxZ1bP
QdZ7T6I6APchiCTrTV8ep23cTBvbHvyyj866hmsmRKozuBexScoMIrn6HKO0EvqBFReb1kBNjQYo
mtAplXK7K2yS0loLXBg2Z6QrVSHXlq9GetD7TUNF8Jj21bCLW0NtcfXLBLCM2jDB5FMLjJqpzucz
ZJErdWefdVXls599ykO+IFJA913T+SYhVuCfBrQ8c/NkBp2O37p6ZcoEdgz1y4Qo27UUemfCSC6t
uZxO4TKfS6GKs5xAMoLfwBFL4X066g+5PQ5eP/b0tRI6aVRMK70ynuOyeVWn8WVm+4NdN70V7NJc
mgZ7uQc2mqClrHMp8uOh1Xzd6I+jqomV5iRbPawfcLvDlYC8CWPdfsAMhIVLR2NnWsMz8mkkwKRA
8OS0IDsj/O5y7Ih9KqRz8ZD2q1yIEzIgnvUR9nzG84I4y0jmUzPPN3FRXvRajJglGW9KHS+xWYhF
jIZZD/W6kM27oMwgz/BvbGW4g/Z4EQWpN+lSczY0D3BeGgw1UnGK6WmOVvxRoytbyUqiHQYuMnUl
KWzAs4692w3cceR2l4SNil0ShqezmZ/PdXnCpv3VxFzkpXrPqLaakvrpv9+Vt73ewt3/5+/KMX18
eql//q4sP/XhuwLZC7fNEpG4jOLffVdokdOcoLVNWbiMW79v9fh4oIvRoSThTyGbg5/63g/HTsve
bPkI0IGi9PlX3xX0Nh9KmaUfbrHX4+vm0Nyi0f6pQO5ZSfRWt4ZDO/Zkr7TJXdFPlxY2ej91xIH1
PH6CyJgzFdWuNTA7Xq9JwRUBNa9Qh9cqdZk7awAuoM2QIZsi/rdIdWIF/VqLRGEQY9UuYUSXupOK
jewUwWbog72dpfkKd+3XTouuzH6+CyH5o7pvO+bDujcW4HoSqzzRygY1lkVor+bk6zlVrzjWamgV
8IxDB72gmxTaTsTcBbO5bxPnBkk0oWiJeI4be4+48ALJ1SGEfFBYCnI+oq/UUJbXuk0LKdaXpYBA
MbqRpmupaFyzNPECoeI8qDyt6uKdrBPwM8AIVEJKbqclvDWBTOl3U6n5WhJszCSlPtYyZxuU+jWI
EySGzqqj/daVDfa72oi8KJt2s4ImDpYEXyR5vjWc56wIMBvi4WvIKO7b+05mwlDGDZZYLeKFnhhf
mz01ozFOLxANd71irS1NsnDbhrdCoavo2BJpbUQY6TVLfzRvYz75Q2SxyaInWNS3hWR8xZdyahUJ
+UwzM27Lg6W6g3JyoU6AjYVhXtpcoSACBiwVNXyZ9LzWnUszkr8m4ywj2MMUwhZriUwcbjJVf4gJ
KFFLC49un1O8dgoivtE6VWL7WkrJwTJn+Tbq45TJf3w6awGFQ32O8+lU1ImDlC994bvwZeyl61Ij
Ai4cL9GVr2VTukdI+pQSgeAaxtR7dSksd15CytSmesXoekUbMwKYzccmTc4GnGHV4vDVX5XS8LHi
5O7QzevSYjOs6tFVEcZbM7YLVxYWnEtGLHVefNFy84Hw4MUPNT7qHWBNHnKw64KQXEyUZ0qfPgc8
kU6twdpWiw08/JPOnLaF2WKvwk2lhtq10YiNiCJSdoPqqMhD62JRGRd9MLhZCXO5FHaUGxquKNlJ
buOWizTn6GSNkG6KnqmXrVn67FxgSGe14zfo1E8CMYhztStux+YhrXYa79xD1oLXBUG0DcGTkKqo
3xToSy+moXZ2QUJgYWE140bvKQHlbtC9rlJif+pCWjZS+UrOZ+sQewaC5CIIg3jCTwaP+KZna5S4
Rg+L12Eck+hXeaBR0xAodRvpceHrSnclO8bM50d3x1w3VqAvVqkdxxgEnA0EHoys2AtWSFLSk4h4
46WdsCSmaQ9Fb8R0HXjd0pBHOh+oy8IRlhxpBuzLAKPbznhllyMfdgIEx3B+VtvRjSphr6KoWst4
g7oEBf8M+h+hqB2uFvBUalnno667WBG8WbbvIgPHko1hrrWhnLXtLrI1tEjTKh2LYxp1azC/GISl
BpwKCaFS357oYS7OUz7GiW5ecXWVTeXo501cH8equ3ESZ1treu6JYPjamPotptn7TLbYUQYVWloN
zU01z3Bso1s20/Sq5wxeiAZeJughrw7a4CVheiYPBDAASfCY52GKQ2hK6lbpqpXk11oCfaW6KWPr
tqyifVrrXwGignPOqNVb58TsCvxdFX45VMlsy1umBXKgfIW/dWmr+Rk3D2hqjCS1TaybrO8ZQqQo
cIzBDn0yu1bmLOnkj8PeiBOaNi0v08SrZ82cZ4jPWfTwxsL2Mu5YBVTlBJvIadC1Z4mR1kRMW0TT
giN2gz5zXC3KUrezbLjPCJcRz7cvUji368Kp4nXbOVipoWkh4Zcw+XaEMJD4NovgUZqyszCZb6RJ
o/cwTkDMq/hqKkekEgMRnQ2pCvBQk5UlqqehYEMj1XLpFWwAItvE+FA+RbPVotCWs+sxr7dSrt5Y
S6RBUHI3UitYT10ir+zAZtkYdvQAg1Vgdtsy5utQtk+OOjBuzVKeNcIVkdumyF3rk1pe6kw5Fbmv
m2TDNW/p4epbkvh/K6JvFREFwj9XRPuX/Ll4ivJf2LAWN9OPokj9y4Z/hMsXsdK3TvaPokiHI8J4
no0NrWfUkj+KIn3ZoWMydsgpM1QYaZQy74oig8AsaqhFVvAvNtr4oD4URIu+x9DYabOpN2mEk+fy
caNt4T+wM1VIB0VKPaLbFQ8SyAspjIL9KMkonYbaUYnX9SSo3Nn/1pcO0SYXqtVLCMisIrcuhXAw
/ThwuFZdo9R3gR1Z0xMw1JYAEuTl5P3qG/KSiTRX7XkjGoTaDV3/DdzZGhrUAGGebHq/LyVnXSvq
PR4m+UlUKZ5EdSzXRWilq6GDhohQ3CTQnf9XsyodT75afylLQAdM8uzVHPbGyZBbJ3Fckyag1cRm
so1uOmnTqQShjIAielCcburkKswQjBTStJ8EsNfMMvzQ0ftzO8cIkkGh8B3Z1jb1NOF5zEtW2mSE
WGIL7JBO4pODO7NM1qQ6asOK5bw50mzGPjy16UNvG9OVotxFOlO/RsLpSjLvCnbkRUxMMJ5kZT/J
MZTvIaJ6KUnWBRaOTXphAsJb6I3Bt+yRRFNo3Se5JVEfaNG4Sya8Xo1R4Q/ARDK49ihDGyjtxe9S
Sge9Yp9rAFog8QOyCdDrSufbm/TFeDHbsbXJGz25GHv5UJRhuHUSPCHYMPghwILRGiV3HkAzzFOw
1HhBtnUQ4ptR+fyRUKnbq8a2iDiJw3CmIsvL4Iq8nHIDYaOUfR7sfAc0rd9kTRGdBKZk7yN9oLZr
nWCPELEhoVfBVXChdOEDkEmA4Ln5KBjRukOD403RnYcEspsftOWr7ID/ayVxlgZh5sK/O6RysqRD
Za/hbGBVEu0BK9DE9ETHMlbbCcB4BiZSb+7qvrJOVKNUvJ5QyDCeuE1ZttFD/ubUtqeMBoWKPg2q
40YdI0mCqtVuaSj1g6rvoYNKJxNVo1JoqXZkQ5pwtRmvYphlUOypIPZWJa6ds7py8OzxoB36YjDX
NXqOU1MvipVUFJuiBqUa23O30cL0S9pbq1YeFY9GVHMyjEDa014oa0MPbBKDsrWUOc8qe2Azzi6K
rrvBR75vSr4ACETLcyJ2ph2tcgxlxbyVDOa4WWuk13IcwK6zX1p8SVFq4Z+0zqawcHwLmms1Tr4J
vZxzPthTfmZk2RfQPKeGEp1lIQkAUWcE+9wumxUALvh5obgCLid2BCPs6rjfJhU3yQaVWg5446XY
Clw1sR8FG2+3NaPD2MMPHnP29VLbZwCRSTsw053TGlDH68estoklYEdUEKdtRSwt2RqK17oEBSf3
TbHmY3dZMn4Jy3hn9fopWUoeebWTG7YGINExvbFT+aDq3Y3ZyzYPqVOYh4CRwwkzgNeyUi6NudtZ
JL5quC0x/GieHGLQkgDV9v1jaGobs6atIwSgS8M+Nkl+aRfqs0NtxbaHjHRnutQlaPNZVe6RO62l
RPdK7jGMXLp0SuuKrAfHIlPXBdnTPE3XEKux3iXxjtb2kQT0Q7Z034ixhv61tTLC4LEUEsQhXxA7
Am198ojW2OXBArGp3XCWNrTgtpZJfE1Jrd6Ma8mQIbNitTftJUWq3EqdQ1Fl+VNZHPJShjQiU5Iz
03fjDhV2S2pFL7ajbK+yQjpjfwesMnrEYY/PaiSTNHulO+sFjNDYbntBm77U6UsRdJeQ83kiAaXQ
X4oGkokqa9WgiSLBC6x9jfMSqLxuw6I013oP906Ml/roXKfxrK5g6TcumQGbjL6KA8AOyzoxGZa8
xrXzOlURo4FwPSHaAG/GLGykym7CnaZM23Gu72WlJRPCvjLN8h6106VgW9plzxC4XypZDr10VFw4
xevILClSCCMBhIG6yhNaeAFdaF/02iUToFdFIkypxlYKRbWU5a3k9Fu7kdYyQKoY2Dyoxpua39QK
nMY1idwNpP60kbs1r+J549hrcihOtAAb6gjxiDh1b8ybFQOMHFGF+jR0xT1/lE7mk7aaGr30eJMq
kpUHb8qHR6aFXm5Lp8R27WbJ8osJ4m1PUF4o8ZHAe1d5qNswNprWRm3h5nf5l5ap11RaOyjkfhnq
pJC09Ta3jR29RVyIhrNR4v5+qOW7oo4v0f9vAn0krKLj2jm+yNut1Ro8ndYGjtBFXqSn5ZyjjOmu
0sja2mNwCLR5l+skIAfKPmTU4uZdtIZFeCwDeccLxtDNvohr50xTxofSxFRby52nOvYNcbMXTd0c
8sa47EZQYbbSXHXIYvqyyEHuoXYx0rPUEARFI2EeUrGvl4VqLu6npIWea5D7EvJmD5CrB68ZlqIn
Pw3K/KYupxNFpY+nEnRA9EXwVQCsvWoa6H4AdKlMCY4a6G2SiSVJ8XMozJu4zawdY1VslVb7sMzm
VB2DZAFpNFKezUxymeLeoxDZYQA7sN6SC10nG2VoTsGC8l6SZcJGSXkImTuvHS25zmpk8NWYbBJN
OcaJHcMsJfa1GLS1alvbABTqoEoEuLMh6YF/E2GNjmVSiRGOfSPMj6MwN3Ew0lKcnkup9CXCJtra
cEu+f7wBDYKa3gKEgbgllJjBUSEkLVTalI/E6OTbXrLxiECliOSNQCIVYRnPi5L1p4lHstHm9Zjl
p2x6TusWVb7BHrVukfsxK2sjdqdkS53kQE3IXuI9JbhNKXap1O5naXho6vIJ1IYvYmSJQYo5USdm
JJP5/L0raX8x/vuoj/hWIbJ7g56jYfxxjE+jGDa8NQbvXDqQthwx8iySSwlv5u8P8mms+VaG0gNc
IkCBa9N++liGgu6Vaa0p0mG0v9bDZugexuJVaNir/8QE+FXB+/5Iy2/y3mITFJMyBxxJtc9DfXJL
i433vCvM27j7EhWm9/sT++XV421ilKYvjcdPJ6baZKgGaSGOvfSl7U4r8ZSn39rR/6gs+dUZUS1T
LHOYhfL+8YwIqqdnNZXhsdcZ6mxQ7/opgRuZ2ESwwNT2DyKDX5wRokQ2LbAZGPR99jP2xG+pk9xG
xygXZLgzHlsABn84p49ChreH7sNBlv/+7i41KGYNM+AgBEO7bX0WO+HqX9+YD0f4pMbp25lpUc4R
6nJvDqWXFNeBFf3hIIt26N3kfHmsPxzk060pkykp+6yJjiN2mtDwnOioLx5g64Euqdkc1K75wxF/
dXdUeZGUMqM1kF19vHAJwqUoj5XoaFUXmF7Bs+2sf+lofTsrNEwMlfC1Ehjy6dIFRGSZdl/Hx7wJ
fZTEFtblIb35/f351aVDMMZAQCMblsHAxxMpyNSzoggba10+5OZZyE4R5qDrBFcx80WiiIbg4vdH
XJ6pzzfr/RE/3azQoZgtlSk+yqOEVuGO8cYfFgPl490xyBkxFEuHdYKqDSTJst3/8FgXepiAFMqO
8Vm9a3d8PPeFZ/jGRXhpeLkfrW1PWv/+rD4e8tub9P6sPh0y7GVm0mUfH3sTAB6ppyopAWqx/f1R
fn3tMAjLfDkxYn66W+bM8KbN5PgYVI4H3dq22z9cu+Xqf747OjkQeILQwCAy+HjpykaNlKmR4qPF
1hdvDdXml0gn0yqO/3Auv7pi74+kfTwSO+Kixk8RHxXjJbQvjOCqmv+wvP36EAaJJ8TDL3Kej4eI
aJ7b+iySY54fjG50x8WX0Jl/+Kj+6hXiYftxlE+3Pql7yBIQWo5R8pSSHafRkNXXRgIXuj1KCRrZ
P9yjn04LVaNFwucbHkjR9U+lguoEVplZRXps+w1K48H0q/nyXz5onw7xaYCHdYsLGlbpkTRPckAE
aY/GHy7bT8/y2yHIIcd9jkDms/YkHkeoK+y0jk36JM072t9/OMBPjzIHACls8J7QeAMv/PHus3Ra
iNIg1lHnZZ3hAdJZOue58/J2rf6rf1qsEv/clSUp67F/qR+bn0fVyw/+6MrSYKWehcRM/hB/40n6
0ZUl+NoxvvMdeYF+dGU1+y9D5odIuF46uh/sF9ZfFK7Y3dFHLQlbzL7/RWeWmC2egr8XPEbVNqsp
Wj/zrTHsWJ+fdAF5MO3t4iDTwd+WItiEAvV/rQ2nndUTCtepzdnYMbHT5BnA6Ngd81gnS4iQzZpB
3qqRmi0AVcN3NHCIYjA1JsBh5XUhW4lYGtRV2NoSqj1zXkl0pY6VcO5CA4RJX2uaBxHnlEiEs9rQ
t3bh0BGQaCtNJe1dUXhzZe/nekK4XyQ90JD2RGQx8CPdOJmX5GmhW3sADzfCKDs2M/aFA4dyldcR
WOn6kdF8Dnle3PaZUboDCUVkchCtl/Tz3sytuzGAuqRo2r2TFnfmCIExUTDDp9eSke1bm3INSv9N
XqM8lBTSVoJhmfhc5nm8VoT0oEajJxAet+yG8KiU4A6Le4CM58jKYuqwcdOP0GV5KB5bCFpuPqah
K5EoGxEIyAQnTVdazbhuCqqJDlve+T2dFgJ3skM9jERFCDiPhMS6IInPh0URLeZB2RhJu47NCtJy
D7EvQXcqqfNRC8wneGLXSTetB1vJXE2ws9TN9RRmu4jkBhc40NHsrJuwCoRf6tO9uURwR4NRrkB/
01DKI+L6oqlZ5aq1aWsSXcfcWsM1PBmV9CWcM8j/rXpjhrVCUoEaeGbhHNiaqudpYG1HW1xV53q4
M8Fby4N9ak5xTD62vI6sHvdHBZW/RWDXaizbdWffh6aJ4QZQgJsW0QavT+4mWfGUWGaxilscF2ql
rFMb5r4s/KmdthEO+UUd+7WutRdE8C8MucRWVPr5klcw9hUSLvSqfoyE6lYzGGWRdwXCO8DOn1cn
mWHuUkMhBCRc17aAjUw+jD+No0pDzUTx9eYNyY2u9YdeuojK4dmZk6EmnxEHoQxoeqbV7Vqgp9Hg
EUqol1vHXADHKvL2nNnHStftrbrwq4t6fIRvdB3JxapvMl9e3Io8ujxHzl2h9ZoXVqBsgC5WfuSI
kZhwfPhAfmkJL+zsNoWHrhnppUOKr0kmOlPDcJc75lnQN4qbLQzuVMS8F1ba+XZcAnleWN0mb/oa
uUDqyUQgnE4qA2rQ3trC+G6BfdsL9Xskj4aeDecStnRHJGKAGx3INAqKQ1HwpsQLQRyLI0mpxlmY
yfKqXCjjJrjxFGRqC368KS4iHU1jDZkc2hV0MrM4Hxc6aQ+93FGLZ71JGdPCNc/0rPStpEFgNUrJ
itRhsPHGAn2vYH8t7Uro1PFM4Du8dPZg8Q7Zvx8xkPeqgMegz4LHaQGtq1O1Dxb0eg6DHU7oNlcQ
bE3Q2SWRvCQdr4wKFcEvIbg3DsawBenu4AInxyG9Jtfq1aGJ7sGQY7yyoOCLXPj6yOhXKmF59KLK
zyR1NPYKEHkm6tX52IODIskp9i1nDlYjrW2vC5hfiBoSfTj0expzRL8ulPrUia7CmqfZ0AUkzhSB
mh5wx0mPIYNtmi+KoDTxs2rwsrN+9kpw+BoiTNSevFjhTAuPyQLpUQs/v5/amI5hq29D7tfC2E8I
W2JMVl1kunaaguGXA/k6WCjPitrTrIb7rM3zyCSoqOv4UI5KfZ84RjP4ZpObsdd08WnX9bgw217L
VADmQY4nN2oebEeE/2Em/LcmWPAc/1wT7B/rqCyax59LguXnvpcEuJFwFCF9tnFf66ZMQf2uJEBs
r9nG0vNgi/N3RfBm5sbX9C4l4vucFlI0wgdCJm1NR9BMZ+bfVAQKZcenioA2zyK8Zp9FP/qN1fCu
KRLXUqJasxoeMnnWg32otsaXUZFD+3/ZO5PlxpEsi/5K/wDSMDqALQFOIimKmqUNTCMGxzwDX98H
kZVRUdmVbZb73FVWhEIDRfjz++49l/7YPA9vCmXg9O0q8Soic6h3rpJXAA5G1EJWL82jG5nFnevG
1oxg2w2cKbndPjVGpwX0+MBOExFbSTNWHjGM8v4IZ9NLdUjL+ih4luTbDjp614v7MJ3ehnB+o23N
pPPkVjQOBVpC3eppFp/1iT4EojE0ewU+7cxUySU15KaFQVdT7hyq05us6t6rBq5ynR4uRbnU+U2z
k1Ku5SwVt4Svc9sBqkK7TogERFnorszELZuJ2ywWmi+p8puC8XoGBOaD0n8jP3BXGvpr5EAZK9iP
bpgGOJj1GXdK7NJf1xdoLqZ1mwj72DsNGBa5kSJPj1ldHLpIwuALdI6Kxqbgmr6GFa1AMKBnedtX
5UNlzuXJoEYTX5NJxYKTj/SCUtMzmJhS2DrEdDiMlIfmYXrMiwxDefkMKbT3Gk0t/U6tv+amnpCg
F+Bw0+3SJsEgmO002fqlbSebSXE908QZhHVxQ783YEB4unxRGo9Gdsq7OOd/mcDxuSoUj3kkP21X
XhxcyU6ZftBheS+KJYbeJuYxsII9W2EOSxrVe8uOvAAD3irsxDEEW0Cbn3nLOX+Pk469omV/iiI/
zETKyokUC6hoSjByqgfKfmmCCMcDIRivVYd+xcN5m8bKiDzf8czCL86o8JiIJvUFd6WNNkIoLtu7
3OKZqQxBuYpUZ2NWdn/dLf319tRgDKjNfStF9ugsId1adpe5Z7VvGdF1zo4MDLUKCG7qHgh4vgf9
YO0Ybjqe4OrGrp0nXBbPdhB6eq29pZC9YXLyZaj9LQ54asjncypj2g70jRvc8MtaXJt9d0xdeTNP
4jWm9WKTU3i/qccYL6Er272KD7sV/NppVnIsGJ6djEBLpDhP1BoqqxYynqclY+ApdbyRg7y2yuxs
uPWBmM5N3zgI9n2Np9s2N4pRvZps0yNLB/4IL1QULFF7cZ4osVjlojsobrAJ+6oABNrcs5l/F8p4
qkX3xY7rvmntPerDMemltlcjm8wybZyUV/A6MIB+kuPlLTZjFXTGtPPLXJz55tnJDtEz5ksAtmp2
1gPtprLMTeXKd0UJPOZ3uqYiyd7OyG4AWTvH3IgOMK/zp0iww02nVF8pGFoPStpRerf0cQfcmjw7
I0gGa2ndTulFa4JneOCTB1GYfaZr7lxnPqZ5e+o0xtTOfKF16601sEVZfNJBvyRY1tOALnAqrZtU
3ZqGuTPoo2LFlZ46S5hUrjv5ZpI53kOa6NDQV5MVXdFSaBxirab4ZJSkfsdew5M+57CydWP2XdIb
OwyYT12WMx4VtGOtqjhpQFOoLR4EvvowZxdfjqZ+QwPbFT4H7TrijUURZ2ydc6ik2AEB2YjWHp/m
Kg9va01LDwk8o23Lj2A9pEq602wgnCV4X4N9ZsCKrBdtBJTCUBiCIz71VKraRkkAUP1zdf9hqFI5
1P76mAb62iJy/Dm5tHzQH2f0Ek+CjrLoMmSKlzP132c0TQ9ciHDtLaraQqf+w2GOmYo+Jtzjy436
dxv5TzOV+xvi8oJJwY5pc1ibf+uQXpJT/3lI2yScBcuYRQtA5f2TtNeXY0NPZWSAijNVbx77PQGS
ytcSAw+RqDaFga2jbqcnW2f73oTmR204R8wI0reWKjoeMiZ3vOjQcola5Wp+UhK0b2cuOx+s/PVY
i4bdfl14RdG9T27+EsXcwrL0VprJFv/RlW7otxWuKNL+cGXdkjgspqpjnvH+ChX7ocFK4aVu1lIS
FzxAXn2yaMCkQmcePTFmZys0zhranVsVVza+XGnNxn7uyf3htwL9G41b2rLXulN+Q3257YbQuoKP
vaWu/t3BTuQ2M45e1ttSZ8AG6itXwsxy3ygDTx3hPthl9Dho3atkfvYQxHd4gPNV2WCdzyKDfQ8V
Ol5cGtcyq65SaeLlquvvqo+01agUeFxT5xzzfPaGsDonVk/mI2OR3MUUOeHCkJTX1aHnqmFw3YhC
9WkRmmk2MOdvR+/ldW/aH3PMD7cMsuii0xu3ipr6K4KsckqKdG+5Cr0ueglyLW+ccxPD0bbtgVcN
5WRVhxzMMsM7T0sF+/9EE9t4AaDhNqFtYbTDixritJ3LJFxVYcwjN8coZwyY3uLMCNfqlCY7w2AK
UOJY3ybR0v8802YsRjQWmmsoLQw0Hx8p4AQcZBsTWOnGHIx0XWctKWXM9+vcSI7QYQ5zm5xlru3R
eWc/zpxvWHACJi4ENqWJcTF0pNS0wJ62siOnoCb48bnbTmsb/9K2TbhwJWPdbV294dEa1hQ605Z5
C1zB2XalFa0Zb5OdqgaBjxplkHc1lEuqueYqm/lOq5FYU4yGtXFCzMfJNGACL0I25XRwUqon4yur
aYZtqEf3k97cdJ2arzlVp1XRlu9F2tAoGQksu/iSr0q34TGrLb3l8/IjivX8dWis5CGncHTVsJ/Z
TR0l7frIFJEGOWRAJ6JUs5wDhlD8/EatdDtnAAERDSamaruLPwmU2ysV99K6DzNlp7bJprPSdRDk
FCfhfFplbg4SGbT4ip4pou3J4Pg1KSVP9Im4zNp4ScbuVgyZXDc6izUm4vSayuJ2R6vldwuijBEo
2rQlGY3UTetTrGFFAi3vp3Ul9lS7BEeh2P0WYKJ5qyvdY+wWreKrLVUN20gfOfEwon1QubC2Z0XS
8UmUoHGiaovv615TBm0z4o/ANeVe5ZkuCCZP2srtOyBIzbK/priNMWMd57lyBXR+FxvGQw8YzwO/
dJ9VyZWd5DeD3XiKYp8a6zWw9UNXiB4XR/o1CDiujCurHOqG7wzdQLDOzneu20IGqHEkhFI96ny2
qIwOfW9+V7S5ooWkJ3VQtVUP6Xt2mN7jZHaAlGSfjU1DNwW+e1CuF5Y5x86Kmb6j3vDzzCm2uDkw
jvWR5Y9TMa76mCmz5q/nDfAXuzGszTTxEmpVdu6U8C6FI64W3Utp8nhwVBDGtqwP8aC9jVKIdSMN
aItNEW60TgMBBbVQmvW6Txr0pRm1LW36U+MMTx2BJd9WzBuyG86qyDAsOpbF32xVru8y7b2y5RqQ
qDuKH7HYkD1MFlB97OJJSyj3haDv+u1YfzWBWLIEsR9EuniBupRZ6yIfT7nefhQmNQOd9YxjzNrH
GWGden5nPqOLuRh3fNPpJtLVjgzG7KfCvsaguI3cQsHWhJneVYpVX2g7pRK7CUh3oscIU/Fwybvs
mOoN5Wxx+t467s7OjWstLLeKWW1DOph5Tckeafy39RY5cQwvuvtuYvuGUvd2DeN738JOX3d2SqpS
XujNVTgLsJwZgPfb9JK5iq/F0T3OlXUk8p3dEVjqsvg+jVuvw3wIub6xcbHPu4Be8Dj1HBV3Z+Pq
UNvVr6DLJ5Rp7LTw6PXGuYkzmXqhyG/VuK7X/8xGP2ajBT3y17PR3TIb1f93OFo+6pfhyIT7tKCm
rWXxh0zxU8DQfnNNjOYsOoBoYzn/ORwZS/yOTSSFHlBWfhRa/RyOiN/hKFFVFbTv7+uOv6FgICH/
3+HIxDFg4UFUqVhS+fp+3X/3Ou+RSnGnM+aFZqMqaY7AqQJYkgbdgMSKk9FaVb2lKFTG5OVpoMxP
zayt5UjqbBZLWhyp1nHMR2gCiZ6vOuhxJgBiL52MZqNrQD0EnYI7NOfyopvc4YTZKodsCq1tkxTP
LrE0D9PlR16ht9Kpe8liBga4bKmvlH2KOA/a2uFpkBc9WIMSTxklhSS8HRBQXRzmHs/gizSUdN9n
nDEZnVVqHVk7xUaatYyg2Wuyg0vvitxiiJG34DG+BlndFWSWy2yo/Zro1z4ZlfEqxFfpza1bntVO
vDLt3roV/0qgyRMlLANXos5vxjz1g8EFM8ePxtBTdJn+osr5MevKB8LjhzhqXmkT2iZlxhc7Dzou
xeRoWhOldYN1mkvnkwJk6U0T3lsmoANIqgLL2FB5CrbcVSTGjasHHzIywNg6xSYg9GcrFQ+08jlZ
NFB7Gd3iKKvXgzW9zzFt3svbenDKW1Y3SNqJUeGw/fH+V5ZHAQ2h5ApRCwDqcJcGiFKXYF/scQOl
HfxLe+g0d6PV89fsOPHasvtDPoLAoWwF0bbBTpl3TemZWZJ5NeuenRtClMeg/VR23BtJHlCLVK77
Ubf8ZvoKbLHW9bL19CB8m6b8u7MBVNiSjo/WnIuNprbpyUkh5dYTwUdBvKxMyktUz28O7cUr6r0R
W1LMX/Vimc8F4UO9fUyS4tKpmbrCt4rdPk02SwFwmtUetP5tp4nLOIRPJNncVZvRZY3d0O+VjFiB
4NfVachqxTJsfXua1Z3NFmddZA0xqjBg01RRSxxAVM1CGrMbcQgGh4h51Yw+sfU3dZpB2PfFmz0a
tQd1GiwOJcq7oAXpM7RS0lpv4vHSO9yw2lz6owkXmNH0zg54xs/cMnb43k9tUIweOEB3FYwzVewV
llW0ykOqDBehRS+5bQSsvzJnbTXimAl9B+uyhczmnrHGNpSv6pCDI5SIxQEvSlzRFi5oDsTxXIzK
vsbPSjxffnRJR+298V5Ow01idqMPrOeLh9R1rYfZiojHNSKOugaMSL1ak/eg4pobozQ+kyUn3pTR
zkin9yFxr2k7vYvzNPEyayYW2FKGqljhxrGSZFOGiEBtIF6aoqKki4BCksivZAYuBC4Sd/VgL11W
9Ney5Fi54RKKDAfe1DHTdimf8qF40uoISH5vvtVq8oocg3O0hdBTsgUAHWacEEcekVoPWthf4W5W
1+pooYwSVyysxOsWbh0R41XiKi9tNW0BDRyLmuAYE9awikL7ucXhupKh4e760nb9JkPkGzR+8arG
Nc+6LGhaqLCsfv5zLP5+LOJb+X+OxQIx9b/o+iYf9fNYBMWKoG/Z0E4W/f5XXd/4zYKM4FDPoGLJ
+lXYd35jN2PST4WmACB7+Qf/EPYdhAZD59/6keeC4Pp3NANO4f84FhePlolmYXJe4h3AEYJL4ddj
UeYlPDw1Ie5gWDTKLBguJDbRfdSUtvamhIKQBXIHjxSUkeY+Bi1OuKDGm84h+95m6Z1NN8NKV3Wf
IUJdBWX83inqvumro1QS6ust0iNxRf2H6NsNdujXwR7DbaNjns6qal/1IXfQ+Gy0yj6L3FMjp5VW
Yyym3a3y+mlGtm0oxI0Jug6KbxstQViBBKHMN1J0gZfGwy1k9Bc3tjm6ZX6ZpKKtilK5VyKacALm
cQS6mFoXcUiTZ8BYr0PIHJxYyW1TM1zXFQt/yCIYmNN1MufbiUrfk1qa5yjmcqxq5mG2yus+7w5O
E3yW7nCIdc7MSciLOaKyh3lACRPyd6grL0NtrRlEtbd6KqbVIMmGNfVjrKufIZZ+8u1G5Yk0fRht
5bOzer6R1N1J6ZymNIzWqH4cXvIUz+UbQ0Oz6QPk5AEcihfpFfVTaOvBGAESpE1oKoMzLZ6vdM6g
eNj6cXSqbWvKYkWKKV/1Dr28hKcBoZylTo7MGuZdN2iqN80uqrm7Wc7ooY+2auuwK3CSC00n4Kjy
8eg0M1gMR10joj/HEdGUXq+glhCwrpoJWqJsn615OAyiQjRpsu/CqU/YVkLSqCEkaBYDect9sQGB
SYRk1wQovU0V3utpjeIdAfi1yeAOArlTF9FnHtp3YTBtOzmM66zIrqZC/9Fb+TWa5cLXoKizfeL/
gxYMG83sKcItYHKuoqTFC5qkR3fM7sWx0BCaXTvzBe8nPzKCiKt4803ufJfY9Vb0VeS1XR1u+Isn
ravWZcFTWJVEdXulueO2tE0s+WJO2taFa7kqHetA/yP03YLTL8+zS5dE06Zq5MZsZ0478C1TxNKJ
vZkDdaeG7kMKJMk4Z0n9b/WwOEjU8BQdiBxRfTHlcJVElBdH9XRdu/zszeDQzlYLvmuJLoK3qp+i
vDX86Ee0kd2IfauTxkHIcZb0owo+6Lb5EYlk3bFpCUnSwUVaUg++ZTh+BYAGvahIvRwHypWdj4+N
qN9b2VWcM8XFDt0tHvqLhjuXHb3lYShCq7ZZy9m9H6dqzXHXXmtGavLNUWZm28rKGJNd0Y4kYwKT
BvLUZouHg8ErSf22xUgR+PQ2Cpq8xvGVpPAaT/gDLzQMrkTZT7FyhCK8jaSCWaEACKh5YZL6rhLs
kmzaSAcz90h6fzJnKBTtk1bVbDAot9OzcdNnZKaMODnacSW9VuoLAGE7uALcX8YL8tjWyXYauw1V
noDUuj3dDeRHcxwiWeNHsfuccU4zwEeUW7maTxESRXyZoPtZIjVU6jXsnY+GWk21nbxptMu1NF0E
w+lkwqQYagOdRlfrgz4MvLYW9VHdrmvqj67uz8lINjEx79WYQcOd6uOMUWVlAmEyJe9ClZayalym
TaneWV3wVbGpQj7J9q0bOl5j9zvQTKOnVKh3LEcCde6JZMerJLaclRP3oEW70wCzdVQwwiz3WjN0
XlKDQUQ4uw7po0apc+3uJhb9k6qX+yXCI2iOWMsEx1I05sqqFMWt0bkt83l9NlX8MGGyS3kAlnF/
HYj5vlpgSXp7CfTuqq76lagsVBJIRfOsb4So14ai7Qs6tP2mAHA7k2Fxrfag5vMG9QVyEn6IqlTf
0wDhg0TjqxGzTR10y2CbFN5oy1Aehhdtdo6uA2xinpV4I+bhShXSs3Fbe7IMAVopsQu21kIRjMYb
I1U2gB9vyDd8G/pMB1PpN6JdN7WjbEAX5N6gEMVsy5vWdh7GuIsY2qzOGzOL0Giip8+StJUflv13
0nRUD6qPaZfDVyqOkYvgSMvTbUe8TKcH1Qqndddp5XU0jpsqmR+kRsTW6oFJcB1pcutSK0GBFcZ9
UUT9NFbjgeIRRseOMnuDRS3YpwPYTC8arTNBnoPZtjzGzWmPJTnBK4qXyyRz18jHnulX+pqSs7qZ
SS85o7NO1XivWzIhLpXNPkCWT7M3On8iPbsAKd/ceT5rNQ1bjAuhH+qIcjXpisCA1NGCknFbeaJK
isflNIJ6KeKnItFvCsAXVL7ivSnASkTNB+A1H535ir3SuRHjftZ5ftU22iGFhA/jpDyWY4HoApRp
yA2/TFE+nWk49xLasjk7dMyWcMyZti91m3BzSu1kZ+ZqsBIgDEYv04w++h2j95f5Ev0//ao4Een8
4bKuCws7w5Is+M/xpKkczZxgTp+1u2z1bG36m8ojJO25b/e3zYm2s3UBXzI+WlvinLtiE11Z4S45
Rdt/BtwfA66KA/mvB1xmj+6/GVeWj/o54GpLZytAP1PHGm8uXtKfuo/+m82EyWRLBulHocAfSzF0
H8Qi/mjBDzgqs+evA+4C/sYIAIOXnM/fxPnZ7Ov+vBQDSmpqP2i+dL4uf/6LcwUoZygVEZhnOZc2
bCBRcFWkJbsNzjqdxlxUlUTRd85yd1W66G5abrMSNB+OR264WiCAEqWVXPMINf3GytSdOkj06uV2
3HFN1pb7MkLz27zcoDMjaqheYdT8cbvmmp0s1+3l3l0uN3DcH1Bcl1t57LJNkxhg0Gu4sw/L7T1a
7vGRQKNYbvaaHT/1XPVjrvxiufvzQMj7eRtXANEJV2CWQCaYw+GxQDbg3gmJZlES9EVTcBd1IUZm
cJP6IhbdoUPB5/DWbxBBUDIWdQIgW+7rhMR8IJnfBhIGb+/Wy4iYttMXflPKDa1qvfAW/DTLT6OO
DJKHPPoWZcRscjQSY0kwlWzBjQKP8Oy49BD244GZPlnryCyE0LCU9AcN+UVDhqFaeNsYdEQiz7DV
6NkggMOp+yUWrXtyCMAfqZT1GcccyXe2CNx2YcDOH0xJjyzsLPpwmpa7DMF4LJL7FAG5bfMLpeyH
CGE5yOLl2pFd4NN53aI9q2Nc59sWis7GEeWVZmXv5IdSL7aDI7uNY97HuWey1xFUTer1RRvZe70m
NWWg68YowvzCw3oqt9lyloWqVJ8pUlhGmV5+cMyxJMFNFOvdh9tEGwJFlIY6/HHcDV9svBoP0hSc
h37ctVN0beZMSJiemSLb6HvgRCEcPb1gCbtv5/Gi9dqrAUtOLeYX0E6uJ6gqXtuh+Rnr49WghtNr
GuGtolQDAAEMKDz9PdQoBlyrvpCP3uFSUY6dXd1PMd8W7Rc4EkLnHIz4hKCPf5vkbLuoZZEghbtu
xaTuZvtbSwpzvZDw+zaN/KwEKpg6+rUM4c1aSnxVB/N2LDXLr7O+9pQi+ggh5OC8mBgDhoRK+Cnc
QhJ4Ac28K3jbIAXiU3IQ1Eq7mddtSHBVE3I/DmSRnVq5mQLluW7VKxgAGvuG5MEKIsq9NKjHJLEx
xzi+7sDht6XtccO5yjEurqKMrvnKAeIg5HcTtecyM9/6hkVXypkop+Ta0dVDaUTMMYV7yIcURK9h
9DRHsuuJYvSjth+21ZhBM4rwXepu+pZL52UGTkaN715twhdDGuXdDPpvpUTOEpK3Hmwluht1BcTU
8FxFZrwvI3c/j9UhCJ3ygGz5LNipYd+7U4TYR4ZzVtzmEqniqzTn6yyrd7Lgd3MWE9gcLe/8Xg9v
+56dlFrswi7e1knkriXR3RXvHvHa9M0+0pPuNnC4cCNKbdj7HkTbyH9WGtqPo21JC//10Xb/Fb39
N+1m+ahfjjZONQIBbCf+1S/482gzfsOCpFIT6TCVIFv+XGng9zAtaLSOCZGWHKSB4vKHdgPEllJC
W8WW+a+z8m+sNIjv/flow+JBORyfC5sn3pI/HW0gAA015cs4924kGx+bB5kHdZcs29iOtayGAu1Z
yhIfYIk6LrtbpkKx1ljntrz5vRIQ7yZMpntHKaptlyAl5hq2gUJgmGcxHP5YEc8/1sVCFJ3iGyyR
G4e8A87jYStqERxJMgt2CrYvKt3wSruvT2hbGObYvG9GW3tvg+ZbBXy1K4ccTXZZZIuC3+OY5fbE
kttett3VsvcOJRtwNc3xOziC/emyHw87gvOTy3GY8VU5o9wkYafgwGKvniwbdodVu5brI/uKBc3W
5hBEBI4pNihs51sDOotcNvaBjsN0XLb47bLPt7VUW5V8+jlOQQ7QH8BniWsQi+6SdHEq3zUG8LDB
OSkiYvg6jQ/sI9pcJ7hhAFwJEW2LtrdWfQA+wWo8KYpDr6hcygTwRpYX03aONPAuHV1wHcJDHYlg
rTrKQzk3d25d70rsiXurmm/qQU4+N/Eno7I/irq4rpiKsc5EV4QSb6w2uA977OQDK5xeut91SUFF
5554IMLfa4D5Y2K1t2VaPCdDeiXy+GVMWsrDXeV7DJ0FlOBu6Ep6tQh6lbld7TUTCSbJW5gNgh8L
/ooSc38YHeOY81bSGfKKbf7GmZJHqdoZfgUuiWlujWvFcQcUmnxezU3zJHq84mL0ClI/axnGHbfL
OOLQqR4LqK+bTE2pG3ZE6DfqeF8sHgbgR4YX9xRv5DOnv8DV54Vmd1M2IPZUil/WLNs+zLJ97rGZ
Ags0N4GhfZaBTDY0yLdXOZj1QHGMDS3F/UaMRkAkiJYPya/rtlNhnKmBmdEuqFFEXJrGHrCJu4U1
lXiGU/BGgAszJfQHyubdKIcl2DvYay0hjNCJ5nvIS6BB6pR5vPdLr8xluoGRtvCk3JVdu66Hmpiy
1CAd0RfR7AcUwRhpi1Vo6mEtoKdwaJyNPtjpVn7DHfwspLNXuPR2+p7Sq2A4ufybjdnelazIPTHZ
7GLEk+1mGGrwzA5GMvlBMm6lBhOrir+avH2200j1i5GdR5GUUAxt5qzCbdn/JPmmkOVJ17tto2QP
TdjtZRUeWwSSnaY3XkzJuZ72OwiMIGPgN6/qEX5Mqs9Xjpq+RE18bQmKtoQ62Pukso+6m10zXmxT
xYAJ1Uy6V0g5s4pqqQKPNILCoRbvuyQ+6l181LLyJdXYijqofSuhBQ+mbT110D1wOZvIPoXrj1iV
cHbCNiT3DmcntGmS7tptiDmL8Rf3FyC720EET3PA11eVHQxHDBVzy8dB/4JYwWBcJnIfzPVXlRvm
mtsrURKXYhXQRACaMEa4/FjhekRPZGMu7bBYn+JuWgwZpi/7WgAWUr/x6h3MOD7GEcazMV2ASHnl
q1n8MgvjPgh43euggN3ZpgrzNawfx33RsL+uQiO/6AruK5QMML/dtp2xaFa5E0DN7C911G2DXL/v
o+ak9gqAstK5ilHKCVlll7TK/dGOlauIuHpstTkunPFKTA7moHRatYzaXlKxkxX5INepOUK5V6MT
ZfHAbtik+UqdfodzcF+VbIMnjVs66Z9yO0bJZ10iOxQafVrOMPukAVjDClM9DKEy71qn3NgDFqW5
mi+TYQxr8IxM7G54NxrxutOVnUsjkOtm/cYs6yvucqxANWJxVZVNWwOJ1ktFYW2CbHrOoBrTJ/rG
TSfejnrU4bTtr1lkPehWf2SE4kP1eG325mbhmPWFcwDbBjs7wPHHL5E3zFynsFJvJ1v7gFt5skKe
2XQarAXZmEqrv5AWTu0I23wM19R80MI8UaBkaC+Fk/uBhHrElQ5AImvNlqcpNUfm0q4DOo0nN0UA
MTQ2tgCpN072fdnFp9m0vmTLgzI2BNCy1N7x5oYORhu4ZgxA4Br3XLszw6s5oBHVDetW0KP2UEeI
3oQUUW1rC4FY2HOxhcf1xtlZr4s4wrIVTcVaZV9ydhzF2SoE0LZ1U1Npot1ZeZd6xew+aHb7kkjA
0zQM4VvhcgZXsdR4gmgbGkDeAamP29qtkVGL9zqpCnJjxSddLGiF3I/8PDLm61wmlh+U1Q1nHssG
/mzAFNW6aIDYv1GhlGLtZt0nBiE4qHb1aUT5OUmwbwdKgHAKCVgrUT3NcIo2buHSOzK2JrbuDtJa
yxOMtNB1ZEN7KakXw/lTbIou3HH7i9Y2z0mFzeug5HdTMUfbWEleYQZ/cDfzyDVmW1zaW+YIXoOg
v9MWBFq1wNBAFe3LFqMcD3FM2gsyLaa8zxOK1pzd2fRDoFFyAaw52XAebTC8RDWOKjRMVK3y21EI
Y7HAehnAE62VCmJaCLtNLhC3MlSe1QXrRhzixNO8gfZmssuIYtMC1dsRTaFG3q2uizQt0MfrWAXn
nrCJoqNLc6vo90bYf9JNhIn/nzna/0r/57qo/6t1mg/8OUqz60SCUQWg2h99lb+oRCYuaJw5aEf/
qo77QyUyMVWrKgoSdUsLodtgyv7XKG1qvxmsLOmIE8JYFqt/aw26qIi/5p1ZixK5dn9wMZjl1WVJ
+otG1AZd0qRzrt/kOOVUGR/tUHpGP/1+1fprNfOH2PTvT8R3slAXMAVRPQ6/xPpzsFpBO8A4Kgfo
ftyEeZI65hqW3FUWZ7CH9ZBTcbCxw7XF2Z26YyVLYKx155VNC6IuI9spa00e+tpiRUGwwjMmoFWK
BdcpGOrnoSlLL3MixJLFNhM16V3JJ/T0Mr2B/crV0s7jlVPple8oy94Vsy5uWudQod+6eL29XGuI
OFgCl7DMN6xsNxDXW7+jeM5vWAaXtvmkOPbJNTsX7KbxHJn0ORBpviNSeatk47WiWNdtrAJ/XeB9
wnH3tduD7c1o/3G1B67LKZTovvf15TLe9e3FUubNYHZPrlN/6aH9GmYToTFmbdnZKD1TfGPVwUHY
WbyxbdI4blBvm6jmFarrh0KEu9iBwU0r8QGH/Xs+RJKtEbkn0VNUlxZj6Sts1VYp6SEaredXLctY
QpjJ2XRYdk0MqArCdiXkK/1JD3UTnoox61aFBp296rYWMwZZYpI4rLz4Qo2YYSTHPa5bd8pEQ1XW
Vg4831e3JdNLHxOjfsVuwKQZHN8n1jeb1y/Zkub9dibS1eCmTkrfITXkWNMrBDuN1iF9YHkB+W01
cGfYSC29qdIo2XBgb+fMPIUhN5pWM7duz882GuixUITV+2Xlvua4vzHx3zKUc4uYm0dSarMXNqxc
jRb02dDtKcrq/dpQP9QU2Gc4TI9pHFvb0ZhpY88xrURJD3et/tRS/VMfUoS4Uduxmt7bYIZQ5YYt
Hv5Lxjp7tAtxtA1YcCLNP+akfI7shu2LKO7RwwAYV7bcDZ2xxbju6UawLInces2vWLQazYEdN/vr
txy6Wr2ZHYWtmyVG+qLUUcJin/Qagrw5MC5xF9hogErx49bjVZpaQGQmBuKAJK1pfA6qu48tbdPP
BKtBEJb9owRWimuYFTfrm3iRuUYt9mWi7w2SwRoG/HaJjTvVG6rurSaVLywYJL5Qagp+G/GJ9/dj
2LTe6A5+MZCCUjILx/vQH50akVTBNA4pDYtu08dLEezwIhK7WY9heQpjNfCackRJJrlrNkemVb9v
m90wtM9zwO1tdEH6JypcqQIuKW9ZI5c3aEs4opQ9rdomc3EUgeKeiGL08acYJvpbBjKFY6fdRq3Y
/i9759EcR3Ju0b+i0L4mslxW1UKb9gbd8HZTAYBgee/r17+ToDhDjtGL2Y8WCoVAgI1mV+Zn7j13
LNqPhHkvQSeopmUJvW+d3Tn70KqPSavtJum8jrF4mW3y5JwUh+AEAtS67YcG/Xp3KAtKD0VSzeul
scHCjY+qxWZsrgfMUb1hbmg5mVvOZb81nbjdCB0HRdBbL8p3SBzWsPI1LJHWUKJByy+nAntngb4i
mqwH1B9k22ixVd0VMaIIl0iAXWFkevr/HaM/SznVKcp1gTSUc0gljilNzY/HddM0puVPcroaSN5a
WFv/MN4WJ3Z7C+01f2SBu0etvPCPzCS7Ffn2+x8uuKtvx/W/kDVfFVHeNv/59887qf/+9Z7DvYOd
BZCKenk/3Ba1j2xDk9181Tuvpb/3RMtO+kUr/r/Yvj/7ewx4No4OVctiSfLz3wPOFGLq2M9XcFPD
sVlA8/eC/UBr9L9/n59vv2+/D+8ndyD5F9Rgigbyw+9TIWe0Oz0UV9I+1pLITlzs1uP//js++Ts/
33z8o/3wy/zuL+lCIRqDMM+rftM8sPFd9zvxxcU9uihOGZ+xxQ1CzUW2MXb3Z3eVLs79Kdo8NGt/
fR0fhsUO7epFu+IPruC3ror1w/9+fcbPs7Rvb4KKqXbQL7OT+j0YJ+2g6OeT0K8oMc9EWazFSX8M
DgY+0iW72MXhWd+Oy3O1GXaEnmdH1h3XKAM2BLAuP1/KP4Wkklz/9UAW3EZbv/5rWTTtn0jq1Pf+
Wkvq6OaIsiT167uc/NexrPELIZfUg7957XKK0/A//4aeoyvXnmcbBuLvnzaODkEvGC48tWX++xtH
8ceNowcd3VNePGx/n3SfH58nL3Nmjyu5v0z7CJv6sq4KcYAzax1yHG/xMpZIt+IAk8ioXbg5KIrY
zlgA0sSEucbKsY25hdpj4o63vRgvJl9HGxBKD021S4sVzQcvah+GjITHzNzbEQFMROEuKpW3OzJU
KDuJDqLaRzPojYw7ix0oKlzHo800za+mG7TL4TN/m+hNRDymsa4TrWJ3R2xgHLuswpCHsMt6niRt
X5Na0xorSrYSdXlnyY4ustMMtHZUkOWMnIxMDitACFfn/mNKpdgaclrWaHjtaHiTeKpjv8pWNAjv
VQyQuZfRk6w40aQj9+bostBhjqsVxpMMrK3rlPPSR2QSsiRamE22MyRQYGYJu2ZkfDZZWFqwvb1N
hf+WteOlKKi3AOA8R8KLlpkFdDUZ9/izKPdGJXrv8ba4QfklQMe+GvX8qUROy7gTWxBj6Q/pGyB6
k+k1Km3/yCbXYXtIwBfOp7WWu/qNgT1wZRV+SK4GW6SCbd52GJKjblc9pAyQRVhsasIauPZmy2H+
4TvFBlsA3gB7nNduCLAj8FAydkbeAGB3x1XCFm3jFlG58lNtWrY4Rxc1SXE48woANCIijkM00RFY
TLpl5NreMmGZH4a5D1eFSH2itlJxmmRG+vWQJM9F3RsH/EzyiSo1Q9ioV1ehNKI9CvjxovLACvdT
WhwMBHvMLSwrvvCZdPprrRgvupq8n8WcAcsd3UhzV4OtVfvcENcM7/R1GA7lvZh447e+i/JRI5br
q+UCmclo7BZDO3XrhNj5KTMofOOyW/Qzasimjo46IfUtK6+R0PqKVMuGEHuh0uy1qjvXIfn2vkq6
d0gPA2RC3KZjs7mzxvJstUa7qTKxRLfXMhnyjr6PZTBBoALrBf+q7Emim61EXxW6G+G+nAQjCwg1
pKrdOmZeYsmSyakgh/CIA7F/ICnA3UskD5jrhb/V3JwUca3+Ohq+toOKvRrdKfpGsP3nMLepVv76
MH/u3v7kEFff88MhzhpMddzEP+iYgn4YCOhkNkthchcTXPG51vp+iHt8xUNMrRRB307q7wMBzndP
EU88vkQto3Qof2O3Zoqfa0wlPHKwZEvYKahbgAOr4uyHoiht2UyPxSguW6w7zKRt0qdM7YiJEnyQ
q5fXtvL6IMHDNQAlYFMUClKBJaguwHsNyiUUWZ59USvnkPXpIRrktsdUlLpjeapnbVn27Ipa952+
RKB1HHbIrv3VLIe9R9pK5JQglqJg2zWMxXJP7SMG634go8WKwvyOtN1uGZTluwSrVeDHqXWo4VZG
eyrJeklV6Euh4l+qYdiNKhAmmIswvxamC/jbsq40E+eHHFAADHQu2aD5xAwxa0jTitV8++p0wbuf
ucPGmHKxDqay2ru5RzBPod2ALkuvvLaGOiVDghTNGmHk5DgrP5LWkrFzgmlvYveBH7L2zC9NJK9D
uzq7LT1/GSZPkWHetYVHax4bH8woxjWp9vd1D4i0avadJM0wm/Ud+rkvQiS5yn7YgS+5zkV8aqTx
nOXBMZ69Oz0unYU9o3+uDXFXOjHHGP8ILdCHZYrTFi2M/Tp1zYjasnnCY4oUtETYVtlyNVjiilGv
vgr96DoC5LLQssEdDtPEIITgja9cd2gU87M7R8deZf2ZcXPTKWbFaNOEz3XWLB2iAWN2WEz705Uz
MyKpNA3FRc4KuF54bdokIOxqSN/K0O0pa3eau8ail/EeF7V3CvB/GxWGL0+5mjXCdrjh7XdP2cWr
yfiaFjb+jfrTTB4b3jlVBvM8r3GOJaCyWhuUTJ4SaRUkxSU+qXIp8KgPyqwOyoB7Zyq+sofBP60X
h642zmVR5svOnNFtR+QN68oAr9vaNlaW+B5vvMQjj3+6W9YEAlSwJsiphrrdBLy5KX07K6H5wcFt
r/vFW4b7vmO2d7By7VpXvvwQMSU+/a7iYs9JqV6Ktjb3Ejd/KbPDSEiDhct/0pNLy+wYO6VoeQUk
AAERwM4ABzK1JXFDc+7rNrB52caFXwIS0FwKD3YSWGaFuMmgDTBh2lZJfBNBIZBd+jyI+s1WeAI9
0Rso+kSq1Em3qiVT/gKaAVY+wfJBO7DutLZSIQ86BT9AfH4hKv2dzGewCPARStPgDtPLTUlMAUve
uVpN0BQSn2KnzwXcveEtVJ40qcZsuQTlUhggd7ANeihGJUa2WDnaXKxtgGvgxpDEqinXG8OTYpmA
ER6VI25S3rh8sr+0SohfEZaaYZ+r/NrAvoejLjGUSb95cbHaoei/17He6Vpzzetjao8pz8OcB5AP
ZiB2vWDuh5WHrt1Fh73oZnHTeObLpDx+gaXUTsr3pyWTti+UFxDR00WfVLfUch8hZkFXuQZR05Cn
Yykvoa9chbPyF5J1sq79il5aeQ8zTIixwAAJeUouKwaGlG54FTPlWpyUf5EhHktzJXVW3kayXNjZ
BJjZDYE/xBbvrnJC/tM0fapYdC7Gv75nT69foI1yq0ILb6f9l//8+5v2RX3X95sWshgDE8hdukHM
klSX8K/tkvjFtpBmohP5DjT5ftPSE3HzoWLhDjbJU2ck/l3FIn9h9oF0EwKKyZVr/61cTEIhuUl/
mwxw06KUYW6rZinCEehYfr5pNQFb2Wj1gISVbONMWYafhCs0nWqk+eljmSBhH0mEnaPp4LCe3eYZ
obBFt2MyRLxhXxFJDMjWHJpl4aTHsfDIWvfiUw5/eqVr2nUeMVdsC5fJd5Y+0CNwdEaet8b99653
1H2t253bDi+/3j+js0QKl6xtUnoXURC+SA97bj8EDzVyUHCfyTHIBn/p+AxfednFpuuic0GKAPwI
4xmUGSPdyGLPZ1rNCnUfkR6t/5UJ3IeZ2pJUIyHXLiv8ZVZjEUzC6zHIX2cxPGhkmLALD/olaQzz
OtHsgy01ZpgqgbYk3gOkYPGGF/E9dOpzxtZkUQ/8imws4UOU+hWIx1VMUkZRzseYJNFtXDN/BkV1
hX/xSuQmwX9RSuvnskxIpeVuUbnie2mGd7+JCbfVuwh+iZtuZuwXq1TEd30/XUUdYFJTtJT2ABIv
hsy7bTJ/lWX6dZMP9SZOrWylefMxTL1D2I7HsggFtUrYECrV7wMdHExQYJEhGLtYFJ2tbbSocVde
KGaAMAUujMLu1h1EReqZ1jzQYsQbLxm/oFyaDgHslaXIBQqSLHbZR7saBlTzQlb6vrJYbk/AF68n
LWdqVSFzIS+JuzQlUy/QIkSIXR5eF1KDvqlBtXBo0qqXSZTztgkAb6RlmG2SAPp+WVobJ6+rPYnM
007m5D8H1bx2nNxZpEH23nphxqCeRXqqWdk6zcdxhYjwJXWGvQzq8hQl5QRUx5xQLUabOMrHFX6O
deTrUBBILjgYRnWT+A6OJIP8SuzmfCA7xz6LxjJ3tUGBF3QzvhJhLsqG9UpHUDLRgrmywhUOARhG
v5on98TSxkN+LD/qsi8or/QzuY/50mz5KNtWPK6CPko3ZTAROaXJW9bHL72TKEUSzA6itNJd24zE
5QQD+wt10IfTu4OSFJGPL3GP5miwup6PsedgSUHDWVmptWMS/uzFxhvb2q1D3MjaGJuTlmkl77ML
ymygTAgrqECEY6E3IOInbzx5jZu4tQ6KcImphA9vtB5rxtrm8AEf+HHE47QxEhcoUIfYekIePJmt
eeUM2TPdabMiz41FedNy89vTwxhIqho2XeuRPFB3UCVuwQIBs80jyh7CO1IT9hoFjV8j5ULEII84
WipGI+TaTnZ+Nxf+ZS3Li270mhWVz9eorW4NE4yq4R57V1xDtTnOrLiNJDuEWngSMbLVgnHNwgIy
ts9q60YAMFnp/NwN5p6jayYDNuVqXziohWXCC/eCHYaio9DEV9k6G0YL6miy1gUSikOhTa8GKoJF
pbe46kek3DBs5SEi7dHlmoSHGDtt+5gzUClQFiMfpRiqi1uTye9DMY7D8wghCLCRaPoaVI1rv1D6
2Ye2KdPgKg3SwN23lWa9+AGQ2FPMwmKbAZpbdZ7/qIeWXNsjLCXdB8rj83nZWWCU10OMG2Tgc7e2
6RWwx4jnzup2c5KRK+nLXUg2+sJR6agDJIIF6cLXLr6UMUcuPmdwYLQgu0plkNx3OidcVjKVqhPi
1bog/hrUznUtEbpCidxMUVMCh0aq45TOjem1X7Kpf6hsEsN4imHV1A+zRxZvJeYrz4qOXTJRl5Ti
Fbtbvyjy4TIesht90NNli7RwV6U41PPGv5wSYSwnDOoLLSDjJmcPlOzzwgDfYOavBC2DFDIIqnEk
6p8kfjPobYp4fBsdY5NDl2b+ZZOBZPEcpj1KKS25Y/qW98DyqOFtqIRI71Hqar17Geh2tOmn+Ks0
w8OctXs/NxnopdFaz1iV6G5OqnNfmQvcsbfZzFYw9Dn9gM0EmxzL0GLC0rkAsrLGPzcz08q2Zi90
2rBiWDCjuYliVrxp7VD7VldFIyKQlUqq5mp3VWiAVNYZqAXaxq7rZkkE3gPqQzw/1RmvQ74shHyM
3f49JmB0S6DZccDbs+jHloik+dGuwOWU0eVkFxkNkjyUPmO+Li43kSeAALsvNIkRbO8iQKpRYCzK
dKB9kbkkK5icQRKBbOcWAKS50A3rg0EMYcYzh63ptscYHxeZhonkD46bWtYHqyXzrYtoIaLa2XvS
4XxGeA1we5Fo0S28mteqI3+p4v9rp4u+0B4SFcssyLmuu6LluOk3mR58xJ63s4diX2h81S/dr20f
fykb/ZgZ/xh+/lsZqi3SX9eT6/Rfq6J+/fInqaLqG38oKZW2GSO6xfr6E+jya0mp/6IrwgoIZakz
AqcQ/V5SUocS24P8wyBTHbUHX/peUiq0vQGNBJcXsmoLycnfGN4QZ/CHkpKfw3pQoAvDKK+q4R+H
N1Xgj7am982lsIqHIZ9YEpvVSkN/QmReU19psx/scjbWTzY606Vnk+vdOsR9uxlSxEbrc8J1Adgl
M4tSxKSPgKqdVY1NY1mCs9nMpLdvsmhGykYc5rK1umJd+R7IkaYZgFXPt13LUp3Rdsg03rn3mnzP
ahcT81ynC8cuDiykAhKQnT3ho4++igHu4/K2LhQfAh/kThekNVlso01x1LLuXBAwqGww+kLUsb6Z
bCKfy0G7SGmBp4ptP0KzI4zzZ781Dq0sm2Oo+DVoCzdBJREADxKWyGi/SSb9u7YdoXSP9oQSbPyQ
hfygA4hXcM4QUVf9yRvNp9wo8gPIk2JBe/Bq9OF1yMRrz8t893KEqriwCXZ3SAqTBTHauD/W7P+Q
rPrF1i7lK9iqTVCAd/IpX2c7+5Cpvh5ZGehFWm6JJf/i1AOSzyTYUZITZt/bSHiHeV7FkSbXnTZe
kn5nUoMbD5HvnnoT2S+ABXyYOkHjeTkAm8tJEumHvSnbl0wnnLIy22bbsQeZZ2uA6TM9gE4Z3Kux
YfZctuNMxcde2rsISeyeu1BNrfp43cSdhbkK9BfCunGbRRFjrij29qUKADcT4x5AVbQo1fVnYOol
PsV8ngWIWmy/XnfXyTQ4Y0EqD/NnxHioJbvSLrhUxY0OPZ1NvwsNHow+eNvoQeH1Ya0RBmpqIL3h
/jAUk+W4sguCZjWtuArI11xIvPuGFHeOxv5niOsvXYc6iYh0q8t5i9nHoBF+LO3oi2NmF76GzTlX
+epDzdXiaN2rpbLXY8t81oz0BY2LvcBuvKVCK5jBxTtDBLeVSnAfiXLXDArAanY3U54g16V6I/dd
+g4mec5zl0T4bM6/ChUR33euXEgVG18mDGh6LX7XSZS3De52EubTsL2YSJwns+GlZWeNUsdbVARj
V2TTCzLqR7LqpwGvAczjhyDDwhTW/p0/Osc25h0qjcDamCXikcT1zmTQPfvOcC9BzVCHw2YZNQZw
TiTeGsu7Ger4HJT1xvA9/PFOfzno1o058btkDPXqRt9LVy7xSBwCODqdHI6lZpMI2D4ozVCQ2yAZ
bcV52Jl1tigFk5ykmZ7sznW3cUBTl0SY0jjmKHMrjaWY4sb5Y88SK6qf6iY7mF5/SkxjTzfzQK/h
8n745rIyh31Zk7TFBxbao5begER8K83M2zlJistAuls6THMN5MwleZapEavCjLxvLG8W8Q4QleJ9
7pTLsYHiYKA6Vicup5SOzt7qr4qOCaQBombTkWgZCMoXHQ+Y4C3gTLo2J3mKO++d0bbyX8l7Q1on
06qQwHfYQHoy21aFOuJqBOx9IG4NLyf2nSrZKJts0cDf9HQ73WVo9fWU8jvIWrmUfN66ObjVhfXm
ZNjwAsM9JX3ob4NA0zaI6G7g1dawJ/H4T4bzZkROstYxqiwsWa4nU8O7G5EqyEm6ScDE1e1MqFY1
05zU+l0e9WC1cD2+l6EGTKvv10XDGRFFj0PYI9INd5ntfp3RoaxbgjfgLwp4mBVy06ixNQyTzZw9
ZoHmBKfZCFBVSxok9sVH263vPJIUKMAcJsRz8VLMkbcuMVqT7j4/+b03Lpy+eZOthsG4q8lKS88h
zHHT9l/Gpvuqdx3xyXl9SGcDp4GV0rDa110ynzpPY5MpamZ+TbV20/FCaGwE6y5n2Dj4AjlNd2eO
GD591sBF/BD3CtcBEIZXMz/R6J6aanrI7OG6HOIrPg+8CWN3nyX6ebbZHLaK5NkLsE9O36Eiam9z
czrrdJRE1R8tMd7nJAr7ln0lg2ZVesz8Xf7HaIXOykkl2ijb4pKTLM6iGPJELox2wRm7IgB6l1f5
ro7bmUK14diR0IikSZizDl4dLX+6lYTkzrMr9loy7PNYhqs6KpB5T62xh9EYEdAKKaYwy3ydiBqv
LFhS8iXR6hkY8v6Z8n1O+cz/WZXdvub/OhQUwVH+x1Gf+tbvdZkhWII59FdAyJXjmS/9UJfZrsRK
j6/aUdqp3+oyl+QB5n+OiTwHt+qPoz7nF2RB//1hn4Siv1GW4eD+Q1mGsFp51qjLVCn4O+EUdhoy
RKypvpwItaCAMTq94pPE3Ug+DHL1yJKnKHTCs7TrrT9L+7qauDvmQNyYvnWT1N1HIcpqMY7hPu5B
ZTiqsOsuGJMvtX4+pLmOngLGh6GswhYKgdK8QPAIWq/Lzoblbnwm/U2obYpJu8ZwcO9M+aM9tks0
ex+MKXFcuQwe833SFatQQ6gvQwQWbvhQTwiBLAFbKD13U7TqPXEmNQjllxwvJMnydq0v6Yzv7Qo9
Lr/ROq2HN2QaJx8XFAuQFzNIt32r3EsSaIt37K3q7IfhmQpsgxR+GYTluSNr2SwqRvrGo2PZu1DX
z940LTRWO7Een5UKvu+8VYVINxQ9yKPmKgy7E3rOJfqILeTZtZlKTHaI4LyvTe0Za3x63TJE/Dd7
7itGJ5i51mMc93ut8Va93dyEwbzV4hjLLxafsr6dGi5hf4wuA9vZJc6w0mN5byPDmKfmJnPbN7x2
Z5bn59CvLnqZ7T4FzPW06yqCcILyqxOXZ2yLa6w88DysGydk+OcSMN06UEysdDgh7NUW+lQdKz95
NQvrxivlMoww/aadA3q1vQiMbDUH/b5GZto42k3sjXtd+A9WNt3jSF5jcWOJF0YYQUZ0k76olk5W
nQCPkGc/VON1ylhwVUTy1aE73ZbVuHVRuZHzUj4aRsl2cRjfiAmgaqjrQFTrZvKGee03bh3vYi8P
9+1nZIr1GZ8SWzI3t2R2RhsPBv6qH5u9rRViW1TYJzRYhAlQ4UMuSZZoqgTFaqqbp9Gee0QXFG/p
GMFkygNjRWRyfGPoxjYxgNrZLbAKJNcr5EREYeONWOaERuDm60jMLp1q3cKlXHYsfnd+nwMclNNt
ZE3VimkkdYgpk83c4eYpSqJzhqC5d1lbr8FiKW6scR25U7ma468DzuoFaOk7jYVU4Zord7IuZ+o1
q2bJ2CTDKoGXiAH+A+DVyYW0pA1836nuWoiCk9Utq5LNqSlB/WbFtVFkD0OHGazsGyKkqDGWc6gC
k0vrLUAbTY+imC8NGyNqtHNU95ihxviLp3VAd60uW/Y9ADGI3h9BiXx5Mu7Rw3/w+kmQKAS+xclk
pVUyJAszs1zZOeCsMsEo1Jf6rkzrFeOJyz7MDthGHqxxArooDrHnHixkvJtR69ZM7h8ibmovS6vz
5A/VJusJ2jI6TZ6K1L/NS+VK8RJVdiED6ixCRwaUQYzBeJer7ItW0GQIJR9ylJAoRlHka+k2VhIj
b+6f2aVXixT1USSctxA10qhkSbUSKM0O8nklWXLCdBcoEZNRGRtyMmbKQmPro3NqleCJY4qGEVZv
gKSzQxM1BSY/XLPeIyWXkl68IIvgTevqVaMEVaMvVgQWPZpKajV5OOTYSCwtpcJSciyrrYEaodCi
a0KqFZPFOyr51uj7T6YSdPml7/D5MjeVEnt53sAjqgRgRcFjWQ9uw8szv2YCF2WvBGMdLR4X/MBc
GC1ZNEteW38o6a7GjOnqhLDBRX82hOIctv1DLsShVQK1VKPPjrRJLWrHiyQUtwNqNjsP7/SJ2Q9u
X8LYkJu71oCKBw1c1LnkN03JfY1DEFJ56awwSKXdbRhiQqgHYNIAByhIeurdpUYW695qo02Y9mQ4
4Kfdipm5FBv7aJEDf9+MnXFg6HoNcCNfOGSqXUcQUP/ZOH7bHWKl+R8TotNH/f7x5Y9liPquH8oQ
YTMDggSMN10qX/oPZQj3rET5gj4STRsVyvfxkIO2B7aD6wECJhJBqbq/j4fYOFrCdMgfMgk1QTb0
d8ZDrCn/UIdYDkMoYAweuyQwND+Ph0zNGPS2SpJL+pi2PnhtRB8R9ZmlsUXgxiNYuM4mVIlxda0T
HdgZ2R6xx27c74VP0IFaNQ3GIm7dh3BikgJI6w4JRH0UI1azJ19Nn2WbJ6rwNpbZ52gaY4Qdk3tQ
GjabeAbYRTJdjlraQ6szXn0H+6ddJ8eSoXcucUo4jMGhfm0ZI8ywzcYHVoRfmCXdIM/mB5hzuQtG
eEidW+ysxrtuGbP3Ra3u+4w2Uc3gS2Ct+G2yK80y4bSLqVWmjkuX0T1WIvy+apwRqLn+WLu7XpYG
iDEEechrLLUDGAp0fYSD4WIsqn5NXHK8o4NN1x6oXFJhfMb8VfjUJVW7yu0SB2BCGMmsYkkwH6bs
r1RWyaBiS8LPBBMaNcdcGCrYZFQRJ8giFW2N2JNGBaAIFYXitISiSBWPUqigFHym9mWkwlOwHOtn
NIiHSgWrhCpiJVdhK7Jy2m2tAljCzyyWXsWyGOSz+CqoheOO6XpYczz0xLi0n4kusQp3QflpHt2y
JpAyAwgLkRI5TnSwHE3qey4GLdkY+KX7yUn0N70yrVWH6cKpYuhStGGd77I4TlCJ5lzwVjBvBMQZ
K/aAqY9qSGDWyQdb6keu14tCsL7MnGGbsp1YOrZ9qj3t1GgGH6QsWtllejOGTNuM+tnQkot4oFyo
jOzODEI63dDFDV9doao459nIviVsnYSd7hQZa8gmZswyOIznk24Lrt5kWCdlzCze6v19MoX7LiOJ
cPRZio1U+utsDt7nEVeNT94De2U1dMiAVdsUPUurtt9JNqxRyYhkORptszLDcd3pkIRV5TW242pq
KUSinpzJifp64fvWuZVDtnKFzYInwMgmXMA8EX8y5ueGurd2GDcsE6G2+raXLOFH9NspjPqVGMXZ
sQdKFmYlJNok9LSiPUpsD8vWZnsUpQ3Mlcx4kaPO2n4qbgeHPDtvGryln4OFrzBCMT5ECoNPlA25
85H5wRfGVBiANTZE8dQSOBpfdTYotKk31rronCXpBdm60CGT5sXgcTcbCzCfwSoXaI5WPnUZVTy+
cnZzMSmjh7xpi7t/etnPXlan7fvrDcPxo/6TJlZ9z/fbQ+ci0CUeDOm49LIc9r/dHuIXGkjAYeBk
lf6Ti+X77WGDVoEF5+kIU7hyfrw9LChkaEMFzxUwOTYPf+f2+GMT60norZ66OXDm0FD/fHk4ehkI
4O3t2UFRyBIr4qhyQwPxX2V5W6d3Xznrhk2lEkxAg8XIzbLG7SZv5URG/BwZeudfhn7RoTRgE5rh
UYp5ABhLds5VadX1cJUP5bk0k+hOqwcmO9i/HWZLc3Pt4gh8QUaCkT+HtlQK39DXASorOqe8SKOV
Yc3kgbCFAFJuj3WHmEHLmDLqrZM2zxlpeFxXIyMsdo5mJ5sIcH0+Rvohy4a5uA1m2LnbqPJjg71k
UG89MxCryMmD7di3clUXQ7xFQVatB6LhtpAB9fUwVvNWoPN7QJre6ag0JzmvzaYD4DkZ3jyu044s
ulPp+Nq8zq1SawDAzvLUTU1ITJZRyNtISvUoOmVMYzc1Wx2JaHubmGntrdGopJcjjFhjW0HfWE9B
UzzNg0V1XDJnjBFjhoWzr+i4xPqfR/TzEVXTn79+RLfpR/4nz6j6pu/PqKEDqMbZQuAVXL/PLd+v
FZ7xi2cq/TVzVVuhkX57Rr1f2MqB7fq+AeRL3ys8ciBcg5/Ff2FCw9f3d55RZNq/r/AUcFuAbQKO
ZFnqx/20AOQz5AAEcj0QJDWtsA2mHuuLArmZWh4aazukKnthol5fY50B+5YpAtwMCk7G3kWdc0mh
v3xLGIMrVVZvtMFmsuguF6WZjgp6N+/z0azWXe9dJ+7wlSV2RISA++p1BhgIypUGVopdbQVJKS6J
KWOp7bQofbNrInoUuD2Ih+vEUBbptl4FwEkQtu9EHMPhoYQgqAdkPgkt2NbPxsxDqKJbBhXi0olp
NwEqXuSa/haT8wKC2t7XrvNETg116vBekggDhi+1VdaQfPbIBQZcnyyoJT/qyV0lKlImxtHDNoqY
mZnRPa5RtNK9vqtIoulVJM2gwmmQvNdwCwmsQRHAb4s9CQjs/Jg1/QkVJ1wgFXZTq9gbA1xLaKFX
NbtgU6toHL0OnHVMWo5Lag4b1J7gBDTRetE9ZyTr4DS6pYy7hNPBZUuYxSZriOEhdmw/qGAehltk
IiI7WglyLiFXEeBTfjbrWpYtaSFw2E7XmZ3sGwK3F8DSvkxZ71J9KC5u4bP6Q4lhBtMrIMeB0Z7+
tTW0gw4Ka0BmEKuAIV9FDfWfoUNDNwDTJ4hoUpFEI9lEMxlFmZYPT/x7Hsk7nTN54sheEhxMtk2M
NNy/HVTYEfSmuFnpn1AJzcg7jjnCF4BHfyNP6J8YipFx2j5tXAtIOZiKiDQC5L4BCnAK4vDgJEW/
RWZdwNWJS7G2RFRuQ9/1bn1ifjxCRvSRBV0xy11vT9aW5ZKVQmMFpa5PBWkEaNeMCydNO3oY4MBI
8MXTP8fht4qF4+Ovj8NjlAfNHxtenW/6fhwisVWMf0oThuV/KFmQtnEU0XJ+S8X5XrFIZuv8x8H/
wmBelSW/noYUM6qIcQyOUAC41Dl/Y+7ucE7/LLClb+bnEUXD7N1k9v7zYaj7Zos7HqFhOGtmfW94
IShPZOcZzgd4mageeIgjkqoSE2ecHDm0hvRaaCY5dmaase8ZWxJmHYE6cHJlU+2zoqarcno2yp3d
UF80jX8gJQ6BUpEWc3JdZMkjNOMbto8v42C0S6w+50kCWrJyOyKflho+qMK3woHMYojcUBPQkKR2
bTm2AKDzGD25ARNtMJvbUPefSo+J3bEQMYSDNMyC8SEh73qZIU7d9jTOJfN6fqpcFh39ycnSJmKs
2HFHVuSzHE6HtWhBX/h5X74Z5IoHTKEw3WX+Ui/zDV3msCyyeFfF2g64dEtHnL8JE7R4yjYXl1l2
HwXau3Eq8+lUMOoc2X5gXZiJmkn9O71yr7NCrD0AYPF8rbfyfuibRwSvawtJqXf650H89iBSTP/1
gwiglly+L+2fPIt83/dn0TB/QT8kFEH4k7744/DJgjpMOJVpC/zDPw6fwMlYErIVGH2BIQ2l/K8P
IzxHIZCxMYEijIo/87fk7r9XJlmuQdLVZ6eCNZIP9c/PYtuRreYU9nDViUOAFXi6KZrtD2/Kn+AJ
vuFqflPU81swe3MotCSqeomt//cPPOtnmPdNeWUOQF2QYdsNosjQNHLzKhQIVxV0ZEyuZ/Yj7jkE
hPbEVW2Q5yzsaRmypTPwiZZk/xT7KhwvCMzF6cJjG+kTvhKTxj+98m1tlRbg/RuP0LjithUQLaZQ
X8+VczNGzc6fML2EIPzzqNURJlcHrRwuNTd5Q/z5qhHr2JXlnni7JyQ4bBCi8DJom7VrpHsnbP6P
vfNajttKo/WrnBeACzlcns6JzZx0g6IkEmkjbOSNpz8fqJEtyrJdPteeixmXNa1mN4GNP6z1Lbkw
xvqt7maqYTKsBKUDjQmbCA2gxIJQ5J3swQZ3Xnrv+TtpNUs+3lPk6nud02NhGRWDouJVNBwrISsi
5DKvYaVjXsqrFjfQ6C9kU2+YMp/CliWXX8w7+wGsWuXpn8emOFi2lq8Mu7jrjegQmuZ9PfKYNZP2
MSN7G+Lc8KVx7YOy62Ij0wq/wYj9RnoWrufQWYZlfVsnACw9u2yxz1kXoAzRijXWtUAhTLHZPWmp
hXvXG3EbwFj0zfYt9ST5dgmDIU+W4IjsozfUNkIF1ooik+nO1UcKi5byakw73HKVifCjh4pmI+w0
8nJvzVy7stNuHHBdRBeIuyEPZs9i9qzJ2l6YQ7UPsJifRTsYKIuzQ6MlIMMMaSNbjU5R+8VKy02A
hzzJCfQi4QSBqSgewwl/WCihsJWRcah91hJt720nz/lSJehTBlUfO8/+4jc5qeBp8ubnHhgQ259W
sg3ukKG92RyzM88wkc6wNJp0F5t1vDIwipWMKXuz+Wykqb6syU1bwB/aiyTLVzaxMYk/a9gs/NV2
0w5rW9ODJXy1K7QX9z3rk6UmWqC7cb0GbHnLmEqukGN3yyJEYUNPve4pRVnZYLDwU/Te/RLVyhxy
0D9m+kSOqHLfgKV9cgxiG5jtWhuLSeEC6Fl2UeSiJrAiqZacK/eRkreF7VSHOLMuI4HlMS5jkIAk
X/QpRqdqkN3aH/g+PG96ztzwzu0ppPu0eLWNwd30tX6fReK+SQpzMZL5gfqmvcg97a3V/GfiSZFd
ZDHPS6ORK6Z2ARYEmOX045bK9tU7TmWwa0kmPd9GAJdJ3jkRKXEU+FzlGMruM6y1e2ca0yvXGu6k
NCkGq1d2IXssCmIhyuor428ech6+ua7FrJANEMeZoT7adrsSbog5wH0ogvXIlE6lp7wknkrTbuou
DeaSX0gCKEmuX/VYTwmfK1d1UJXLRoBlm7h+IwsuYWld2NDSaYrwXZAAWnFv4rmvzk3pPcW+85ro
eGQ51vAOkIeei4p4X3Wkr3zRxu44tMkhd7rnqIPFx5lzUxfGOq2Mm9Jg5WRoNyR1rlwtejAzIrl8
BxO4fgyG6Aq+yZXKISc2LbtRns+B+tr1moAfnq6yps3WBFAuM/alXlMzG/SdDT6Kswf+uZaEx1go
EOPEGRZlwKwk9TVYoxpBE/VDngTZOjSb16aNN6YcH7Xm1em4EnvX21g2ybeMJAcgpvBE6SbTTmna
WmeA/OBF/biVEltfGo2AE/yqrc6ZZT3lpa3djpNce30RQQtIObcWWWlXakEEmbVtVVkvfUGD5Fv5
A1jWTd0OT8MgHhqpPaM1tK71zpmueODJTS3kizSNfVxbX8fQv5STOuOuZKqZ431ySJ1fQb+D3pmK
ZJNPeXCH109dRHl8m0TR59SsteWQdeJYT8qj62uh6BS6YrFIWJvJb3GI75KkTAHjwhfum6fOKKdb
X7PyTTiTkSp+PjJVefYsg4wzoNMEWL6umi61Ftm6m2KNUazZ19HskeYub5jRN93Kbj1EBEXnr6Ro
V7bb97veaIdtaGLltPJSbYdCh8UoYABHbZZwsyfObgA0saOpvIL8cNPY8VK6xjbt505RC78kJQvd
yTXu6HmfamO8jZza3UMteyoZl83z+vD8949dNlc/VNnvD11gUcR2MR4k8WCelvyoOXYJbjd9U3ZX
pT+sXeMy9e9cfmqHtj39J5rOxypifi9GLrjmDbZKHoofWocf36tp4MCSnzVcgR4NswepNrH28Pcf
55/eYv7zH/zvJB4IMXRiuCIfbKmQRsf9J7u6/f94E/Z9+P7Qb5pz1fXjmzQxoI60GIYrqyaF5jRq
Z63f//1b/PnXwlf1w1v85C5sidSLDHscrmz/NpcbrBrsxS4L7yVV//BOs6j8Y9X18Z3mn+SHb0zE
vUMQFx9GwsE0CgQt5qHLydda9zkWkWnx9x/s4xLz2zUAE9FBSgUJh0Xrx7dj3zdOdWsMjCKejBb1
onsXxUeV/9f0/88iiw/1r3uNfV691smL+EWvweu+9xoGDcWMIEMK+z7q5D78PgY1XHhDtO4cBnC7
Ccb9YwxKg0JDrlP880IPRNDvvYZlsvogowTaJV0CDsx/taowrI83MXZaXL/wjnRIZcxCoWt+vEZw
pdXFqEl1MVpVZcwxVKAbKw/T+ps+TYVDqdXqLU93CxXLtCvdLBvwzo0pJ5hrZzehGc+VcTjsaqP3
FAIg8wthnLjZgvAFEOUtC9/8SmXs4OTkmhtCN1H62DrJPK77FlesSPGPkXJZkCWPBo0ciyap16wL
vUWfG85p6pp8rxUCcymkuQKNiwtKME2j+swa2eJpEpzQpGZH1KvFqqkGtakdqlm29yj5gTwuYUrW
C6wFwdnu1SFzkpNftuExT0RGLloAMIwpL2FaJpwGCIZqMwY4MC14y6hdxgxUgFet5MgTUfodzEFb
exac3pU7Fgcv7u4MF+x2mNtsmxNaooiwq3Odul+Ggge9LD1jC0vobUrTT96QoJy2eyPfDyHBIpWd
qvs6b8OVrGMwDxajvTh9baPJfKbsxWoo2nLTA0ZYeY1A8s0Yj6SOoEAbqIXG2h107cAiXj85cOq2
CbzJRVR37qn2PDZBUXpLJ4T6Rt1pFZvV0i7IMPNJeHNBJMDIJBmEgRDlKV0cuWTGwtYHhsVseE5G
3OEQUHj7n/sq2lehbmXHNlQGRO5cU5TJU41z6zLmd9ebWZZcKIOanZUorkGJpUBn/eoHBHBVfiDR
NzHCdCD9qllh1gnirPpsOkDzCC4TpOZyUU4+6MGALyG8DEJsZXGCPrE3guxkggcnsHW6RT9ljKv3
m/Y//I7BWONvTq9C/cLBNb/m95PL+c1lIokUGPM9M0EeVr+fXARvBzoOLR/Jzbdh5veRJXJgpDum
5zKuIwZhTr34vsCZR5bMG3ybqcZ7/ve/GVka7rxF/eNhyrxUDwLyvuYFDo83ZxY5//gwtWJREYLr
tec8c2PgOuw2xzKnl7yG0Tn19CNBjEJ4bWPyj1Ge98geHKNlHVpapiqGpa0SSxyln0iFX5RsVgez
9eDUeGBGV3aU1yK2tvBwc2IgbFskhLVoYdqbKy0MyuLTVLudfeV1XVAXK0+vevs4Os4ASMbQZNq8
eFNbTxMOg9Br9OU41j2CPKOP623aVMFFLPV4H401ybsD1B5ZQlz3kfHLrsychZ2ljBbk0B8TQkI3
+MWLsyey7oZ8nOGzXjhOhdEqjj73dj1uRKPnJ1BWJa1sGZ5TjTxJTDfxjgUd6ER/sBQyJTPcN12J
trbwhrOBx2BVh9VbiawPCaBp1i9+wu5CtAR7L+PQwbDipO2dOch8yTfoAOUQwbaPxcAEAJow/ghm
n7Z140+6WI9WhNoROZ/NoJa1jEPAHa4rnQhL/GibDH4y8HijIhiqwYjF+IWMralvd5JMw3RhVEDh
giA2P6Fbmq7iaUJ+lJmd+TmjRzwiHI72ih3Kk+U01opCERJzReMy+Xl32XXZF77SYi8D17g1mkQX
yxRs9IU9JMHCgTl/VkRBwRJ3CDJImmYbBKImyDXwz5OkU8hlQUei3rOzI/XFdkdxwpjRPHR52W0a
Evqw/CXmBWEoAgl0TLanAonPhSLdawYC5A1Kp7nC/1qt2k4vjyAc+iNpfgdoFBM4Wc3fSCLP3wYo
Kzu/yqPDWAJ/Wjipp10koavDd27AJJdKMLpqOcKl8pF2RZ2BZJuraHRqKrjJDMKDqDX3gbHGI44/
82SiLb7kxw83WgYEuClNGzF5rV+qKQaJS+7SPkqwGpf4yGi3K3UT1/6wAukg1yrpxnXUT+GmeRcE
/HeyfptBU0T99cl6eslef1ET8prvJ6s5Bz7rrKQJnWMKO8f/fD9ZGU0jZ2GpA/17trn+UBMGvzlM
nXWPhENy76gp/zhZ/d9cDla0Jggmwa78u/kz9JafTlYWSsja+fe4PfDI/kx7pRpCKCELIoF7ER3R
a8nwdhzJHdlBC8y2gw0qSnmY4yRDFZxHYo8obFg6nebsspABY65Muhroy2Adha+jtkXpS+QHQ1ds
4j5ibUZESMgASRy0IHUuvAki8ij0jZtjF6SDx+/gvzppz7RADcitQntioRtHx4KIq5SoK+0982pO
v4K5TTFBHpaYk7GaOSNrMNjKwBKYmDINZnQj5zQtfc7VakxGYgVRW+2Eb6IJXr2wIzzPv5ykv6dp
v03QCmtEdWlzZlcRlkcZgyef07wIp3sSbbT0tfg2N537KPGR8PkMj+3Mqjh1omfu+r3lV+tUD58t
QsO6OT1M9RIUY0uiWDPjzBPwkDw6IWHWcMk8AsjknESW1SYLcHGWAoOHl0YXktCymvCyFk9lyxcN
KKxcTuWARC2sDrjnPXBK7c4hAg2ABqB1MtGCiTCEzGTeXZGXZnnqMBGg5tfxtZoT1cgU3ncRsAo5
p60FilXcnL9WzUlsKag6TvrnDNEQ51m5dKx62kQKRXpUxV+aOdFNVWS7FYba4j8+CKrmbU78WzHn
wA1zIlxS1w9VGNtrq37r5sw4NyM9jnKQEhuYGlKuN21OmLOD4FLOmXPTnD7Xe/LOn/PoNILp8Axf
C+jeQY8e0yb6Om3JsHMilLLjnGunChJpCLrzeAqs057sOwZMzzYUNieyP436dC2ZI1EmPg8VgYBw
X99goagNpG68fA06SE/tsjlrr35P3SN+b5xz+DTDoeKsok1KRB9iUJ5PhPZ5hPcplF7lApkiDtLE
bT5j6zFPPOepgPN5td6yXRGrYV648/ndXa7mLXzoJGzke6Ql3qL1PYDaMB/4TZkeM1MJ74rcGL7x
CRXAIgmhFkNv2gSaDjItzIhmZJUZ71SvX07cDNfKT71tpvnY/3gYkm5iHiwrtYj6DRaW5DVTUmmX
aRQBkxj1cm1xtS1qR1rZIjMUSgErGfcMkJ2FI8vk4PvjhAzNGUgoSVo2MkO00Pt+M7T5F1+PLslb
Z/5lGhdWJ1HHB8E1YhngOiI9SxcFvWk8Ui6p29rQsme0rQh2JdZAi9rcCOtq7YPzXNSula0Lkpl7
G8fySDAsj3xy6nwWbNvcJJDRK2CwG0PXn3PbBpBeYr3X1EVm9jiTGH13NEWLTjATJsX7c91pW8NC
hdlb9b5wO4udlX8g48k5GBGBLmWFqdBkR/PJRGa3cApmbCA9yVqel7VF7IlVgoh1o1UiX07tpH+R
hvmU5nm4CYiqXA/YG7bFBGY+y4SzLXMcmI2W6kjYiFsxzPn3G5I4NhHGLQnlFsNwTuaU7oFwBjS9
1/HAp9Y1Z2MQ6G0Q7J3MCd/le9Y3od9ztbwcY3xOlo8Fa04Grygj2pSs8JzQ8NhJbPgB5IiXBIr7
c7L4UOnbhKhxva+3ndbcThkRM0LgQo7h2xRg3Jo5p1x1OdhZDz9cVe1cosyjOdPcoSxf4SrmhmVk
bV74Y36Xv6egx/0VCTwN7SD+1rzEwhGh8qbUe2T9TnpBdUS5/DqWpsEiID+0GXnrkTFuPdf+Ntz7
r/eaWaB/VyE0zesv5HPzq77XCOhFAnwMoDMsk1ttnt39XiMQbDL/a7wJjGx+lLiyo6akoKjGPomi
5INPk2BB3XP5GykUUJVAU/0XghHkdj/XCHCwTRu8vKnbuo0q72P3hcVw1FCCDJcK/YW3jkm4Ywnj
EQkeqSReC3OOrM8ia62wYWYPRmegC0OZm7T7akr0xdi7U3b6ZqlLUZFDMxuqogRNUFiu82Vk/jOj
t4gUXbdRzRFHp7QbXSMK3gI9N1o8iA3L2Tbx7HAVqmkChVOVg0uuiTarSKUbmRMEi2yATTCVzHcX
0EpHY52bUT2tbc9AFhf67/V6ZpAJB514iwvNdu6FAbBig0l9jxKXA4egLEwZkMZ2o6U6rHKWPxKJ
SNezjiIMG2ugIfouzsbooIW++JygqFsFoIU05OqqX2uCHo9YWp7PMWMwPcfygCDF+dw7NF7TlLPE
0RU4U0fCtnZU/OYOGqErhf9GpQP/NY/ytVfxZ0QnoIPru3oLJHI4xhEQD38+VKMEBhMjMshjtYYs
xSM8zURUVq9y5iyLGs4UMhwmb4ZK9J1f29QhsJ1fDH9uZ6YyOlS1Jq5shQEODHmAE7J4zbzJ2VrC
itZo6uxtU7bJWm+AlgBDS9e204mrTGexKgOgV1WPNUTKYU1OJBWcb73GjVbu0N1wWQDTRMdmw+op
I2+hu9pnrHrRzp1Et+Tp6m/jun7zhjDcViYlkpdT+K2GGnu+aE1vW5Z5cwDlkq5MLU4v+Jkh6ZFn
fJgtiUmXgsYlgoQ+b1DXQRAS9B2U+bqZ2R3lkGeUI/h2hy7siROs+TF960kUmcmxB7Orrm2Qk3P6
GWhAeAAVLLCO1dDWEK68ZpfLQCwa2msPj+JiUoZEh6DYs9JoQcHTg3Hd9ACZGnus1qPhdYsmx+Mf
jkW2MwT5YCil891/jdV7YzUL3P762Jw97gu8AS/116T4xfBqfvXvx6f9G7svpuOBj5bn/fj6fnxi
HvB1wlBtnSAL1kpIX74Prxz+JMBE5gBB/4kdbf3mM49Hiuf8T6f3r45Pkz7u4/CKDsrCvsD5yaoO
W/3H4zMAPsTAw4rPWuabK6fnFPEnZe0JJJKf+tpSIC4lbTwOLM3zSD2dnJyrVDYpuQBZug4mNANn
9Jz2qiDub4TcAyD9ehz8Ur107BoQTUTI7jsUBKJPUYBIQNowxizMXABMPENOe3o/knS2LVVCfOu3
YOZqckRR2Wss4/DUT+ldXor+3maTZC5FpiuEdj7uHTNN401VCfQS0ItR0aEOEZgTHgqjh4CiyE9+
qPJg7o+cijA3mxhPotPJE1jSKvlXVtZXz1Yu02dyqZwdlg3mSUYvwksyViP89WhD2M4zbl/m4ZTT
cyVuuAxKc88KPF/mVtpd6JqXnz236G/Iq42hgGWmTRVU9LtOQ1vTCemTT5qPEzFxQTkteubiPAP8
xPGWqSG8G6K+SYWc2jzZAVGbvuSmZq3iyFZNsVS6dGpz0wVOWoUL2+oQ3fq91W5ZESuNnMBR659b
gCQGc0XOFTs1oBOs028Tx+nb/JEnI4+lXRD5/N9UVUdbT2+n66bucWgERXMd4A+BjYnRZSFYT9/l
mDoCixXGVflu9Si0qOcZ0+gw2KJ3O0j8bg1B/JM+Z6Ix78agI2JoQX4CHXWhJ2KnW0VLUIJfhele
4l4aaRUTe3gFAR69BoAftpjawo1IYp61gGtg8GswH3Ot9laMH5snWtaqvoRQTaz41H7bSP5X8BlM
n//65DqVzf/5v0X0Kl6bX0yGeOnvxxbGJkZCDFBM1KE/z9wDJvGO7aFbRBbIpP77sWX/hmQQUYGP
2Jb2ifHP7zN3893zREHomMxxHCrMf1H1MWH6cGjBakPeyIkJ9pfqU5///If1dep7NEpFkJ67fD0R
PhzGW1s+/vDFXH2b3/+YnITg4RfvwjbSQRNtsxl1fprry5CBkjM56bkt00SsSl8v8O9hSliGlpmt
U6sh1ZaunAQ+H0o5mKqlmMJjz+DkRq/ia5HATXLi5DToOlMfQ3OAM8FgEEaiL/Uo3g94dbs+vkj6
YFd1xkmfhutGmRdyKo9jbV1i1zroacZN0aPQT3VJ5MRcGBHqpBaJGXwlnWxAgpXzhy00dwT1bwlW
qgW1ERYKwp8wt4e8fvQADqmR8cph0CYiMAcisNv5dkvnGw+mFvdg1hbsWE37IZxvTk841icTxPlC
4wGyTfQsdtdxJzlrSyWzx5LIuZUCUq52UTDf48b7/d5b/tmFykGTNh8Fo0ueyKK1Kst/mEzpoo00
xbbW4KVsjXJATQSkjmejXHZO3qoQioGjXRL6p13w91cAgaEPzRKrcqZt0ieuiB0AVT972DD2JjtL
2NmhY/jtX/F+jfXJUZHXHE1VgsJEyHhTerUzXsWw9yE9qeAY1K53QIYXPbMRtx97iAlkqCpWem0B
MxVPtUPemOkM086nl3CX+tAE92XpWwsXQ9ha63R7ZVZjDAUWmCrJBmrfm05/DrrOW7d856cinJqX
hhHhqIBJqBGCfiCTvYYebs0SCzU5HLgbNJWHVFc4lEsjuGEhQGhZGifgLgKWSBVhImNmkyRjYNZL
Hv2czFp+dT3J5QCXa6K9GSEykRjhdRxc8HBrj2HHtm2FsSwCfK5N3Js4iWWzda1+N9gF6r/RbK4j
xhPUxvlFUoiLvm6KDXDna7t0SKHp0lXoih1ZY9kqsvSrJhhuW8Pr79GE+W8IUZlqZit3GN23MulW
Tt6sslAad7rWbSK3BcxWZutAg1LsN4t0ZObSuNXXpmlfi6R+Val6QLS+qq3+EIz5hgOEBfy0tUfC
Yfx+BV51hyfyBMcdk1H/WXc6ho/aRgwGlbNc1J36gmGFivtLqHfGanCFRf8BPipz+mfHTT6LybXX
boMzl7lTRD7ldDJzE7CLeeFW3YpEheeKX1/TguwofG8d9u4GLNiu0ydAtc06yuH2SV0urDBip9IU
+h4/VroyFGMMz7viM944wLVWYzJFTBnDZmn3enIBqDZjUWVet4LMnEG2x8gcuZhbYyskJREkZa6y
XB0DbiK99BZmUJPg4p98oD/2WD5qE353x7vtzOiaMurExo483+CUd/11HDDjBJJjhgCJo2gkWDAz
CJkYqmVXQ+iPav2cadmnMjM+VZCAkyY7lsI/pJ1xPQ3GSpioYIW4wBK/lEKq4+R5dJG0Nz4wZZl5
O6qLVVAzT4tx0qtpOFCPqL2ciuLQku6bq5AHOS75lYrgqDmjlW1lUG3DBmnjpDS5+fuT9xdaEMPH
NfuucUc5wf9+PN9jZUADdAWscpmZ614ECtEh4QeEYQqywq1h5fUhxMY4p9+bXo1KNtdSZvqdP/li
AXf4pqvTkz6GqyzwHvWx3crYfSOWOAKdjcIWZCF16pzBM3FNizBZlqHTLAda6YUt2at6frvrSxKO
valb4td/MNGnrFH6QZgDKk20xJKAhAbOT5UxVw2LrZHWhDL3ZCSW2yb3viqR3yL4PnRA2KdGHGSH
46kqT35jBtt2UOWqUcnOHGNnST4joGit3MR2uo3YrqwavbmxVWcsSdI66HHAfY25FfG3gQi0Hu/T
BJpI4DK4NpV5aSeAh6Q7U1eS7KKvpnPcpPtscLYOytRVQppFWGQwUnyQZ7kfbVjArZ2oOoEK7/Fi
mZeJGI6iy3c819CAV1SjpSImJq0vs1TcIOtjeFr0YuUWWkKMFm1qXV8lVtOvcuLD6FzTe1vZCELG
5AUS6zHpuZhGLlCf0X2Wya+Z1LdGRSSybTynuVrlFoC+wN4NnENWU34tgznVQu+RlGhfQ8OdFhXx
TIwQR0KUcmOvVfNZ1p4Sz30ydUEcJBAVn6EvMU7GMm1UxnY9urQmxyCCGn2KXaX+zszT7qG0rOGI
T6aGwz/k/6Cjo7H7uRBxEen6numjgrJnRMiHQgQHI9v0PDmHXbKy0kNtdt8K1b/M4aVk+uEd+Cst
WjM2YFjMZwvWbD7/8R3okgpC3aPoLNyUFNVLoM67pLqph5QrAbiGKzdBuv6HG9D8KGn487vOn/uH
AqursrayLU270FVxi2qLNRv/wFPxibmUWsTYFpat7zy6obXvuyJbgmsGHVUM5VI3k3JZ1NNTqXmn
pLX1JRr7jQgG47Mf294q19N7FxbSKsrU0RP2swsW62AIAoW4mopy3U1esfYrTa6MCgWwVyi170bP
+lwWpHyyfrPWSZJ8EVyra6nD+OMEVqvWd8k76YLbzhYTKwrY3lFv7vMIG4lqvzLO3vFQumvqeuM2
A+msTrqz9FhjRUaFIoai2AIJ0pcyd5l+D+TKe8l4MwfKzJEM6K8id+EEaL6b/k02EFWaKiHalRzT
wb4bJ+ToenZwAHEx6aNYS0KLzX9LjLHbOftsSo/stFaFCs0VfCPE5WHGKas/9jNdPUnzC58YmqIe
1n04cQUDmWijfBkzFSxTQk6qKfVXtQgvKuJ7MWfujNKdln403mKTp4CrtLuuJUzdsoAOTV671aoE
KVtXvpCvdFHr+bXEvc/ivl00xqF3eo3Bn7XzWIusKsO4L1S8G0NSAmhOz5XLMzKt8OnW9qsv9W4Z
wryVjr2NKvvkDf8LkfzLS/zdSPSHgObPV9tciP9wtQ34n3oTZ+9FeiquorO2Abb2QJTwngDlk8+j
Z/nFHBasVy6KT8Px76/1ObzrFzcYIiHskCYshvkG/OHNse/7RYbT9QJ216I4mctqA/nLOGqP3oZk
zftLbXl67NcEx/Yv/Jc4q5O+OCSb8GyRqfkPP83HxubbN2GRgOIgxKSNcub78ocfRukD2zkjjc+x
foV7e5Hoj3X/bWj3l1/3xzPrz+/x08QHOFCnxbGIebi+RvUuUNd//43+8jN4bOu9eQPAcP7jZ8hH
d2J9KHl4a1cy4H5wqDm/nVD/te/z5fnX7ftl/ULz/ufOfX7VD507eaMmY0y+/2/Gwd8HjuSKso4x
Z92/49izmPd75279FsymX2aUPGPodfmj72o5C9wBXlzmlJRi/za9HtH/h/tt1vnyH4dFhB6YtmX4
P11+OB9UMuDPBStkEHIwiYzVOXEPR22U+rHwGtYEmq66T3YaH8AsPqOJn5aVl36xep7upDIM3s7F
FtyvpaWn8Dkk8+40SaMl47fygc6BSgg9cxOxbFXVglWFC3CwsuoXqIHJK7KokBV64cyrSRb7BZ6g
Ah0xot8khWLIOAsLe20TmVGngXtQc/Mc0EU37/10llT01uncZo8sCzQOYfwqtOA46Qg7pysPfayH
7tyoa1YabMTcvDeKHUJMPy86BLv0942jX0z0+4Y1nWL6/9DSTnYp9gZzgTEJp6Xjgl+f5qFB2fTd
ymQuh0zX3eqVdpX2Mr2pQv/YzkMHdx4/REFD7kGDBcfUhmytXLZgNWsausfucmybSy3DRjhE7BiU
jfGxhEscR6guFwKOcAWlS9VvmdXeJkK/pTXOHUwsbXGlSbDBlg1CXlabqHLjJ9J6ll7LEKQJ84ve
FmSDl4gbGiyiZuVBVi/9RQecPVBWfkvu+7Cp/NnAJSdzVddEIsl53CFclH4IyUIIhCvTKOLLPhpC
Spu0Y1bbbNpRK2/cAbWJOywbXREPH0A1rkz4yYl2QUgLcmQDIXJX2fcNkj0vhmVZK+FvdAERSfC8
Y64Bvbryqmcn7JD6GFrAwq8wo2bZKPzSP9yKvxgY/eLcoxB0XMTw7CIpNz6ee9QRg54FKDtMPa42
GMzNFyoPfzmojLnR+3v9d/6ZVNB/ff6dX/uXry+/OP941ffzD64wZ9+8DaYsnQeUH/bVSHRnmu+M
fGEH/cf5h6bN5IkLag9h2/zyP84/oiB0sh7mgLF52un8m8El3omfjj/GBCx7HJiCbMBdfoqPVwl9
QgWmO1GXSXFlKdi/ZqiGBZlh9+NEkaMr+p7ALE5IXG8wWIIFFtrS0yYDoArLS5U0+sJrA5iRwSWD
uRJymPuZde6F6IKHaZL31lC8dWBNpObOymPvmTsBpG3jgoYfoB+Z+akcrGHJtiAgNMI6D7pkmEXN
t5Bu9uAC2dtYJfoSI5QMwsjzLE3nKRPeQ6Smz+yVi2WYBTuso/dZ0l7VgX1OfABLeoBpKRsZlY2E
kvftoRyQPrOjOBp+2i3HglyUseQzE5rAMI2Vyr7z4w2Wk5DTtNgUsfbYVTBFW8RBc3YkjepkMxAr
PA/nWNFwaA3E+iUS9wMyG2wRC552tI7JZZMZLqtnqW4nfNBJD9TeqJrlJEeK9hRQKdFmQPELjX2V
5jznE1MFF+MD5DddHLwyAVM8gLbVxnBeaKcrf+hXAjAkh5iNaDmYkAx1t66qyvVUOw/Y0mW2jJLa
vg28Lmpn/miJgGp0m2a6N4YBSHzvO5InjGx1RAhp29fnUcEsRxYQCXuFZhlLRo8DxEVk1KitLsbd
NPSESTQ8LlBQbUfd5qCdl2ShY9zbXtUvCTd8rVApCr0JFn07fSJSOF64DRdOHHb3bVF8SsRrHToH
YrDKhWM3e9WR31gTV+amxa40dW0dZxXCco/kjHmdkynrCNvwUdmAhSpc6rmjXqThyHsSGW6i3L4x
DPK+q2HfwVod05Qz2gmthZaEuwIo1jKS1lF1TKQCrfL2SlOIg3P/Qetrf+FKbTME5lZPen8xz3L9
cNhPgZMt9LJCEBUVq6DXGHXJaptA017g7EESFG6sztnMOmdGC93DJMSjcMy30uI7C1P5hHOEIWt2
r7z4Ocrrq5GjHxaHv8uK6ampi5y/Pt7xSPeW5L2ti7E95B0zZmAaTz0kIZInXlqVrEESHIM0WRlJ
9ewmQwvxmOYm0wv047W46+z6Pm6IAqs6u+FHy44ZUWLVhO219Z4lyEZGku4F6skbkMJb4iIeDaWN
W9Knl3nXfXL86MYU5cYzikuL5Iax0gmXcCfzRNwRIWFuAbanP5tWtMmKrxkuoa5nMtMM4bZMhjkY
jrxXElWvEteBWMjIKmCCyXs3T3iRxiXwy5d8zo119Kxd6kTJGiJCltarOxZm5WIsBQrP2rsrCKCl
j3ue/PhCEExrYZBljEUyFpG1Ya7v2JByGXmSXj7nAgzvRAoLDbIayle74oYy7riMn7w5EZfMlHOb
uNfkdX4NJoV4XWNNGIKfzBsD031kMmgOC4e6grRdf87ddbJR4LwKbrKMc4WajIFUT4+LQnHYFG7w
eSTCNyPKNzTI9A09J1w17zm/SgbrOnWOcHztq4kwYA3fEThMyp//x955LNeNbNv2V268Pk7Am8bt
ANiO29G7DoKSKHiPhPv6N0CdUkkslRgVt1utalRQ2yEzV64155g3VaF8DiaCrBhJ31HOHLQ5/KQU
ygWDyGmbB4606lIV2m+YcFeP2jWlQUFUX/daVta8EtQLPiwWxJNd7bgVkGoXCwr9NQMLfaA3h1kh
5ENVLmKBTTnqrpsQ0Zs8MBqf9dNIRkiZ8ynjtParLiI+YZZ0GqShn0S58LDN+f8e+W9ai6Ud8PdH
/vEF8MRfT/zlj76f+IuKHaQRfbjlfrL8rz9uPCoqdhVjjsmFQ1loR3+e+CQJqGgskKARvrQc+X+e
+OgyoDPqDDFpuunM//7JkY8k/S9Hvg3hy9RRqfEu+Ad/PvJtxqGmKcnzWcuj+1oj1TKjm0YqUE2L
a87Xdm1uFOKKjEmij+bc4yIPXVlwLckd8zaxCUMpu12eJCsc8UHrW1aOdjdmAHCXLZH37OpXoVQ0
uw6ov0MYTiJ9Yt9BiFUoWh/traDPRxAUMjE9mZVs245BQi4ScSUjhvVLYd4M6dJO6qcz8VLIjArN
ryJyseuxvJ0m6R4L/J1WGsKVVdSickOKpDSRRGNfKCBEpqj93MwayxxsaZjI11WiXhL+dq/2beFH
HdLzoFsa0w0MlKD4OjXYbBAQrAMdMa/a0NAz1PHMTvFSZ0RCGr0mfBb6l3rIZ7+TmbI4o70K5W7w
yOtU1immLzwvkj7thrGUPGTDewUYvwZeXCjRfoaaCvfSQvYcMcZR+33TVw+R7DxJusUhlGlXKSE2
nQGmIMbS0iTzXdcM614o1UkJYCpX5VdVVuiGxdeOqMgdJbSoCvOdkk/3aSv2UtmTuE3wqCxNlqdq
GjRzMLPkIaWdq2Xptm65U2mR6bFjQdJXaaIZdJrOKkI8ZFtUD31HBhQxVV63MO/KhLlgjvhuZacp
ZP2RnBhTtj5HU3hRaCjdkcPIEIYZ7tkquXTaVojmHGQ4JzXan3i4mrpCIGiKfAOMllrEyPKd1jVe
2xpHUMLEWJaQiSPKMF0OPqUgB9JslFxdEO9ZjC+hWaYu/6ZXZg7zooWREqFZjjTpRW642jV9R4Je
SmGFVwEXrX2kVga4L7dirYrIJN1LA/NRNDfwk/WT2uVoj9VwoemT1jU3Ygt4fobVkemrrLd8m0zW
DeOEbp3x/J8Es3JL0ndS3d6jIdjKQr0f+k4haqKV/a5VFdptanJAmUkhxw1sFRnY1IM+kdxiTHQQ
wlKwmRRFPlWjRpqAuqSQpv3G0StatOFFnrawo2v1hc6bgcp9is+Wpg7kqenrySZcu2tJj5jizDOG
4tPUlmu1jx/LELKhA4cjJITLS4jnOOs6CJYx3/ywqX18eTRgTbLbwHxF7bXAYReV6w+Nv0obARlK
jnLO8rtU/2IY/oezinf30+UlHDKVMfywR4JdeteXmxBntbRC9HPafhLp5VTdFs7h3zPq7Yxa4l/+
/oxCD9i9/I/70nx6+VXA9fLHf5xVbwHX3AA1lMr/1fx9P6vk/yChlh0MVSo5gD86roz/KPTe0M2Y
zh8O2D+7c7j6TawKGl51wHz/yIX/vjfHtZTngjwei0OTTeT9sClSpKGbcv0U5c9zexrHpx++ll88
5bqyNEH+bPUbXHwtun6LpgZ6KsDAd90/EbR6FxijOInZWBFu8nWq9FMWJNe4Cr9yAmA8aGI/14lA
VKRipzK2aeqEag27pimZ5Ya766awmq3UyreJiNYYCb9IKGoYqR8IgSAREZuAO0fZWekVIz1ofVcD
P8pbpLFLJmvIl+gZUZ1P3HKnuXUH2diN7FlfBzpyGke0CTU8tnydVK0vqFWwTKEZXOktzvxGDqXH
JOOO6aT6ZxEhYkAeEXrcwuo9tqy3vL+zVVnSKrObR0SN4IzVJdVM14fLZMTTrqllt1aAnrlTU+w5
YJ5JBDowYsNzmk+HIezrbVaU26LoZlyx9W1gZBttjhkQYaoBhPAsyXTFFH38mqfSuRvxBLVk2q6F
bvth1d1YSU7/tNpptfOcytK2qMRFB0wMV9x0NaboAmZsQeHc+MiyL2rLegkUTDokWiPkkXyRxi8d
nT23tXQXY8sW8/5ZmvnzYqCuV5/aNLxwhIVT1TjoRW34jdofM8j1Jud4U2HNm2qgXrpznxATTChv
dtkEnC3tHO27WH6qahCLk5Rc6JJ+i1oFffiMPUib9ZtYK0ovasdoJex4N4Fu4vYOpylIaHvWi1HE
TJ+Fjq1Objx+C7TjRdevyTy5gC/iOXr/oJeaB3n2ZLaQlrr5nMb6dZQHpJQF+cbS+yOGlV05Dfid
k4eop9DKnWGLHueApOjGVErkrkn2oBbtvRJYzDfFumzMC3s21tLYPCPAR8rfORtJa59KPjxJ2CO3
kvkLDZIV91GPy7evpeOBeDTaoDUyEn3iQtox98d4GLihaT2zCsjcTp7CYKHdU46tJSF4bOqvU5ls
be6AulY9i0Z+kiT5piXJGAVJ4lMberKRfZrT4CrNiRikODgAlU43SkjGsi5Zt9HseMTfRPQmuPbI
ef7JUZDJSujmkfVaBuYbaHFxbM6+VCm9b5g3iaM/iqpFFaA2iGerZfUkw42sJHtJEP6r1gwujZp2
N9a069HGEyYmwEsE8S0ND61dORkVkgq8cjW05insVHMVG+a9DFISxlxgf2oconki+OTE+lYmk/K8
6Snq8kmCBY6WIT6NTYzRmMGjT+4ODeC0Cr1GSonpIaTCJxyuwdEtyatu5iZedEF6XdomyXC5kPeV
iV0+mlR0ys2+I+Wm0qt2VwhAemjS6PqqdbuFSZOswlgcMG6QsZxWKDYwFQTj7KzmEYMRY+NqVXZ1
iSw/zs5WJmepl0nt1dzziYOg+mzM030TaC9WWm/Z345JpOSeo0iSP2XSISAkaYlSMkjLM0avo/6+
oWLG6aZYQfYg0uJ66IElkwCCYINxqpp5TaLjjVSEX1bF3qotNkSFN20NV4UAmkfjmqKNVHkAahn8
ZlyGXjV3B+r7TWQQ953JDykpThp8xsEh/q4YU6YmgUGrpfMGOzD3Soe+JdBj61M1ELtDf7BFG0Fd
fZsqOQVvrG002l+ehuvUi+w5hZsYN8fZTk+aWsFHb6+U2sSKDzJrzOm/z4Phs+XtVCUQq1Azm102
9XemVN3CTvEELYzMbxvUaBMePrh3ZHkNslk+FwsmjyB0ZucwSibBbIOXY9JeUZCUwNMnb0otYFpJ
1G8KPZ82bP3RQ1DzCqrIbotco0/D6Xkh6NxfZEl4KpBMeJml2TsU13hfS+sWUyHTcD1ZcjJUmHST
HgRrI61vzWC6tQtjfpyDIka5V7ZrQ4SKaw3jusMUD56+LzYIGwl35w/dpjfEYxMzTBjtKZ49sI4R
p1LUbXWirVwcQmvNzht/yssns692xUCUkzXROynP8mRdpPV0J0fJqoet7JZVdCcy9dYWtYMmcOwJ
hU4avwwyInoB6ruVLD9p+KB9bdTrR2FWil+VVLdpxINuxYKrTqA9qkuaYqAa49oWaKITIU+r3x/P
7yrERWtimwqlhmORiUyyzc9FqJrnjAHDpDh1SwLMyPzdHK6Gpv1A30XL/Mci4G0CzetwYTeWsftf
i4DOmoEgRMUpR5ZGY/qOXemSC8Ez22UDm9HhB5iybT9WXA7SbatGjMhUuDjFnp3qYASIC530ipbn
tVnLKy0SnnCwVobBK5dZhEIsAX1GiCqHDBO+13W/KGB++c7hH1vLNR5727sa2shFGXdOWpwGBn7h
dCsniDTKb1X03w7o3yxrfxZJfD8OqHrNYUrLNwSs6d3v0IoUAmiKHbXi9oPoR99p+MZcOYCph4kN
VLrUP2IfLa8KdIQTOeiDPehuOVVsVBqwniQHsjaLK2zfzk3BqSTK/iTJwEh1cpE9g0aoa5ThKcY+
PQYG37nKujFzbqSTY8zXhpK9pF1GmmoYb+aBDnSroP7lWokuRfss4UhYEhs8diUwy7gmvLLWNgnp
uaT2VpQ2kYl8UH3FYv4yWgt4mdvtaGXHabZQnFmTtJWVITkyKMPHOgp8YwpKtcghy1eJw/tAKPlt
PRicH0p4MPKKbrBZdVtTQSBTcsQpmHinhLzWSlbPzJxRZM6wRhUtOwTyi9DXAoA5++KTLYE+sgZl
OyX6U6Y10aqoCtRl9OE1fICzTukxssx8CJylP0r5tumQqeXKeCHk/iWN1ejzhAtXNkk5s7LoqJYz
3MW2XiN/o+2vjte5aWaofxUX2dq4x9H+jaD8t48D8Xnv1wvPAwtymS5CQkDx/vO6ZDRcolY1iPFQ
1BfNaYltq/rsZHJZBgwbPYctHXWa8Z5ijj7klsZlRz3yrXBBjtB3MvA8dtLsDrN6NEr7UdOLaN3m
Rr0WqJl3uYFqLQRf6vZ2b6NP1fOtyqHuD4CUfDLhqEfYiOS8LLzYqG+IzYEsE7Ulp4Fo3a6ql14W
xIT5c1OaL45qMDtWSstrcvXOVCdqZ/I1NMC6ZtnWXmNIaNMH8zGxTehT6hfTGhcWKdsAvnuzGG8D
JzlY2PzrUrshu5knpHLFpN4YPfHFSXQDKOU6t5yNOXWPtEt0sm4BWkPKoRYk/KkVuPHsxdKooTYm
d4STw5ReJJ4Jr3K0J0WTHpWor/26m7VVZMnrfpZGVxrLlaI3GxlRgQOnhA4CKtve11M0VbY97C36
NANJ7RzzSG+z7lZbbDL2iANvetEGfNxIDArLXBE3TWxk4UP6OZcwia3CXA+l7kdWTHhwQcPIia/S
Skp3kz0TGzytzCwg05KCpjRD7iUsxl5yrhASf40tKQB/RXaeSNbwWFIP6pivhp2nKObBbJHma/QR
bbBUK0iR3rBUqKmIDpISrFJlQKjfuaEUXxqR7oYRbY1U2uec4jTNtraSAdVq19g1C2en676icGpm
wbDuON6LJq8AY9aJn5G0AphoPxPbbTl4rAYlXKbybLozfbyEJFJjsC8RPmzDAvHzUB8KG58YanTp
nFUDLZjMutBDEq3VpCaOixBxrYpJIZXh6lbDUWq5JWTAHzSijoTFiHG4NI2VhcJ+sE9wmU3ICeRK
Wv1DJUtIqeWjaSDkHQP9gBIabVYQBHuhkvHeGopCaAWS3KGf/Yq6YVtOZENNprWliUUsVsnkkJ4o
UrtG+eBo+2Clau80AGrkTIlTpeJEVLzbt8e8GL2xXwxz57Q5ou34pgP4273h52nyt5Pih51haWL/
2DZSo6jgdsHOUJavivWlH6+JBSnCRzI4Pzj4ljPn/ZmEI0hHIof3EL/1z680tB1DF7kfT7My4cON
x9aLA/XWaMNyF5USz9zY76sKfQVwW+VoL6AQMyEYZE6wJw/8ux5y8a+6bF/RXiZ5XBP3UlyeS9m6
ySjfuPXAm1ZvxrAd/YIIk7yLnwtopBJ4retQpD1BKFG3gbO7N2iFUlisJkUGnoVZt+g068FRnZtq
znw6KRdC63axpu5n3BlG5ZyHNNw3HNuWxBBPLVhMErJCMAiV8pBXDdFdwW6oUNVniGToC7/M8mR4
2RA+1aPTPKghAAW11cIPvtWf+y3ffr4fv9R3Xb/U1PFFBPZ4ssfnaP402Re//9U++vffHRyylFEj
o7NlQn9TJQwftbvfv8Bf6iFOph8+gPnu+cvNPJVTNZxOhnoZk2DC1yRHk/f7F1m+hb8+ekBkKUmV
JRj650dvtNohanU+Ben2ave5G3Jqkrt4tD74NdSfn/GlOQW8Dbk1Ry0jISrTn19oSuJiCOdKPVHG
fOZQ82+zdeBLq96NvQe3cB92ptcfPl3HXnQ/rl6y1fSJFd1utd3vP7D688ToL8v67Y3+0A12QEmC
FGMb6dbkznnyarwRG8gca2e1SNPWyobvea14jSu70coh23aln4rPv38Xxq/exQ8/7nv/Wxa0ma02
fO+P405dYXNYO5eWe27JMPY3D4Z3MP1845yi9bhFJL69DXxEC1v2PXfegFBpfVpnvuNLB7EtNu05
wl7ihv596YqT7JEWtHN25X7YNnf5+ub3b/2dyPCvC+tdBS2pbZxhceG5dMkNXLev1bq6VXxwkH7g
wwda4Xq6KDeXnw8rsSPNcvSSC0CUF8kJ4o0XrFD4fQm8+9+/q7+q6t+tlnenAzzqvrFM3lW0IynN
m7c48W4L7EGEVrqmG7iQjdxsY5/qrfpMI231+9f/9WL9cx29223YaqQJ7Np4kudyZQ3DfpbSUy/I
Gfj96yy7yu/W67tdx45tre/nbDpRU7v98Fket4P5adJQ63e0ota/f7Vf73HfP9X7jrKUs/kbdSJO
EaiJKbiuwqv/2wu8u/Npo52ZZs4FKjX2akIf0LH837/CBz+MtSzEH5a7lFd2YU0stBLifJ6uKxWB
h/3Br/LR9/Ruc2uVrE16K+lO4/KrMMZ1xsT7v32Odw+YKOdWEGo8nYZ+xJkCD3P05vzy9y/ywdNl
vRPQmUEoTTTnOA1GE4AXPM2sOzOA9SyCLpJBPfWoP3//kr/8fQz4x2BhNKh4717SxiEdVHEnTnr+
dSFIahFNvg8GgL/8eX54jXeLBohZK9WRPp5Q3NC/v8rzD7oKH73Auy1xTvORrIy6P8ls2jSjSSz8
4Gt6Ox9/t/DfPcdRzNAnyHiOuRu4tRde9Nv0yBXBu2i8aBWeIZl+4Jd4Rwj8Y6P/vvrfwvV+WDrg
EzRIqhFn1CON4YJdFXqxC7znRTnMu969RDrO/3CNVe4prn0ludfdajnVL5/qS+2CW3vkJqupc7eF
F20+enu/PMgX39Yfpcv7JyduBlkJWHTKeTnIJbfdZPquUDw33ej+Q+FeIMfef5U/cTlr7qY9U/cP
di912Z5+96O8+917qTWj2pmoJfzeJwlrdlXTdfaZf+2czIO2Ef6Tug7cgo7tutlUGzIXPtihP3oL
72NI8W9LOjmh3QnNlDvi8nKTL9DJfGsvXsdttcoP1gbY4dfwSfPGTXpGQ/X6+xX8dvH6zbfwPoUg
RcChtwWPZrMe1wC83Xip6napd9vviMqOl6Ll1OXuA55QP19XG+tSuI0vVtEObeXzR5ant4vZX97P
n8v9vdHHlhxmQwVbSr3SN+bGzPxxPa/nQ7xX3M/hLliTPLyrtjT1DqNn3a1sqoNi1W3S9U3sL0XC
f4uDfxXly5r83uL1XxjUv4Iw7KbTS/76v//viLf081/lZcsf/TCyXxJ0HQwwBt23pUz+PrInistg
Vr7MtP8bi/dfQw0ANLq4zPgNPDWLh/O7uuwNjYZeDemZI2Nz5tH4BySMRRXww/LmzoJUANm6o0Aa
llG7L8v/hw2wLmu9s6MkuqxFwrS2fsOMGdZZgV/FPC98Y5ARObcAyYg3kR2YCgupbMIL2KztN4LZ
8EYzg768hdmlBS+4yBPu7GDjpT2SA/LylCiZSO/Foxde6mkR50D09QhFskIHFLvcbMwZc5XWCRZq
VmExveon0+w8GC+OPdHOFxarvonraGvRNERgmxjkJo3QGbZ12DgJLNQWs2Q9ZM051Bcmp9CmwVqF
tlwC+rJNX547Ib0ayHG+Hb3/PvoqBdjfP/qnl+rlF08+f/PHkw8eeIFgQHqxlrzbZV///uST/oDw
BJcLgSjfNJd/WMns/7BS0I9YwIEXORN/9YdYBf+ZAQiLqQ86E9ry/wj9B4b4/bNvWWi0dAZVDsMS
9FM/P/tN3ea6gXP0XFWkGShqxyHqIIivjOlOSepNsKTRD0rtB5X4JIvgOTYZEgAGx30VZH6dSncO
bWCC5I7GTCKc0eVL/mLnymF8NuNsPQX2JW4iLEc856t6kDfp6BwHzTiUebmxQ2crEvVMHC0mASiC
XhMybyYxgq41tG6Ej6+SWQDGcyCq93p4tEw8uhLIOdeujdWkYnWoJXlDj3InY2vzSOW5tyrtslWz
s+F0sSuagoae1mf3qTkxrU4ZexjOFePPm3BIPVIxbH8yEnQnWclYtdNfhzJMMJaJCs0SrzMZ/WaW
mpAhcYgLQtnmUiqvwQ82PkGT0arDEYUHJawYd4TpSq3I1BBMpHwULV6cGWunzj6FjOyXWE636tsN
MNSYCyuogpEQy7UlQysZ0m1TFJBTO2YztKcbPVN2MFj2mpzFF4pkXATFRApDQwhGkFqHIYVb4Qzm
Ta3EJvK7pvOkoudTOI1+5rrFPFXQSJwd7Butke0w59BR1TwNVQwCn+C5De3bRLKNXSxpW30KXpHX
ESCnjx6yptxvDaaqaglSWNL1bRkxMCSEQ76dbMD31mjs8qIYfT2sMDdk25HYAS8yUsSGoL68Mm6D
nTn0jPNlEDb0zdZx0YrVHMUTxFw4iEaYfm6UAmJwrfQekxX12qnpgc9GiizRjjeM2iJf6hQmC2/s
6WzBUJOvVuzMBU3NnkZfm3TBXQW3elwA1j2WJddUrWTTlUZWbxv6qsGNPdiEAJvRl1Aqodniu7mY
qyhmLtfsmjq8bWV2dblTt7pUdV7emas2EsaqJ/fO7otyX9jNEcj913Ik20+fh7089o9VO1mgFuN7
odaJG2uOhheoeuxbWybyZD6IYjzkuax7jZ1czZ3d052ALjwYx2K2WRLSfTcozCMg5IBz412H+hn3
30bYytqIgeXTqysxTLabxFIPuAtLl0HB81wF515O75yR5JDcCHahWhubfupIlVfqGJ0/Q/k4KgBI
pMcoJFw1C6MV0QvHInO2nYFTc7CkL3EQ35XSxO1CoveWqPIXLa7u+9T2pRBqYmOrykvfGCtJkZ4A
/kbu0NlHbaw5qiYzvSJ47hmy4r6lW27N7X4yKjra+j6MZ91tS0waZakemXyA7a6zVWWZe21EbNTQ
cpbU6BrVi3DTeILte5tKK32y91UMMLnHGh5EcQMvWbqNewuYT5pd2UxvPLVsniqpu05AF3mFRKSA
EZSeqXW+NjD1iZOVJJnbuUU9hsi3Rl7dOh5tNzeLnCPM453FGIkT18OPsmuI0tr3FrjnNJ+fHZO8
wY6wAEKU4cRBYJCwwdKpP4hh3jlV/Ek1FlqHoqC3HXA5xMlNlxmfnCaqfTEyIStqfF1SV3hKHrCI
mVaRe9etEHdRDDtzNm7aAo3Tt/yxf09clVv335+4x/JXtMjlb/44cRckpKZaTEhV7AfUVn+euChH
TfiRsg47jVPX4DD888S1Fsc3VSg71TdY2x8n7pKCAk2A4xEGL3/2j7BrLP33Jy6BTzoxraqOxF5W
33eq2hmtuTAEKi+tmA+EXMjcrks7qnW8c+Q3zO4cMIVjqeDQ9u0usMrjJOfsnnirMUB3hpwdbRHL
eeequI/RTuLtlXQUDWQnOqsQrlWBFnAwspGVm4jwYRC5VPmzHBJxCi5Scqpdqzd4sJzeMMcrwSbj
WpFUhmvLIBRQjMUDanskTbq27QoL31nbd1jt5N5tYojVIpTadSBQjxbqsSlMeGY5XeFJvkYTTuK7
gm6sDKo9Cpx9UQcHZRjvaZsu+oUycKsq34hql+UhZ2sIkzc2k9hLLbCR2WgNbmwjvRfBTBd8JHre
ci4VGa9XhnZTEi1jbvjjbIfkOA25fdEU0xd17EY/Fv1jNxoo7MOMPCjZ8DGBXLZlMa0Hs4eVg6Ha
w/bUeZo1j37acWEEzUKgh0FKDJTRFbCsyQf5VDMw7b9I+rjPpBipXhM0oCuVL+NI6qXAWA1GDgcf
yZckMmFEI8V+oeVDlGMfrocD4hPh9XGvYhHXbiRdXteWoEGQBl5Olj3kn6Da6RHjzVEvT4laXtf1
gGer2iMq9CIi8lARcMG2CPUQ2Sd9qoB5MkXvNNnts5RAbELlCXK60IMcuahtuuDS4LZ3I371rEzX
Nn77taSRM4rpdZ1mC8gJsJkShg+iADuTYvjcaBNyMMkML7lAIGhzmIbX3UUv+sSt5eYhRNnrzvRr
p0m56cJxRYxKD5BMwSGYXIdFf4gNzU+RVrkmJ+EqMKYMja4UbJs0iDx5dC5lhtQru9Zey0xpt0pF
gLdRlCdDId4qIkWy0NI7zOD3eVIj8KrPUlRVnuUA89UzbjN2lgDUzO8HiwINEoCQtSe5QmJiJRx6
Q3YzpgYM0RpQQBDhibPhQE00aHnQ1Yg5KkpozZmBOQ/DQ8EN1E/U7mEMhntFb2/1Fq0G8OhNETnn
pDVIybTR6nafRgula0tIoSeslKiwFP+greRoL8RNkGDoKcGDwu8Ld2Grh9u6q6+FSfKrHT6TGoOH
MiYeA0fkojXUFU+XxV0fyya+D8h7pRldSFJ5IVvOC5UAhUdYM5ArlRuGjGu8sLdVKyOMLS8HOV7E
1toNTmjbtwlp5qYnncJIP8ZWJXlailouzh6QBxUbYhxe8nAetwQ+bEXf0P2MbIeDMi18Lcc+2XXF
UwI0gO8HB2k2zvbekScbaZC8CeW5WeKG1vlg8ZCqmEtgU5pIxQeiiKazouivDWmHbtnUp8qy7koi
Dy5wHBESrYyvaexcJ6gjXZOYOWQdI5CHefo69KSS9T2sM9yMugeB0qaLuMDcLNRTQYYTOEh5dEBw
EGsglTwA8eTVU2l4OsbTNBxfzKijXWMuRbHpHIVRHxVJf027Eb/VSAnJ+c4D1VlrWClfm4ECpIy3
01w+FVaINzmqd5aG+KEalb3c1P3ahvPqq8K81kdV34WQuBmss5UoanJUgL6RsbOZumRvOepV0pAp
lyW7qKtvgqj+ika89YuhOUxlcF6kmhUNA1ebkBXLUWiCRGTfa+KSlZuReleKYZOk5UNRdpNnDQ5r
FuuMEUD6HwDgeXE/3DttJ4BTA/Pui4p/PE6fRq3TWI4jAUvU7qCtqfBHFRTgFD2ow+vQQBImeIXR
26TvIzN/Gie+UcURN9nQqaD4yvu30AGtxTimG69RyO0ITajszpqxk9vyMzyR57mRiWLjYagK87Zq
+MGgB5FinXUtW0SBNzy3LvsEw44WKGTADRJUzP6E5OiajwoBMDrPhDysifgGpNRLqjtn1sHCBOJH
trwj8SrGo4amRx+MG7UKHiML+lqTxa/50A5IaQdc58NcLGmud8iOZg/1Esqqb5lab8XBv1WSTlnx
91XSTfTSdr/oTCx/9UedpJI8oODystUl0fKN5PC9M4HlE+Ek2UXUSguy4Xud9NZ5Q7lCO95GZ0K7
7HtnQpf/QxQcGtu3+mnRXf6Tppzxrt381pWz+FcUkDqUc5RfP3cmaNPJWkUsLd0DK8GHj0xO0Yf7
3jK5SdXSuYpkKK24OtJMHemOUb5TTSDRB0LQjzYy1viIJPCWXlvmYVfnENGIkmzDmWpL29qZWJtd
sMo50YaB/3KrdwdsKahinlqj83Czo7DCSNGO9Qth0sepE69WEq0GR1t1Et6ASamO9ah/NnV20cmJ
0TSWqSfFudgmVbNtHGffJiHeUmM9q1xRkE66CgxSUy3vrKE/DSqq26nR4000qy9ZI69BEj1Gcm+s
rSAQXoXDZtMgIMVhh7lcN9sLY8SsYVNadaq0dbRklUbJDaSIyhth9K36arwqFB1Wjl1R9Sy2dN7c
nuYrwnV7wLFQKIUr5dbZ0bIvtDerzaQifIxDuiLSFNxSPnzNKvyMcsGyL9rkmMLW9OMQWG/RVxmx
OpbhEQE+IaizV6k0XURGV/jhkN111I4XhK/5glTKiOuRW9jOBRBx/ItGdyQF5raOxIYy5SpGxg6k
TprcKR828mx/VSTskpJaXI0RVg/ddp6SRLmmaJTcOkAHKTIt9yZTu53z+In0Kp/gbY1SEXSkFscH
XXH2SS1/hR1hbnHnwJeNxbSKWhNFa6BdiS56iBLef8gNFhr6sulU+laYWCGrQtNX1NevZZLuUNH5
Q8hNP0blz+4KvDbmdeSxZTAOp7Esokdi4K7HhkZJSbICW6vYhCGD87qAi9Ah/vWHhL/LtI6kyzzV
N8TOnaHfPhhKwO/ecvklag5nSfWkiPiAk/jQxA5w21CxQRYh4tVVZKcOGGPqRQ07fQcoVCtPlCoH
dJvWDk8F9qM2PslJ+VQndbyuswV9EENE1QvPHHijKPeQ4GT9tlbkS1UlkN0Y8m2qBPsmFLu2qO6E
1G/KtjhGZbkmJA/QALF1Xtj2zko3hyVlFZuBLfePpOq9tr1KiTRuhriiRi7qDKPsotPnU03WZVkP
wFed/sZOs3UnX9QMgvpjIMXrSXbwCRVnxSgu1R4ThjGfJWE6fj/1GzXrtDfDrCij2VdnHA1mQmae
lMeBZ0pR4HI94ivnH0WhBwrTxCAx6ALRjNx/JaQj9cdcw/NRLUsVT+aYcD6V9lcrGQUOgTrxFt7U
RimMXaRgNZoDPW9clcrXtQsH1xE3rhUw1sBDTjmQ2WRrpMPDQxgj4CtBmqzzXv8ijA41dJR+KbX+
EQz/59kaEjSnyKJDbbgkRgRfa2xSXXVmxyxd7bHHiUJt9mqYdXv2nhpeS2Xhea3JoS/ybmcUeWKu
NYHx5o6ODnElEReyjaDWZy3VBQZyayTaxH6LObELLiPcv+gYb3XIWPinNGOOT1KRT+LmW4TK4DSS
thejQA9kFFn02My62p/TrtqWISbgKoGTXOqpvo5jI6TEn1+UJrxuA9LLAF9f6Hoh1o3UjBtbMveG
NcY+91gdM4r5uS7LFra1SdMp0R9TycTo0nNPUOTZvNBKHua0sEmm1HVGsUb5XAX6S5Q0qt/9f/bO
bLltJNuiv3J/AA4kZryS4EyKmiXrBWHZMuZ5SABff1e62tWu6uqOqPd662hbJZkiEyf32XsvjyQd
wZjvVEMQsokrfcUW01jp+oh/uSdqOGfTZWb8mRIfV0CtXayyvdPC4VR41duYyO+LRhptYqbuBC3A
UW3n686cjjGmRJr+VlwDvyQZNVcgUFY9VeEb+vTwWfXEr4z0Juz8s5bOn/PY+L4Inf9KZH/PxuKZ
fv1AW47GPKWBZbeAzdr7bFK1J/RQUOI45ac8di96lpOnmqovmNoOsWm2dAXhmaA/mkWLUdw4bkZq
z/ajja5pd1RaQU9z7QWmwHDB/3jy7Slc8yrU9ESC3+oqvd+Z1sjZTicINmCXLhzuTWWoPfZZsNjR
i9F2mHOJIAWxRoTEy3zJN28H1EB/by7kBJZJVffQU8A1daquxVRLJk55rr2egIdHXDwS7jWR5WXI
XRq8EA39MlEok3009F8cX84bQDIPc641G4AM+Sb0eYDY6fAUDkMXDLJ8qfLqmGrcf9xheSVzQ0h0
cCzeAwuVOLqhrduq/+h8/4kDeqvX+TkrYiVHmHsMEk+U8uy0xJ3WSH2HRpq3o1ff+3b1nvCg416r
31h6fyIdEq7H0gp34SJaGljaQwSYh1NXRivD9ik4yLKDb884XaNyzT272XV2IteJ1RFKHOhHcLel
0T+Dlt7XGQ1M1mDwBhysaZPpdNvpwmtImYZsxiP+1B3TKnDIs5eaJnaOEXuHnhd03RF0RYNJV57b
H7kft9TK+Ee3m54Ikeob8oSXjCNrq1FYvdOkOOWl76xZrMGb4ZN2ioRx6whkUq2rmxUN8MVhMeiZ
wk8NMNBswnXqmjjDk1vKwZ81HZlFKz2k9iTkgLPlfikMPhK2d2u02K3pry1w+U9fyyp6wZZ17Ur3
KyELMEr6tu6c1yqLCNXXDnpAcgiL+lWvvL1ptQ/SM07Y9dcm7dZrPY9PRiu/REW+G1zjw4fQzBLi
jkoW2rF6/aG01CEO4oyzPl7/M3b/FmJnCv0fY/ePEPu6HZb/XApafOUvozf4T7ighNFZAPospH8f
vSliYeSFgsyM/QcemOkyXzN1sxP/bSHOVP5TonQ+0XNqc4nms0Ng/O9JlCil/yFR6qTUaFSBJ++q
H+WPo7dPkTaFiKBoyymptoj+LQnl3AhyhMGkNb2NkbZi1WFsBSTjUrFo94fGFt/HCpmiKgp5lOrJ
XsQcYL0+7KOKpyyvR2C2lcnznBjGwLGTuum7DFtugyMx5bEsWGn3Y7lxC9tjxTf7t2TMn+wWnYRD
ZKYcZTlj8XuKIuiZevISpuZjUSTl1RWhtq4mIRmBaE/UJ5Eci5zoo8U+LgN56KEarKbB+BBaS80+
9Y6PZePvAbGe0nqat/pUbrRuum+EZHtR50xYzc3ISQDnamfrHVVkNhsdVzVzEPVq5+rS2Wzjo97c
ZbofU9nUfZ0T8sRVFI0bl06ntZmEO/rUHix/3saTRQujxX2lbZPDmLtvQnWryElitWsCw1vwq0xc
p4ep2MdVIoKJ/EmQt5h/7eU+jMS8tzXBSzMk4ylPGO0KO7phO3H0PdqTGJo2S699S9PcXyUN4XG0
kJ1cZAKyiuCvNpLwETH0tIHSxyGH2hOVZLCYC7hc0cXVm/dp7d5X3TfDq767/OcG3A38p2gzi0X3
JR5Ka92FLkKh2wcp0G3CJ6lYmdSCQhUqVnNu0cA+d3uv8u9nTtrbphDcjtJpoxM1I81cdQELbWO3
GMajRYaNda4feJr9VLPXPDZjukcCBk7RhDd6hy2CVd0WfMipq/pbGVZBn+twGsttBScnEHby4lud
RV6XptGQeuzAz5vtkriXuZlfjarYWuX4Zsm5PhTmeD92ZLfEIj/4zhN46/wDUqm4lhWXiEbM9ArQ
pxdm8cUHOHQezfZdtDT206ZgHJKodN5iLk0bZFyfnXMJE0xfCMXa2I3Tsb5BBHGPdVR1dxMkMTSa
mS0uL1Cjrei6/ObVnqQw2qS6zWW8nPYK2jPbVPCbYfvZtyRPrrncW1nNt2ChVA+skSTi1mDzEntR
uNOKeHky6wp0uTFL6uPdBxpfTr2YP/K4yQKR2fd5CC7DWUYe6RSixTSxQLrekI9YVK7tW7rU/qGv
3G+Ty4PL9JYusGGYB5Xo7ohs8xK3lzBDa3RbWR9BfqyB3HH5yqwNtyVVSuYNKzHNfMXEmhmX/0xo
KeS2GN4SPR4Cq+j16xgP7OUGILLhAo7dKPXNQu6PwYO7J2F5xNWjTA2gS9QgpPWixOO+PyNoUxwh
W/tD18PssdJpnMlHb9a4wcQs9f55Ov14OqmD+n8+nf4vSD6iv6Kt8YU/H07C+aR7uHT/ZS9RNZ4/
H06s1sh3qJp+SMQOTqnfdSHT/MQDiG2WS2s1KyufrdvPh5PxyWZRpLiJPEx+4Nv+hlnrr8qPFVDJ
U2UtpGJ53v3x4ZSAK2Ni682L8Bw2ukTTe5J8g2NnYNcLWdPROS5uC3FYr40pIN21PAwVwYq4jM4m
u64vWUzjU8/6W2/eUjcX4pbiSrwr6Uit3qobS/8KjZlxyRzy5ND0s/GIQqXZB9Hprbbyfa2/FqEZ
HrPZ0Qk1ZVkqHhKXrkHCUkveffXLyJGX1qzp7a6Zv0anzD9YPbEAKJMhZwvtDelOT9n2+42XjPd9
M/cHi9g8Wa8lzpZNqNqbF8ulq9BtYv1kqHbntmlgJJclnpN48kmBNm2/IcKenOx+ts5huNQDqe7Q
/zJ0aAWUFIS0lboWSyXqc4fb2LC/0Jr25mbR19Sh1RHzXbHmCvpR98WHA0SnB23ZWN9kn6whNa2N
JpKHctHtbc8E/CYpNl2Nhp4ka5lB1vB8iVUn6b0XoSU1k7YMv07cg/edWRoH0J3xWcsMJTq07o3b
DNNhqetmZykfApMu1RMZ2T7bq2nfZ6ZiGxnSCNHVgUPlL4CBkO1ncfIGn7h12HKy2/ZyyCxWQYCb
yGED7nWTpli1qFNo8V5KzTP9Ci7kndrzPzwr1nbeuOxzQc8rF/TdHErSE8QDVlHIkgTM46sVY+TL
5EKkGp4SGKFpNfR0T8StvMnMiU7IOJ7Wfm5PQUvQnKbG2rhi88keNGmb97SFlR+pbrUIX0n5wsqn
pVu5+VbyCPzNp/2PlK2U3/9+at0CTfnS/ec8rb7q55Gl+op9GPeWKxzCdH/i6+IgRcvWwY+hGDNq
/7SX6p9UgRSMXZfz6beW959HFlXGlCypKicBdlJZT//GkWX+MGf/26nMwUgZFKUk/BTY+jzT+lNo
CaxKiSd0FlebPU22p+UORJLXZJc0zNfW0t158fJCFzhFMX2+k5H/AlqoY35mZ4RviF4SaojpBW7p
Kt+YVXvnjBWtbDps52jtFNPBnLpgGcA+a58ZQI9htI296CpSP7pgxfLWJMD9wBULKJjOAXdG2Q7V
vCjYA+KvFXqfsbPmG8/UgIPI/vNSFXtJp2pg2uNtIntiR9TM8ef6aRnZF1HWd2E74MAIzp9LbYCu
1uofSd19Jx7/zQOcQSNiRpGPMT0U3iTX2WR9lrP2giZFZ/mi5DA0pHHxb0pnnk+ald07AhwNAsyy
mujpYS3MXwy777SOW/xF2hFHQXkJRYCpkSSrMGTEKOIW7HxlftWzVypeEXuXVaeTr5ft3gHfGIRu
3wbSlLPFY0KfCsrsoXsENa7YQ9uhz34RiUWKOZlaxu5yjFm3gXrFoNHQNwz8srcAwVJ1T6n0Dzis
4cHNUcBY0xhb2gUVRnaOZH8X/0DLLnl7NyrcLH2HzapWCFqjC1HjFZY2VoDaQqFqi4ZL/NJSqA/+
bGMpoC0CW7bphxgevMLdhgp86ygELu9Na5UqLG5KIj9WoFxfIXND1smXUGF0pT90xzga3d3UUpBf
Yvztgkahd7XYDHciG74bCsvbxM2wbhSqlyT/+wjsBcK6D5FJAX1Fg+syUZBfS3c+fIX9HRopaXrg
rUo/9SHXgQNXdprfeiaXKrheOIo1CoB9UVo7S4GFs7Gzd/hYPlip+DvsABicFYjYVUhiXjnMywpT
7KnkujGDLg51tanQ2YCWCmxMCgXGsVC440KBj+u5pPilS+DEqCKC3tPak0ToIhsPNNmP44TWF/jz
NU4OlhPEP8LO/s5CnNItuMssi82dcsZAaVZYZkLl8ar1POtdLzCYxCEGbKlAztQfO6umtkZEQMV5
JvfuIHHjvOAzFx1bDHJ7uWRlv4l/cKInhYzGOdOm33MsJjQACOOuUiIvF/Tu1IeL3p6I5lOvNT3m
mogCslZwUUw/21Z58zxrfrTWl5CmAurOsBvyDBy7z2hUL3ml+iZ4rm7igvbgsSDUmOquulGkz6Ks
blPKh95mfwF/FkfxeR48XAt1D9xmuKPIiw4BkF/rqqSH2B+cjzgf30A1bGXkxevJ177LtFcmjOSz
SXtYbuWvE2zuHfti9hVFqw4R/8JLQR2Q/73ic6qpzv++8B6ZF28bER9rumhWZVvdMJh9NRz/Zcy1
KRDtdNsvrXfw2nZPhO2hW/wneGHhRu+Z0Zqh3YzpnID0SeadaVDtTV8mht+iPElIAq0X30c6Lhw3
CqmpoBLlZKNP05StEOLGPqniY+aGV8+k5mAyKSXCEc8nhZ07UFhEtiQvEZb95D316O92sp4iNnNM
QOMNJo2VvnV0HJ9CG8ozMHnQ6NVRiVHoQ7lxzOa2ktqD03VqZZ8lx6gk0TQhsG2yWXr8SJRrz1rv
bOuJMymsZHRXCJ/pgY/L3Q8a9qKHIT3IfNO+RoBOw8TfcYVN7vOorQPP6IjJMODsupRtlGZP/q62
xLxZ0tjjo40QoofuvJuGOd2EXWIGiVtYQIFTPBit/Z3ijyXIrOWAN+FKr/YJYu7ZRijYmFI3dqbE
iGHqNXEXq0u2sWtzTUZ5DCy9qvaGM9mKQ7RK4nyBQZQYO8OcOOpTftq44FNrSO5XeWlGK+xmdNfU
nFJ6Qxm95Ip3Z9PipFpHo9XATmunpVjD04JVXRP1xHwLbBgcU/8Cdv0z6lj/M03wUOVf/srdqL7q
91FHMJqY9JK4NCfZGBL/fTsjasDhTJLSonWShfm/Rx3T4wrmY3zk3oSh5keH889Rx/vEUIQ5g4sW
t7e/WX4pPBWF+8Ooww2Qkh3KoA0br/WPvMEvWRrLK9IWGX6+en3U3ropq9JE1O5rlVvGcZYZuDmB
ZcfrR/2COBMSox1j5JxxeXZ92T/EepXvlkUkJ+4j4cbV+nZTEnnBR6bf5MrOO5oiPNu2394xnvP1
owdqa8BkTesO2orGznkyFu5xPVVjlBxlX5NQL3dpiVMYFxxWurqb3oo4jo5VEwMrBOUXIFTgW0Ly
ZB8/P/tGs45z88scFu5xwEKx7StNnkp8c1DvJX0kvR9irtavmTmQxU+ybO07DQ+VxN4jiamTnd7g
lZ4uaiWTph81Ne3WXV8WQbMsEfvJ+nM8ReFmCYHeZ/Uxxai/xviXHYzFp8+YgfI2EtGrns2Up5vt
1qrLO7uiqYusgbbrnWg5LtFgHuNYdze5mZ8ETUYHWHF+wI3F2mV5aW1G2BMUPo3eipUfRZUFRsKw
Gu+WFothnXf5Civ9wpHEvSbzKvY3/k1qMhKOM6+OBuPqPpG1icFaiGvXGVgoXFkfmrg7Dkb61tTu
tCog3DBIOOmG2irmkAbsJlfdeMOmpA1yFZUIyUyklgbIghDFRJqi+BGrUAGLUUUtJjIXWkb4otGj
CmETEYrc1BrU5INjuneFi/Mzm6adQYbDSGXvn3ErAqoh4UF64LYi8aFHHaAC9iE1WRCgODxKSIeE
KiYCxpdORhUd6Tp2yG5ZnDpSJbaKlzAMP4yo1GjZY6aoBdYK2/7VJZVSkk4ZSamkpFVqUiuxiq8s
KsjihM7tHKbbhYRLsST9yiHz4lvKTqZSMGxwa1IxAKLyACPCif5L/oTkTGG076aK0vhkanDC7uAS
PDUqbDOFNYZZFcDBu4tTvMlQS6nEdoavlkcrJ3UsbbwNq+nsy7LmU8EAcxZOw1ZwmNnU1X5oMt63
0zlyjOTwj1r2m1rGAfnf7533yfjRdsm3j7+4evKFP89jYX2y2JIYVOBj6lYZxV/EMg5pg+slnC5y
XL+Yza1PGDxpVXSIXaGM/ZEUhumKzQ+hMTryYOz8nZunz7f/w2nMee5w70SucxwuZQ5urV+TjbFR
jvY4mJi0q4ZP61nLtTnO2UToXcFe20qzqz8YZhYwqolhlchhYd0zs0Cf+8QmRqTn16FCxpbFpB1s
uzQvA1N/II2uPMGHKB5ms5RXekLrc5n01VekOHk0Cpk9WEK2J6tK/XLdT+4HDWKkiCwv3EJ5VWTI
pq/eYp1rFcsJ/JGIzgg6+S4zhAyWvLTfR9hU3zUzWe6NzkmGtR+XyM4zBXy654OkcppgMlKDdTQF
goBPstuiGMJHg4vf/VBrefygp3YWkRZ3RbMgPcVgYFoa4kzmVbeMDL4h/XQDtA9hCXjJTHuUkME5
GO/aVniS9BQob4RsZ9RvHKdON4WdNOmTli62As9krrueDD6FK9maODPtcW7ecG6y6x2LfsOeAwgu
Kldbz0evr2ljVrw0fWx9+zQqlBowYtYnhQKskXOFtaY1irs2J6Vp7mYBgJYSQHJkyO/3uNpGWugU
vq2C40bBLrM46NDlYqdNf6ArChkRwqXYziylF5MmUsuVl8LP51L7J+wpfpwIKpf830+Ex6FCiyr/
4kBQX/f7geB/Uq5KhjBD2L8ZJH+eCMhUeBkZ3UiZIJGrIoZ/x084BxjOBFcm/orBB/nngOZ+ovlA
GSAJn5DRBM3xN7Qo50+7XdbExPjY7jqCOCrHi5oSfz0SBPfWQmNHe13s+MigubJGLvsTTvGlTKst
gRD0hjC/WHWebRHOwAiIXVL313jQDnAxAl8aeAxJiZjiKLv6SzZYn6k5QmLuL9MizhFM4iUmVJdp
1byO3ehzN+d3mCGyjVMURNMcOkfQS1aYwOv1IiRpjTk3VnmG5OUVPeYTMz4NQ+WdS7O49eKMA6vy
8TATBCOb+u7gWcCZfBtjfkFhJ17op6+UCiqnmHMFGQXpb8AXSHNfcsXh982pKgykWLrWS+w6mK8z
ccBVcu57Ci7D4tGcp4/ZWi6d5b/T2PQoZ8D3aR7tKmc4OTbRimp0roQZjnkPqs+P7Se4vsFS9W8y
drbdiArUMn+tpO/dWn57Qha4pjK7SWW6rSkRZJHHJpZVA/usVnvxC1Ll1VKTmk3PcYsqt9RQceHq
HEqCi8jipDZixy+2Wuq/TW5xyyF+trBV3tTNnV6Z2yJLaMoWVzpot4M53c/wpbgt40AFAGKKmNip
9jpa4Qvuz60zUAftj5LRNC/eCR89MSQx1C0sF8SU3syctOz5QJmArw06+ELPjXVgl+v1iC5MZGbj
jjeR7m1DyfW8sKEJzsP4EHNf5X8n28TBNNk35fPAjxEy4K6zhDJIS1Y7O1GZIY9yU8xQzcjvIU01
OiF1Lw+q2cOtM5v3iYdnTYbfrIbe08RxHq3KuddITq25dp/9gszQYNPAGtc4VpI2vteIPtppb53t
CtvN1KSPXlh+9bB0lWFxh+3gGxCN58gnZ0iyS+JpzJx9HQpQFcDXGIGnaI1iuzUtteN2w3UOeWxb
J0Ow+MXeXrKdbtG7YnCzpgMbtxTmUGigdWA52OZ1t36tEOl8ge8ptnm1m5zgB1tSCUdDdNiA8TRo
mDVo3ZxppSK7fMER8NQs2T0xao9QSEq/aKJRoTF5XkApNPGmtjrp5BrOWEa3g9e9Jo57ti37nlBv
snYTNjWaWJZdUaYDfjFQK/5c8s40jbe6bB68kV+8LSOizMsNOe1v4aiRfxnte7/27gewkNLEzyDC
8OBmGjoRb3oC15Qzg3tfk8S1mP6zblVLxM60oRJbW+YvkbkgF3W0d+e8oqtea4/9SB9o5mzE7BKd
yIvkyjpwlyxGsZmzew1TYBxaGLaWL1o2f+lH5zGaxscsF4QlvVuK+rM1Xjprjb5MgCLRnqmOLlc9
1e/x0m/jeXToVm8odBYM8YONm63U5i/8Xuej1dmbqmZUzjzSPAZhEGPqALlpl0knKpJ4c7nhhvel
WsiB1D3UT6eY+XVRtolbi5mmrQbVxf5QqAxKo9IoIVceNWjz86isihx4B/L/fzdUjmW2FblAZVu8
XLtvBv2jU6kXyykSFuTuU00gplPJGLYIH3XNvYHITJdODkZmUjSlytM4AiiqStiERG2mEsBAodI3
6OklpkneTQPRHEtldCqV1okScjujSvDkRHlCbLn7inBP4yQI/hyNFrGfxhzg9RAEWvr42uGLXjGz
cDUjLCTTQuJZwXxBjIiL+GNN6T7Fxw9C5YyqH4mjyv0ScVMDQ3o0+McFUqWTbGJKmrOINTOJ0r4x
d7YqzQTx5fNIvKkl5kSBYLSPcg1EDQmoggNuZRGKqlU6qiUmNdCxG3gmBe1SZaiQVd8VXn3mlK8I
WXHQ7bDhFdTcd49s4p4z4lht45lUow4vlkpqCUOKQFfprUXluJIfiS4wtbhqSHnlwkS1Tx9Kx9yx
6ayCMBOfZYYr1CcpZv+IjKnwmFlTztMaz6NzJ7vjEr7K5GTF5l2Jmojp6TnViqeE+JmjcmgOgTRD
JdNqlVHTU+dDcNBvBPG1MXH4aKtEm4aYzX6QlFuu8m4JLa9It+euzukKNfauSsaR+9osROVK2znF
KjuXRMOL22Nc1YnVNf0Nox21mEOyilwKQFT4DvJUsjMg5K7tNnkRJPRyFdUj3yzINLUXX8X4RsCA
W0CN6WoRprnqVNzPJvcnyf+xpdfWncP2aCWqiMrvmVl/j2H/wyPsfJFljzjM0sF2X9IKo33bJzh4
+maZb0SsU8HY8Xt2ZyzzkddDhMcGzfl1DPvFvwq8Wld90ZZ92PXWYXTjm7yNPY9m6HneLdMECKn2
1PrASdliUzZqi4sB8ZzT6OiEvHU8i9UByf5Aay3zmdQaJ8RITa7VaXvSrjeW1UV7OO0f5qx/hHP0
ziNH9V5P+1nXgsJzAwPxwOz5GbmwVwEEPNbLIPfsKN4ZOqN/HyJbsmt/hSIyMjFDfZAoD42gV9kw
lq0zaiyyyZ9HvNj1O8Z0YYX3GEL3mkbLWdLCu6ox6CZDIdY4fZ94+XmKi/yjntLjSLp2WzfTXds5
u9TrMMyYLpDNSc9QiXSYfjmRVtHI17In3z7lD7Y1B05uPxV+czs3KcrAkh2k5WypwccDKyCCVNNW
9PWjW1lfOVxvey706zzmLZA4zT3utC0HHNqrxdXeFx2WfwMVexH70kFJ8tPi6vrtDMoiHjaJn82b
dup5P8go5wq3sN9wOhItbF5gAnSrpDK+LB1p4FxKVuXgjPFM3DDkvrZtfaZM3F1XhbYRdFHTPfyZ
RwtlC8Z924wnPrl7l8IQnHfxU710yuGeX6TgUZuJcxL2pzCvXuxavMowUysF96Uzpks1YeySic8W
RVP5Yjt6LmacBELLD0tybK32MkXRlqbqLIBXdRfbWBaA0jyxMbssE6uaMnnPLeCbGRe9zpzPRHmG
PaJcvykn51II2KlOwUGoxTvdTpygsa19VhlnqS+noTXNdWSjmDiL85LKorg1Q30JInZHK01iSGdL
tKzGgTIR6nTBrRUl/IDOJfK4tPvOMqqg1dN3VzLDeNNw69adufNbtq10y3XnooGx0JjylKeEoiuM
WVkeaju/kCkzZ9jz4bJzkAyPTq8dHWT8HTTtg8+0paggJoL+MvrOv6r1/lHLzf95HYMY9X+rD6Uq
/IVC88uFjFsX8gc3FQp4lBDDhef3C5mggQfk0y+mpZ8XMueTYhVDcvppAPj9Puao+52qo3IEzlhV
IvA37mN04/5JorHpcsdthd0KkjuWgz/V23UDrhaqN7Qb1y5SBtHDqJIMZe5ANxR9tc3cGVCTZa7T
uLjTsRiQLOf6IJvsRc59FcDFPSwtj+CaLfGayxVHn5zDoGk8GSRd945081yl01utNxeeDwdg4d4Z
V1K7AWSwCmvzicqYXSFI8Ed9fo+mQrt4Y36FDL4eXcAlCofgA+lbgUOxMTy2L/rkfp+YTbaprB8K
I31yRQFaOEN1HzTAoJx/r9ZQDwHSf1BkTEVpVJOlrrRtyUVjxTm3k5mGhYf0yaobimNMpIbASVgh
lUpsDEE4WW91PmrzHXtvb9zmuHvxalZdXz0OtGjXuIYJugU+aR047P62FnR3jN1cbAwddmFDV+oI
b4lbaHo7pLQT+kjKRcWwO+jpt95FkgL2tgoTz16Z/U0+PhkdbfWQpP01K3WAP3P14E6wlURhvKU5
1ixqrI3NPIlx3VUjum7XHRu9fG8Msi4gI0m3bKitF2zSCsu4a7IIogD7uAB6+aMOPShzcUp0U6YH
cIlfS6t6Zv3MHXaZqjPn3rzWXH9TupiVInAoeXXTiW5XoPzmvnuc7PAVpZFDNTPnQ8VDF0uufhAD
wa+Yf/eGGcGAZ1uhj+XoP/w8L17UJ8dRWaIJQcuVp2zSoTSLa+jpj7mXg5OuObN8bNBWkfRwcWWT
PGcd4+umpbGVKV96l8WY7/QOy7Hu0GwPTcjbtLX+EI3zXdi0BOBa89pE/labDJiNzp2duocwX3bZ
CLBQx2c69tFj7xXXySfyNRk8vvRxbRX85hH94tQeDlaRvthuxWMx3knpPdNbwD277fbTED0Cmzi3
Mnloi+E16cVeTBjC0b/qtUNhC9BIczdxu93qgnl7cuczM51+4leeki1LP1IWzWPLz6bNkb0hJWnv
HQOO4cLee7HfYGdCxobr2Q/5ZYnCe5gO9WG2e8yCGjytQb6XGg/V7rEdaMX3G/8uitOgZqlb1sux
dcSz7qcST3S665J2T/yf9Q8GmaTL3ooB+IfmsjvuZ4KKTR3EdUT3EKM271D5xQ9FtdELFE9nASI+
XmPdezEMeao6DWfuhKPAfjdrnea2MH1YovgqhfXStKC2bPGcN7rY6Ma8bcqMASLTbkLd36VFCQoS
K0Dsl+8jgTf2xOHZj2a5ogTrlOf8NdKSsh96hMvi4EXDeezLE39z2UyTaQLztnvuWDI3toIWQB6m
BM3uYx3FGpJK9DlNjE1JXIgrgv590bp9loyfO19upT9u6Ifapab31nvlpRgoqoAcEED+XuMx37dR
/Tq7yv9RgA1jMjp7xnDviYbK+QludNuar8nQHmTXAo4aQ5K61p2ZRgc2l3cGC/71vIwXe8QxPdnl
LiyxHPhtvYfQsSML+pIa2TnSuye3rHXq8fT7PiYJWueXmL15pg8vWWE9tAm/i6Iev1oFHzW9vdDU
cZ3yYjhEMyI4MK19bjSnxjfueZMcq4ELSNz21y6ki8rlujfQNFIYTQCxOt+OnX5b5fIEePKksYdn
YNIO1oxu1lrbvm0OxSL3cgSDvmRn8EO7Pl/u+hHGqVs0wPLa01TzlvUIPxRd/sSq8i1Dt7Ia+9C3
1kdnsVSrnIMw4+exSx5sr3tkHZFj9AgR62Kajbz3DFadKHBQLkV1CA1aCvryWC4GnzAhyXdmJ/Jq
b1NuPviqRYUVE/eFRl+n3NytMdmWdX21gY0mrvf9n+XRD6nY+p/Lo99oluv8r1mWv6yPCOETChQM
EzZeZuaKX4YTgz9iKGBRiE9R6b6/q8XuJ1yJjkkk7DfHIzPDT7WYJBBGSINYkY7Gqyzaf2M6ITr0
5+nEUyOFjgfSJnRkqR/iV7XYFZHgTmpXV8MjnEt0G3e1nGfOCaKSxhQJ6DPZNueJVBYlGxW/jD8X
PK0K3lUeb3ZyhDfu0BxoqrwuGnYgsGRoSW51ztWjL03a55lnoefXRI27eV55Wr8ZeV46bUgpYA9m
6MdjtErdu4kLE5G7Ja31Te45OmKDLXWu6voNvXIjHzBr3MVhjBRtE68r9R4dVMCmS5mXRDQHwotY
uFc88GimIfsti0CDszvNioQ0Y0py8AUFsSoTGkf9aRQ9VTPzRhqgT3rfAhuj4ziiLeirw79zXSsZ
t/FDwLdjTkHbJPEllulXP/G9zRzSBTIgRSLkxIeFlOMhr1PS5MW0qUqW1Mi4+cm2NXmm75M5ZCxA
arTpE4bmbKXlJHNABl8rzEe2ck7JhdPEGR7bpMGqlTVP9D5da/JKK55oZ2tKmi1Jw4F5rhyCUoOu
Iy29WXNZ5HHbDJe6JqSczVW+Bca3QzY/2qVB88547+NXAq6S2kxeYu+aFNrNWfJtFOYlKpcbhD1E
KpdqvSFtX/OeCWJARsuS+jzEHuK7TgAHzgJ6IW7pKgvBVFapCQ0+RdkxnEPaO3dZOBPQpv2DkHe0
aazC20qt+toY3G4Nvbsx6C6wGm1HfozevOQq8uFkmtzjaBxGNuY9Ew7dbZM4/Yool1jrqCIbS2E7
S9qv0mHXNObFteNs2/vArAkTVbjOoQfV2q5NtdtsqrrLQlKA3x4Fc4Pn3BuOcfHhf23amaZ1q7BA
CmW0wZioh6vc6jssEbrLzTncdFH3ONG5tx3T8hJZ4dvcjPM217xd1JlOYPf6s9UQJUAnDwQbkrnp
HRhS0R12wrOYQE1F003T+d9aRzIPk0UiseQcoiZBIXbscz901wSsk3ZXVW6+fMwT9Gu3UITU+hnD
ZoMBlro96vUuJVyzY9r7n6uMh5vdki2ayQHg5liiLTkl5hJ59Htt2+rGqcrjm6SqjlOKkFChQJTQ
IAkYDf/P3nnttrFt6fpVFvq+jMqhgW6gmUQqW8GSfFOgJLpyzvX055sKy5JFu/c61AUb2NoXG1iy
iuTkTOMff4Ag1nQr0zV+jKbUgMl3mn4QNEQDwaJrx0vVHE+8osQOhtC+hRcYGIlpJq+rH+QxV3dc
/0RQJ6xI7bw07io4jsRIOtepo3DqEhOj4iiV1Maq8zUk2+N5M6pLFzU3kGrzlc2O7Kp6pmKsN8Fg
i9lXuOdaVR9jL5Jx8aiP8O64QOs4BRW6HPMeL4ISIp/fB+FELXHa0xNcjxxPQa0/xMFCw0qemDXc
mMiVBfnxbQyaoFxKDTMnzZWQUkqF2oGRPiZAt5ae/shK+TGxAaP1LP42ogwxCOamlZDroDyc8bKQ
f0HTubeFIAySxglQPduELJ8nQjTWCPkY1LuNJgRlMsqyRkjMErO/gG9MdCzqM5JQF4Uu3w6o0mzU
aY6QqSVCsGbrSNe4296kQswWoWrL7eGgReUm5+W5g+pN5oIP6tJSirmnoRDGYdG0xMwMZTKaObtx
Z7wymnpHv1KErM4XArtRSO3Arvp5IaknvZDhWejxDHR5OCYFFAVI9SyabaoQ7wVCxmeg5+OzAgtG
lT51ArxOhOivFvI/Ex2ggh7Qcx4C1IEVKsFIyAVVlqAqBIQ1SsKkVheykBa6QmSYC7lhK4SHXRse
+EKKGAhR4oA6MeBxtpArGoZ3GKNf9LmvTQgzbY90IW7kC0XmSBxcn3IfTHJ/hooRXNlOl86TONIu
vVWf9VNXmkW2duRDt8cYxPpOdQLzB2cHT+gsPb1fSH5xqSLANIUS0/PNZt4LdaaDTDNScf+UwHVK
oeBsiwK3e8oIVc0vG6M/hhoRTiWtOGhoeBhRftoJPWiOMNSr+wt5yOYESQ4Lg5opQ0IqEfdMZOzQ
LDrkpZHT9JPKgrOEYQxsIeqwf9+nnu9TdLx/33q/pFgKhqz5iPTo/N1r653LlK4Tvol0GvdkA2vk
n0iP9sVSuMcYIDfwbd603nUMmmUwGJlWKHJsqB5/X6ZwNHpquNt0ymVxPbP+yWVKeXJ2fMeN1CHU
W6gkIPaYvBWUdW8vU8S94gxYmtl5X8o4F7R6Bzyv45qvd0vfAvFtB5pyjdzJZ3wI+UiOE9x6wBGj
VYyF922QuNUJ0nGmmKYVlyGODEujb6rTLnLzx7wW8cxxGxz7sUWFw2IKyOqTOoTYuOucV2VSnxUh
GY6SbJKfTQyqTdalAkstddPTyMsdpBv+BaePceYpinSoen53MKKyu67twbiLW/TPnWo0J3XlWyvS
+bJiYjVStFCMIfumNXI98bVK3ZDZG9/iUpkuPaNyZjDWqnULQ2pOdRvMrdIBjA5hBzV+m3/tEKnG
1KscM14+a6lvqYKlVG8fsgq3uyMFb8OBhNksaogbFvbluueE/im1FwbnhVul5Znl48NjeUrvX/oh
2LP9ZI8+4u5gdac2agYToz0dETb8+862wMNbsnxnBvYs8EwlGowTZHnDfdiqBfgRaBKZy/2d2QkO
qGQZGcGGZrpgHzEOh8YcLusuG2m3GlAlUzWQUSTA4gs8ZA9u3nr3zKRgKqfjuHYrf9yYQX9bSsUi
9YJDyWKbThTMYjqDwlXKOw+Jr9IMBxGNULwk6uE4yvqcW4UT9QQGZ8BkQecFhE3WwMhchnAsioob
3QqQqTvKtYbzxTKXaJD5ctdODLsk5DOszEubZNBVLdXONdCfeYpiUJ4lqmBSqLWRXbmVnGDrEzv3
ktVJh1pcW5O8T87gEEmzsm77g1ZCEz/v4qKoZ70b5D8sKatWkHZT1Dp2hQHLaH73MJSgbW6F1z1+
OcdWqIcnxLCEd2R/Yzc8gsdUEaZ8Y9NLR0xebLQtKGOhV7q39ph01ymthnmT9cGlFPT5ud/GOACD
v8azVNfbCu9RXUE94GCpW/VGNfNKmrlTjz4bdCh8LQirRX5yaPWd9hWnAhv6emYqmzzLx0URyNXE
ySsTZAuc79978fNezMb5h724XqdBFaMh3bIb85d/78byFxiOFokPGOea7L5vdmM2auFtoXOhEwg6
G+Er7g4dnfg4FbEwBAzz6Vevpa31BY46MQ26Rp1M7+mfAe+aKF3f7caUttTXcC2B+CFF8dbf7saS
LWlR2cfZWYMl2HiCD7cRnipQM9R5XSfIloKixRA8Nk6NvDin1nnQ2Q/npZpctQr1Hoj5caGWd/GQ
HcZVehEkOLxLKnSZ0D2BLXKS97jBpVZ3gBTFm5VVdMwCvcFycuMEVQ+nSK1QxpnZV8ODdZno+N2Q
i9sQNztTdQLc4zo8Yb+b9JiCzEqtTZV7FX4FWKcXo+ihn7iSLa0MaOObNWbWCJ7GifzUYEqemk3u
U+PJbPOVJXpRheUcmk/tKe2pVeU+ta0ch132uAyD6i7sXMzbWi1RFy02sOO0bnDDROlFX8IxKlyG
SkOaOZVd4tWQWu04L0o01NAiTQfv3q6/b1BkT7o4vbFyA8SP48NuaS7kgbnOXTTYVkc7NbTjbgFv
/gRefjFV6S5PMGSfF6OLSA5vvcwFi5fdb1I5rmpLumgxMUrbDlAtnbVSfdx3xpkjuul2bk7LWMUl
LljnUnYUNxgWZHVz0ljEGFlSvrR9SCqlo1y0kNegxM1Ttzi1vfyHqpWTROqW4JuH+OQtPbeAuEaa
ttqfNll5Lw/VhePHSzU0r/E1m/mGtXQV78wEap8UcX4Z5yNCY9FWlg86o7ooazyZ+m6FrvomsThv
HHvt2BUp610ztRNNnYfOjxS0V4/NU61r5tiUHej5OFWoTN2gOof9dVdWI4ZL9gzOGH0A/xQd5plN
AY8HyGla6cuqV2/GLjtp1XCiA/PSasTXCyaQ75+GLv0CzTkaNWPR1PVhaIQHuSl/V41wYQf1Sa7V
915mh3PRpfQsfBFLMhkS5cA2+2OlrepJ48injQoPtghPS5MGBk4T9ShdG762ipGSTsh8h9qerCp8
+kmomzhuscGEAw+n+AZjxOtM9gFcpYWbG8eabi/UJsGhrsXUbVCOO72/h/VaT51UmUWpcuy24yEc
qWnp18eepWCv1B91vb/KKqBQeyg3paVCr+gvyiECH/Fa46tllAeB2fmnpqujBleTszImaTiJ4kJo
wjON7gh3KLh+xZlMYd0pTKlGqBdFzV2I6junDB8ox2XKcj3Rji3K9F7U6z2i1TaOrZlGKV+HA9OP
2j7P3QOM7wfclF2MU+mACxzATporxO5zTdKgGQqsgEhrqABP+IFAEiQfa7O8ldK56isnrq5f6AJ3
kPDImIQCi+A8Ow8BJyqdxp1AK3I/kqhKrHBR9MoJrt0HFP5TA4hD7rD+ZnbwbakoS1B7nmPAS10L
NKIKjMQfKhiHQMZudKwBoiiAKYmJV69AV7oiecgF3qKO0gzjexoVAosJAGVoVa8ygdKUAq9JBXLj
CgxHChvoelSpqg+5MgToSYIYxAfoh+vDbS2woEGgQlIynjbARD1wETq6EM4bZX6eQicNcMdNw/bC
BGSqHfNQMkhKlpp4AR05x7unOwEPHSatwKgSgVY5ArdSBYKFw2CxCJvhOBPolqkFZxFwV2s2JqSn
/sozCdTwlQBaWD1t7eiMsBFlilEQAlLgM0fgaI5A1HSBraEOjo98w4z+XYe9UKD/iGsDL9JwHz4e
/MZbTBsdGvxmhaJJB4h+p8bXvpiq9nLoU7m9nPq4ynJDcCxLgXShod184x7ifOG/yzTIiY2y5X+Y
d2PJvK/3pz7e/w7+1arD//FWfnEPoZHVm0VRJeepkuv6SaU2oJ9Dg5s+beChUx3M/5CUTWIrf+Cu
/X3McIXupfQSHhgQpnU/0Hya5423LAF+izyAu2ij9Gl061SusY5n9cRoeWg6uhkHh+EN/kLNzWZC
5+9UktwIep9fT9muz6qhfpSEOslwukedE2zuQ0RrHLiYmR0c9TrXAc0JTyTuH6WcGbPM18ZTvzax
gsdeB+ZW+ShlZIOUTXnfUkKNSTQcyKp9L/UQiLtamZBysbSs+jQF/JxEkTAUKLq7zpau43qIp2Gk
XGpGfevZIEiQyWw2D80886jF5zQDOBOMqITq6a0tVNwHldG2ExvlHTrSs0z4x+Hnd0nftZj4WMv1
qnyYyMZGr5MDaIDrSod4J7zoSokoEszpSqfmXzvLRC5vG8RaWY+VZyrs7Crz1gnvtQ4ADKc7jAUf
SrU6K8fgxsAJL9LtZKZqMHmoqs/JrAFAxDcv8QN4RjVMylFqvAWo9SXy2VPEH6fjk+2eHKjsVMjb
jcJOViHB7BNDGPV1sn4uGRDPC6HONySsuIjzOQp9rIWR/ZuLwqNlCOFzbuMCaFaUwh0yDwd/QDuD
jiY7yVk+6A7ulYW9KvNUxThc3HUwGCyDhtbAENsHkeWXs1AYEZqt28+NBnNCgG2MCAeVTmj3zcW/
MMbH0JSbMzlLu6kkOcVBiYNrr6r2BJORlYpub9ILQ0SyYjC6xyMxkQzCVFTJPWChudMOKoKMo6Iv
rBXJI7sPpfLCbI3zDu9FL8SE0VTDAx1XxqTWl47SwzsdzesaopuceN9w19qgNJWm0cjV1RAmj62w
e7Sb8RbCJG6kan5INMGN1GArEFfdtSTMIvlTHMeEgaQmnCQlFf6BatJmUbIfSSUhyMnyE31wziKd
Rm899MggsahsuLzOe+FaaXUJYUphadM4D+AtYG5JR5pTRiv7de3m4UyucjBO4YapReFNE82sOLjW
amhhtoNvJmttRn3I5aq26oO0QoWI70O+7BXVnWoQAEhNwEwU+mESoqkesefEk8XHvavgkoV1ZyBi
Mgbh5hnQhZ32GHy6GH1GPWUyc+1S1w6l4UckYzAjYQ6aWdUcznQ4831CDeBuyKb1QxaWorml/yhH
+c7Ba1Tu4tN8GEDQ0VBBnPbnJoTGyZBAn22qdaxj3RAMKzsbD/XGEcRr6KvMPcwnQV9Le/ihVuV3
T2qOuqz+Sv7yCfTHiPCkejbilKo59CoUYZ4KtUVFPB6J+w3WqmVd/8hFtkTcd8Knz1oHRfkdByWZ
bgzG1qowae072zyskZljqCDZtOFovCmwRs2hrPCtNx9qzFImiqkGkHDto0qYwXpV0yz8sT2Ea9lO
VRxjTb9fh8JCNhdmsnVREfEjDGYrnbjlBEKeH1A5+P1ljRJDaFrncY8bWREJ1kBqlCy6jCVhmydx
SXBP1runWayJPHmXmEbJu8Tb4yzLnUvH1ZdaP+BeglWvEDpCnsdrzVOKBYS++LbsICi7XXssUUuC
A4uFbYQ3lollstl2qFecTp96qn/fpyBAjR7AbkwP2dAvBj3DGJle3IwD4CsYHCEkhjFrUeYdQIwl
S6rSyKgyQUns9NB34YdHRXxc+e3XwNDRu2Jr6wYaQVhZyVXdi/nbtr00zNBejmlzTwcM/mZe4uiS
qv7UDAuJYCzph6MD6OEtFByASn1Nh+ze1FjbRUw6Apc0aRrDjhRpHumpjGvBpMyKW8VOhIUsDORk
gFquqej18dlHB8aebeSpvAjRBC/iOrtvnOAGGSlkdjddDAiw8dmHLsxxV047TYPf08veAsyTMYXd
vKJ1uHQ8Hfc+n+6mlhmUn3p77Q/R144zcVqHiIIDA1Yu1kdoAKSB6WZbUDdDYZcqsMZcGjvcCXBH
J7WCNqKF2kLusPKOzGtcqQ5EPIuRGecQwDY9vQRMl8JbPN+4mQKJAf6nx4rGZRXT3BPO/35iWelS
VpRVHeflVB/UZh4J7LOIw3hVjcW1prLw8Su4kQb9rA7qx66IF44bXnPYywSo4IzN+b+qAu+MCv4K
1sVSk6qOfJu2FxVMMxmAW13c+Kx0qKjCQWExniMZwrIegj6DeVxm3rQQ8NGQ2ReKmxRzw/D1STri
EpnnCVaVceOu5HJYm4Sy8n226iKK7Ks+xbrEdqXDwPPWZWjNvAjzkT7MD7Ii4++t/DyLWmUCBOcR
rmU85HCTKNaCO11GZBAW5rncmN8y3QRGjPvl6Gk/QpkAR62Fl6KqJSr4PvUXpsV1vDaJwpEzIiXT
EN8uJRicSTEqd2bVntKrDuYj1/5JSWLOzB+w8gktyjlTCtcymT1RAIOmDtyQVimpMwJy0+vyYBj1
Bl2XEcKRi5YhDY8pQeScdzV9mkJ102kmwDoiAB5JF8OR2vbKBY1iGRpx287Q+NAAxhl5kMybxAbY
9DzXmCaFdIWd1jV++Ag4A2eadfFxUyl0ahq7RpyT4Zyi+5e1SeANt/lV4+E1k8jONZbU514MIY/m
IDVNLmFgg2/vVCOyq/ekGIJ4upK4ObEgQxlJSXWfe8l5r3KeM1ocIeGyMAmKEw7mHc00KTd/mLJ0
JeF/OLMS+meRE/2wRF8Of9OHdiiPHE7yyWAZDxWOOoXdwOzzFLL3tBSCQatPezO68ZKkmhZ9qU5t
qhL0BAvPvZdt75iLAa4mOnEmShMe5gYldt6E4akawMspUHXQ/rrzJPqeYC9XSglNIW+kCyvB5lyF
u6M73U3PnQsvjhFXzjxL50VNEChtUzqsUcHH0bFKtbtSn2eZfmRj3GjbA01TizQi1t0PPBnwsO7o
SWLpv5Db5jZvWbp+qXyNvVQUi9qJZgawqQ00SHSTL3HONqaGRQIIyWXs02V60utluihN/VCx64cw
wYkSnOSm6JEOJ418TU7pYT/EVypxUrOuYku1ZOS6MATtDkmSU1vdDCnlcV6Vi1Tu7QloCoVrLpPO
ZoYbh7ux35pw1Pt0Mybl4ehgMkMWz0pV01tY6rMaNDlv6UJW3PKsiK0PvUAz9R28ajJa0rOisQ7k
vvxh+lzprKy/0xLufG1IjRyHt8A/KxdLFj9K164d3Yd1c6brBfaAtTLzkn7h4jU7wWVmORTWRe8r
895Ave8W2WVfOctcd3CdlnAjCDG10dDjUqkOGqZ7eGTh+HRc9tmqCfJpbMiteliFCqRwz1Kjr3E6
mrdDFpj2aSHB6v0aG3XezgbRpjRy6fDf+PMT/myAB/8ef75qoFVttpSg/NUr9oxRpYOHJbUk5Goh
qP2JPZMBZxDwZhP9IXwq33QCNfMLFyJRbAqRLOxvEOFX7Nn4IgxVaCmaoBuKSZPwH9CqVPtXWhUv
TKdR5j3Qb6QapRR+iz2DNsoFBhPN6YjyELSk+U5Tw6dAowcjt/FsKGORFgHdMXNPghImt6F0+CSl
7XlSZSsLh2bucCocWbJXKyk4wln8ZLAQIGZqcCnL0WPLJXEqZS3HitQlXJPUE/ycuLXIpjdNKmHt
LN909G/USr9FvgOa6jv6wsXna+JI4yLWJYm0Vh+qJpaXmCCVkyAPv0Gs+p4P2XXrU1plNbIQ1zS/
lSjQU7yha0e6IaWUaCKENVpw0kb+cZ0F36vM5trrWOelZjzEjmfPEz4YnsF4Mqpqdtgo2R0ykWGu
hxoWyuSkIqnslvhgXQ9qXhJp1y10fYQyEmodqZlBDK3bfix8aJVEnR5XdXzVUeJObRi+RmRfZIHz
WFTOOcwVLNjIhaH/F9Zzt6MdmLe4qqQPbp3duYV6RkDcA3CGM6U1680bRHvLCsUt3dCl8ODTQ+97
rNbtPI9tAudMxMhdnj10ioMpPMzWZEAvmYPDzQbopAt6BuWUVvJxXeG3orvH3A1nY5CX3CW6hVx2
h57jLD3VuIDIildZuLGS8koLPAI+xlsyvJKZLHqWfEmOjCFW10H4R+tUQLYrzK9mW534Tv8DOBb5
GyyyTHblaVOGmAXK6o3uGRd6DfmfBL0r3VN/NKrZroZA/LnBPV7XmttEapZV5ucTmi/cPYildZs6
PDDN+I5A2gisosE92JAxHLTiaSFUmDLeLSiZFrKFOpIW3kFR+wTNRjlU2JxvDQZIN1UNExCErJSC
hFMT4cGBW3G14PZ0CCxB/wPccWJ044UVGwddCkjNUYb5IXpcL4JWJ9c9jVB0f7O4YcYZ9CSn9sgk
Hiq+w0TNvXlXjpeZV/Kqqc2J2y5cubkcbe0w6ODuWComYFXhejMvhqPSNtFDnfW3NoAW2r38XlYy
7MIyd1p2PXwmOVhi3QA9WfKXciqFM8mK0qksZwfmIB8oMo4TWNM5S5oYA8Rpe0NK3TGVazvJqzCf
A2WsTG8YkJrjWM6hcp0VRPQK4hOzMQG3rO8roTOSS8UkNxYSFMiTeqSnqDx73Jq8Vaw6Pgl6UXej
2lHZzkup8oNvDINbn6m15XVzMzC0hekmcnplUd9kM73OUaM7ZVz5U+oC6xxQKjDRmgX+uVb03l3Q
5PMqZgpNhLHpaV5VACQmRTKZWzIYrG853qVfyJQjjtF/lWMJs8gi0Oa91WrobXHpm/U2PP9VY8ku
pUPQP3nBohyfVYMG+TOGpGb2Be61mnobdbIcnMRp3rDPxD625ab1IHvQ7mlsDSVmjjh3O9jZRrpR
IDBULe9Krq24ulPd1uOE1kYaDhRipvs9MgI0rTJ8fPLGnB7V6L+Py+fjktPj98flHRTbLYclf/N6
WEKb4cADdFUcziLd0H4elsJSTMWVHedmUyaj/F2jFtIMWamGYmsQzPQ3HGSbCANNOJHZVFqq4OH8
o8MSo5z3kC0RBCb2GEJ0hYPir0FgdQlFJFbD/gyGizTJbVi5bnlVqxgLhipb8IgxInnBSsyqSZLL
qnHLJenRzbIZXWWqwMjysBIjv1TXTjFPk+esT4JnrBDuHjyMWpVR7BbtvdN0+VU2ZNWcWr8/d1BJ
T5MktaZO42ZXetWelDLzvE4JLwp8gle8ArFol3oXigcdsTFUbe61OO9VinKdjEq8jGOyoUIHi0o0
LtpgX3lFUy56PVRndGWDszjokylnz3cYOVTiCF8g7QfXBc4JJ746pAuEuBBrhUuywhCcBQr+OWjd
nSWJPJB0OhViQ4JlQZdjEwO1n8trOtaUXRiuVZh96XlIxkeTHDcFBBNHuuuIYZjUGW46eHlODT8/
lBsdYZInz1WvPYxK6ajN7G+M5klGgiu7coaaxWywTo3870arr3sTMCbrshsPBZrIP5nnvoeOzAsu
ax1HMS2WAClSyJum5y2jsS2WkplsNI/ioU/NQ7OkK1UDktDVDMNFTWdo4bsdHqDGSEZlHOKkll9m
knuqw8ixkfJrwv5Wz7VHd6jOSb5qj8lLKidlPcrcUOxTMlyIoHDHUyPjK63zfkbn8jxKtHu6vPRL
owfJzfFb8DGRjPszswPIt7AXgBMOOwQh8MpQCTWLCXOe4b17BghEnHuiL83KPM76BDKppQGcK/5d
7o1fdV0nagwNi9SPEqkVNCeZH8CsGPraZ2iZQ+1ehtowrCwuAXMLV35Y5mMC1ldiBWqAtSEK20gV
sF4j8DZpWJgj3kSuExon3P4OW2jxE8ugKFIT5RglIqHUIm7JFZHonghHH0hJt0VcOpxT9LooCGmF
lWBopKoXKg4Jg48cPSAdao4D04ILIQd3NDLIIphdGoho9wzC2jsW+FRmpqI4u4hFoHsb6KteRLzT
6JWvUhH7TvtyqYggeLxWwFEcwuFVl5paJy5eIzd+AM4ORJB8ZBhXJcnyqoiYtyJtapE5r4vw+U43
TEreRoZ8aq4ku9TPrJqyFSVXPc1FgD15apetiLR3a+OY/iAdQRF3L5N7X0IPO1SG7KjQY2VVZFgW
eLWD29ttpbhnUuctYBn1GBcH5AKWAVZ8SXlQDfRV6L3M7CK+92NjYWc5S51lkue41qlJ8j3Hxo68
4XwVSSTMxsLjzhdud67wvcMGwTvEroEkYts9bQtK+tAx5yreq5M4paet0WiEbd9/HRTQpQHO7GEx
jPakEZ57SP6RFFeZfjB4Lo58Et58eZEeecKtbxC+fQTTjYdFqEgHOkqceVbkX03JKRcjhn+S7N0C
5mrnaogym92PWLqAboMP91viAuwJ50ATC8HCCr0fFaaCjs8y/mphNDiGwnIQ/hT2g/9Xzs8XJfRs
Xa/nKZDe8LXZlMPFpuLOU70eLeK35xlA+FX2//eP/vygvzZPr3w15Jv/+o/1I6kyiGfrMnioRdn5
9LvV43/9x0sTlf/27kR+emNP7/qPz4nXfLrmkVegFtU0WVE5l+WnHypYzH+9l19LCmWsikLZVsRx
zWu9GaPfjcKfP+DzcP753/zxzX8YBIre3QYB/i1RSCbsdcV5/vllELieQKVV4PwyUPwwSHs5FC9v
7KH/T2+T/T1R/9F84E4l7mCqaI2/mwjI2y2oco72MlP2dQwULoi7TQcN20RDVTVbB7oRP+Az74ZC
sb+gl2OchJ/tvkyHt7sDrrSwEP/xKPAxf24M1heu3bhVw2Z//ZDvB8H5Qm9RhUrxsmj2dU3svkeC
5Cmsf4qP7fNBFDaMlaKo+7ooBMT4j6cDA/dmPiBsAEQkKu43gwAUCstWBuvcz0EQb3vnQeAzgtji
MkzKkPhhr3m3KMRBAd0YO9Z9XQ07H5Z4fFMgY0ryu9XAjQFvbrIDLY6Q/Twmn68yux2TmLOo2GU+
nwCyWCtvr02clgCUDrsGKMN+DsLuq4F9EcxGcVQ+4/tPr+Jdg9pce+mw7N+lUX6em7tMAS7G4gtm
ITwfkB+mgBB82aBJQjq2l1PgZW7uMgjchAxOBYtO19ZbAhsi7jY2wN7eroNfUc1/XkOhJQHQdDTN
ej4Vfr0vMggoSmx628/H8B4uh+dvZ4eZALWWhCAqBDES4ufD0aizXoi4MgW4u5fLQdn9WDC+aNbT
RdHcvhw4G8VUwS/juUrZw5mwe/lkf8EBzQSFfp4I4tr1/nSgkhRtaTi0r3vGfs6H3RcF0W/ck2hO
PE8HmRn261AQ1OYIkdqeLgohV+Pb2WFnEHQHqAwGiP/LhPhlEMSF0Tb4n7KvB6XyXNLsMggqcx4T
LUgdz1Ph15mgGF/w5mGQAF/Ez34WUQZE413nA2gb9BZUGx+vjfoXBS8hmQLreabs6ZpQnk+wXaYD
9kmyyu3Zeqmmf90jgZhYLSailn29Mii736DBnimgVP0VZ/swCEBM/A5YZV93RyFH2m13FKuBUYDX
TOiC+OGjvj8i1C8O0BPk5L3dEna/QXMtYmck0vmljNhSS8GKUwi+2dcy4uVqv9ueAKRAyWy9FJR8
3+9nAumzJnUEgOu+bozPb2yXQYBQaemsBgx0n3621FLQLLkvCVR+L6+NgqGy254AxPbiPfCCLv16
WaCgtLAz0JkLezoIL0j4LjPB+aKIwxGx5vON6cNy0CgoEdloYsvcy5mg7nxX0izhwMiOQMDP08+v
g8Dd2TGJuycB8Xm97OtQ7H5lsr7A9ULma75cDj/sDBRbyMhoyhE8xM++HpcvjfRdloZgnYtYJf03
vTnQZ81WFQXh8b7Oh+c3tsMgADjx8QWz/eXixM3g1+MSg1q6FC+4zv5hLeruV2iBvwq1wMua+HB7
ZH9AwosbmLyvdwYRQbbjcWl+wf5HQNC/Oy6x3+e0xB1oX6FHUQrvOAjMBMyKdIqlp93vI9REaxKk
SeYo2dc9YfeLE7Md4RnOdy9X6A8XJwX8lYaM7uxrHaHufoW2sWZ+6tW/nA7bBkGoi/Cm2Os7g7b7
9YnbEYYfQNEv0OOH4hrnRfBXjBr3FXoUkrIddwaN24JswGt/3hjExejdQQlzg7gQGZRlX88Ibffb
I8nkWLpRPb/ckz/MBHGdEP+jfSN+9vX2+CGr5p+3K8EeDbq2QA1/r/9380HYm8qIEeA77ulJIcSU
Oy4Kg9MQcwxW//Oq+HVRCAIHCwZO194uit1vj+DtMBQQ1rzAbr+eFOwMlBkyp8meTgRCkXadCAJm
UOi7cEV++mGr+XU1GMCOIgdhTwfh5ezaoZbSnvAkQlwFT/Ddp2cGKKZmM0VeNot9HYPdJ4JFW0r4
flEtvV6L3g0FoJuukj1jC4dPdp/9qye13S/QIAuAr7rKJ336+XVH4GxQHTo2jvN8w97XY1LffXOE
3WbKwCj284XgY0Elf+GXeHnDbhI/+zoUL9N1l+3hCYVERPW6CXy4PFFbqtjbYiu0p0tD372W0MXy
F42H39MYMKRBJgLl7+lnX4fi+TvabT4I9QPNut9BscqXJ7tjYqP3dRB2Rp0E4U3jNFBfueCcCr+e
FyY8aQz/9/XioO9eVhFfaSGMkl9B2F/vD4L/Cf6IvGxfawn9+dvZYTnQwofrzi1J+90VUgWO56bN
XNnX5bB7QWXB1cAG3CAu7Olnyz1aFjFjmojL2Mvrk/58r9thJmgUE5qqogt4OSM+LAeQaEGY3l/8
0dj94gTRl2uRJv+ODi16Eg7wo/nCLdy/i7Sx8+kgVDIW5C7w9l+PBc4NC+kgTLd/fR38C0P0t0B5
6gfx45M0OdhU2xTMv/sHryzPj79/Izx+kha++5dCqvz84j+ly//9Xrn8VCu9+e1r7fT0Si9///IR
P774uxd7/Vyv/3EZbMp1+eAPT78YXt7o6TpB2/w/Mf/3uH4rjBSy6Wch2M9381Fm/Te09Oen47m8
+fXhohR4/W/bNdz/2sOT9WNWvj7op+BbFBk7v/MJtvzb3jg79s7Pnq7jdctXUr0+681756Dd/fn4
+VUfvlJGnW3rEx6e1uX6rynhzttegpW880vMNvFfp1m5dfy5HOz8/Hn81ywrmTyvz3oz/lRtOz9/
UW6qdNvDOel2fvhBvEnT1+e8eeOcyzs/e9kk91n8WL8+6ufjBaN558evknxTBuv49VFvHv8ZS3aF
Re+WR3/Gij3alFvGXHAmdh6UoyD1tmwEgjm887OP19GWPUwoCD7h0VW12TYmn7FAj7Pqr/9JvU28
2TYyn7FET9aPbMCv4/BmIn7GEj1Zk8yw5dmfsUTFs/Ns2+4uiHQ7f60nm/Qxewi27V6CrfgJzy8f
No+vD/o57kLvtvvDM97763PePPszlulJtnVMPmOV8uh6U26GLe/8M1bq6TrfMtFFlb3zgJ9u2vXH
u6MhC+Hezg8/K9dsAa8PevN1fsYSPY/XD5std0fRyNz5nZ/HTbLtcie4Gjs//CLg6lgFj1tGRtAg
dn7+5fqhpCRI6y1nqaAYfMILpH9NNhh9bnuBz1iq5L3zAmW6Lh+3bmTaZyxa8SKzYONt+xCfsWrF
8xesgIegetj2Gp+xfMVrHGbrotl2Wok+2ad818dNUP11dh9U+bbP8RmLWXyOk3W92fb8z1jPPL9e
/zVZl/frbXcG0Tb5jJHiNaa4aW/ZrEXH6LNeoWzG14f93FMFyL37C/jrrTWhAI93fzgYxtah+ZTF
/OdE4z+Yzf1LQMVlFq+33R4EdWj3geFikmybM5+yfv+3eNGdh0bALFvOYQEz7zw0Vxt/vW1ojM9Y
sH9OX9t1XP7oq7/7wwGIkm24nJBd7Dzs33hCs22tCth856f/wUJ513G5a+63LCRBn/pf3vU2WPZv
7stHsPbV3XHbn73HosW/eIg36/K//x8AAAD//w==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D104E6D3-5878-404E-81B9-1C1003ABDFC1}">
          <cx:tx>
            <cx:txData>
              <cx:f>_xlchart.v5.6</cx:f>
              <cx:v>Sum of Quantity</cx:v>
            </cx:txData>
          </cx:tx>
          <cx:dataId val="0"/>
          <cx:layoutPr>
            <cx:geography cultureLanguage="en-US" cultureRegion="US" attribution="Powered by Bing">
              <cx:geoCache provider="{E9337A44-BEBE-4D9F-B70C-5C5E7DAFC167}">
                <cx:binary>3H1pj9u4svZfCfL5VQ83UdLBmQMcSt56TS/pTvJFcDqORC3URq2//pbTnUxbdmfcF2O8uPYMECR2
USU+rL1I/vux+9djslqW77o0UdW/Hrs/34da5//644/qMVyly+oklY9lVmXf9cljlv6Rff8uH1d/
fCuXrVTBHwRh9sdjuCz1qnv/n3/DaMEqO88el1pm6rpelf3NqqoTXf3mu51fvVt+S6XyZKVL+ajx
n+/dZSK/Z6WSy/eb35E/3/83Waarb8t3blYr3b9/t1Ja6v6uz1d/vt8Yh7x/98f4cVusvUuAe11/
A2JqndiI2cTm1Pnxsd6/SzIVPH9tYEJOiEWYxWHkp6deAitv4ugHP8tv38pVVcGb/fhze4CN14DZ
+O/fz8LjejbWAASAxZ/vPyqpV9/e3eqlXlXv38kq+zFdZe9m61f9ePtjbv7YhPA//x79A8zW6F9e
oDye2r/7ahPIvwHZWyXvLjNYaP88zAyfWCazLILtV2BmJwQxCjCPcH4TU7uR3h5iD6y3iY4M7btV
uEwPINEMnWCLc2QS/AS1s0OiKcOMY4LWH7wp2PvztRvtEf0eUI8ojgzni0xl/7xAU/uEmKZl82d5
dsZ6GzsnhNi2YyHA/6Xi3pef3ehuUO+B7cbvjwzZ/6bLb1l5EGwpGFxEbDYWXXQCOpw4FDm7RHd/
hnaDO6LfA94RxZEBfJsly4MJL2a2ZdEfMK5V8NjpQsyxTcT4pvDuz9FuhEf0eyA8ojgyhP+b5FId
wN8C9cwdanJssicjbI8QBvVswQdUOMj4S/W8P0e7ER7R74HwiOL/AMK/Z3HjldcuN0QSTzO8I156
e7hETMa5g58U8JbkAq4cW8TC7Nn7+vnsp6jpZYz3Ok+7kX1Ju/GOT6/4+0n5PxcMfc6Sw7hN3LKY
w5A5EkgCEZLFLIz5yB/el5HdoG1Q70Bt458g0N/4/ZFBCoG5klWyrKsD+EzWCWfIApX7bFIhjN00
qfgEIcIotUAVv1S4b+NqN8o7xtgAdnc6YwfVsSG+VBpC3LIeDoA4P3EsCGMR5rtNLGSuwIW2EXLG
TtSbuHoF8e0x9kF8m+rIEL9c5gfIaayjXQeykJjgJ4eZjqUbspT2Wqvbo/TVvvzsRnmDeg98N35/
ZMheZN+yx39ejCEzyRzkmM5PMQZh3VTc6MRk4HQ5GEB/qbj3Zmg3tpvke4C7SXBk6IpaHyLvTJ0T
ExMKgvlKHARulwkONQbJ3kR3b4Z2o7tJvge6mwRHhu7t8rGEqo3Sh3GpTQuCXWajV0oLawlf/wfL
YP0ZAf023najvWOMPSDfQXVkuEPIuGxW5fIQDrd9gh1OMLGsJ5O85XCjEw5LAoR/5H69iandeG8P
sQfc20RHhvbtUr07r2X17uqrrPJDiLoJXhbh2AFZ//EBUR7baqg8IdDmo6LD/4K13ci/NtAe+L9G
emSrwM2gJr4ER61ah17/eL+AfYLWNWSIo1+NujDYAtPCozj7rXztxn/nKHuAv5PuyJC/DZcHwRwq
ypCm5tSmr6l6ckJtjGzQDZtO3P4c7UZ7RL8HziOKY0MYNLxYQZvLIZQ7P7FNsvbWzSfJ3uobAD8O
EcShc2CE8pu4egXp7TH2QXub6sgQP8+qd/9VwSpZHcKHYyfQJkKozZ4h36pSQd4FUqaQFn+S/JHr
/kbmdiO/a5A9oN9FdmTYu1lSV4ew4dAasnbMoTr5iusOmVNkU+4wqJK8TLnsz9FurEf0e8A8ojgy
hCfJOy8roYvkII6aRRxukue+TmdLnUMvieNAF4IJHjt8RrL9JtZ2o709xB6AbxMdGeaf66+HkWko
OZsmhoavH5+tcBwSbbbFbfDjNmV6X352Y7xBvQe8G78/MmQvV83yID3aoK85sWyKnvX1VvUDapsQ
lEOOdeSZ7c/RbnRH9HvgO6I4MoSn0MJ+kIYwfmJRzEF8X+nZXbcL2Sb8h0cWeX+OdiM8ot8D4RHF
kSE8S1ZKHcAaQx2EINDO6wh5M2VGII9qY+hcGFUu9+ZkN7Cb5HvguklwZLCuc38XsC3kEI6WdcJs
2FoB7X6v1D+gNk1sDBWQkYv1JqZ2o7w9xB5IbxMdGdpnq/IQMmyeUOtHKfPJYd7V+7fOjWJKoBn/
Zdi0Lz+7Md6g3gPejd8fGbLzOv2aJd/0P6+hIckJuykwY9samp1AUyBFsEnuScA3wX0LS7sB3hph
D5C3aI4M6EWar0q5TP55oCmBuJfYJqOv9BJh88QEV8yEXVQ/IqmR1n4LZ7vx3hphD7y3aI4Nb9Uf
wjZDThsR8Lyg5fen7G54X3hdxXY4t+1RtWqxJz+vIPySeh90X/7+yJA9g13Uh8hd8xOws9AT+DN3
Pc5vrTvx4TtoLBpb430Z2o3t5vvsAe4mwZGhe76MD7F9xjmBzchQdICdbruzWeTEwSbmkNHatMb7
8rMb2w3qPaDd+P3RIVtVqwO40eBoQaKS2c7T7mOEtrJZ0DgEXzObjwT3fLkvR6+hu0G/F74bFEeG
8FW5hMriATwsCh4WFBZs/krTJ4ZDJ0zYw8rHRYf9OdqN8Ih+D4RHFEeG8MXyG3T/HQBh2HvBoVGA
WM8ZafCRN/wqgk4QhzYg2AW3qZ/352g3wiP6PRAeURwdwqU8gJKGY2Fgc40J8D6XD8edAbC5xqQY
VLQzcpwvlnsy9Bq+L8n3gvclwZGhC5k6aOITy/Lr8iBizE4YQWsQXy87cMeGw0KgF+DHZ1OY38ze
bsx3D7MH9rsJj2wNrAUqzw7SB/Ijcw063H52xcZaHEIohzPLJuCI74D/LZztRn5rhD1A36I5NrxX
CjZayYOUGZ0TKEM4jmU9p77GgBMKnUEWp3R9nMzLDPbFW5h6BeutIfYBe4vo6NAuH+HMMvcf79O2
TijiDv91QNCWAYcwzIZuEWzt3JVzsdqXr9fQ3qDfC+oNiiPD+a6GZr70IEeNgKtmE4cx2Eb5M189
9sWpTTC2yajz5y087UZ5a4Q9cN6iOTKk4cQrvSpX/QFkmp9wC46voOi5x2src4JPuMmhw2t8WONb
eNqN9NYIeyC9RXNkSN/KVXkQtxyaRTgCmbWfVPOuDBl8CY47nBC1/owqVPvztRvrEf0eSI8ojg3n
p1MbksPEYGCoocEeEt3P1eUtQ41PoDqFobtv1Pr1FP24+7L1CtY73m0fwHeQHRnqH5Ll4+owp/vB
qYzr/Oizvd6hxaFeCdVp8hR0jTJo+/O1G/ER/R5gjyiODucaDoE+gLWG4JlyCxrwn5MrEFKN/TIo
csDJF3Qk2B/AU9yPo9cQ3qDfC+ENiiND+EbCHvhKfjtMqcOxkUnpc0vYdk8YqHfYIQ9F6JEYv4mp
3ThvD7EH1NtER4b2XQ0W8RBQQ8MBReszk1+JsyBbRpy1qTa34qx9OdqN8+iN9gB5RHFkCIPjA7tg
S7Usvx0mTQYNf7D9DduA94/P2EJD/RICbgRWfDNL9nbGdgP+yjh7AP8K5REuAE+ugkN0jEF3IIa6
F3QIjsw1gI5hDzysiuc+723s9+bpddg3h9gT8U2iIwR7Cp0Kj7J6zH7O+Y6TXGH7xFtvvrDgGBML
NPYvP3vTPyPr6hg2bbpDzH9xtI/j+Drc28PsCfk24RHCfpoti/pQ5W0QckYA4J0aHo4lIw70FjrO
7gwLWKA3MPc6/uNB9kR/THZs2Msqln1W7yNbbxP69T0oFESa/LzuBkR7LPQcDpE1oXvlp655Orn5
9g08vYL3eIR9wB7THBvScDnGIS5BgQNDGXU4nBn6Wqr8h53nDFqURjjvzdErKG/S74PxJsWxIbw+
WPIQaTSoZVNC4AC65/TK2F8DFc7hOBvQ4aMW4du9OXoF4U36fRDepDgyhO+gAQsuIzuAsoYtWdDj
D4b6uftoK4MGXeBwtCh0J40qIG9gaTfG4wH2AHlMcmQo30M7SH2QahfcPAa1LIpeO1HuR14F0uEc
gYi/bEp5A0u7UR4PsAfKY5L/Hyi/fj3dr5v+vKVeTn7cEfjihrrff/tjiuBuwxHp84zvDrie0Fh8
+/M9NBRRaBZ9GYStB9rA6/bXKbQ/cdykXMHxdX++hysH4TgLAls7EFhvkzoI9He7+vWVzQk0pj5/
A89TcGNeCBcZ2qAs4AoA6HKAPwhcjfX+XZXVz1/Bvly23mMPsZzNqP3rIscPWdIHmfo1M89/f6fq
9EMmla7+fA9RwPt3+dPv1vyayLQsuLoHuIP7eRghJjwpf1zerLcVwUT8Pxo1qhqyrr3qEhu5rJb5
lDZhNMmjxk2tTk8rI66o6EzWfG6j9CyvOmcGq9sSrJDS9fug8nxl45sg4BPDNlOR9spyOZLGGdLD
0vTJcOnUetXyoppYURyIPPFvaW3wC9UkoegbWkzzrikuYd/qJArCex22kxYpOZWOfZpqcspK/D3u
+vs2TE8tFl8VSelZmMwdGUbCidJQyJTmXpTgQAw9TbwOscoNnDoUzOSryGIfW258iRtj1TZh4Vl+
n7pd23cCHLpvRdoHIkbGpUZN7eFS9aKNWyUah3/tQxZ7DlyN4yZWo0VTa+nVfXYfptk14cGEZ2Us
rJ7VblHrZhKUszq4COSC5/SmqPgFTfzVkKSiVx84zluPlvGlcvh06KKHtKDCJ/5jqMy7xvRDgaLv
fcByTybk2i77Xtj1gCZNUH3MDE1EX+vcrZMwmXY66UTh0MIreX+bBtr0tNWyeWWjyKVJWE6Qqi0x
ZGxwU4kHt/IjZ2JoXnlMB/M4ZJVIDTqrayO6MXFCvI4kmYh6FgkszcYzM4NelEUshZW1jRvbOD8d
jPImq7pEMCNDs7qrFibC0iupllNWR+a89p0+vleBYQUXpBrSh6gyDUckaZHD9DWD21HeiqaT7USZ
9vfKCedd2FyFuoxdmlbautC+rpwvpTnIb2mSWYbn4MSZS4b9qVlxfGUh2bnV4NRuQHo1zVmbXaQD
kR/t1r4vtezm0Pr7JZZd6ppNLq9aFhHPyOtySnr7zlHtgqbmLC/9epYMOJmXGH80ah97NWrppPMH
NWtaFdykLC2EVRF1VSnHKxDMJa2aiy7ssztYAZabMytzoyLpPsBeyGpi121+FxTN1wpOHDyzYtK4
PApXOQ47d2A9mkgHXxp25muB6g6m3sSu5eh6XtZ+OSclT24LXiRXTWapu5j02suxDN2G5XeZrT2t
uSGGetAikOa84yoWtW9EbkTrTOisv2q147sGLTs3jTNnYkrSnmmO7WkvfX6qe7Ts/Nwtwvbe7lnu
UoV6kQV55AXM6QXpmLEwDKf9EkdtK9RQ+J60tZp1eRY/xtSs5kndFmIo7NO4Dbt5M2h7UmpnYF45
5L7gplNetxT752FA7Qu76S8raNMWTmL0rpVJkMy0KacdsjtPE1VdGPaQiQrHSMRmN0xe3nS6oeMe
s7wvZRA+31f766//uctS+P/H1ad//eP6utu//jZbZetYuBr/aG2Pfv3qr+tT1/r/112qI6vydGfu
Kybnt1++yR4RqKz+Sgpu2aOf/Unb1mhN98saoROCoSF2vRECwWnWYA1eWCMHjmWyEOeQMaAOeKE/
rRFskIHjseGGLwqXqsJoP02RCacM/LiUkVkEerXgQT8nYQMmsMM7TBFYw7Epcui6N39dqoCLUKCP
ZNMUpXnCsh62aVymdGimOfKZlyHrs2UHk8yqH4jmH+Ph2u+bGSnwhBT2da2Dj34yxG4Ph12AVMZe
ofoLfh4FxiNt44+p4VMP0zKa9aX6yrXWom+DRZ5GcxSo1s3rbGri0nfDJuIu5E+/GKrJv2KtpKB+
0k4iJv3pEEbzVpZ87gflqWpDKSIaPqRmdq565/NgaJHkdum2slj2UXzthHRZcvypa3rict1d6CbK
3D6MMy8vorO6BnNjplnz0CP7i9S5PFM59ie4NbmH8uhjXCdfUG8NC5YGC78ysim3h/lQkC9NlV46
qnR7bt065SwG61A4WSnMqP1Yh/KzLY15i7KHqjSCU4vknlMxN1XNJY7QFJyCy66Xl6we3KIHs+XL
8FuW66tAq0IUvL10ZEtFJsmCZdOo0ALUnUvIbVBclNY01/HngoSFABZnVTVwoXHjJSyphDbL0I0j
Yn/0mS8ys6rmDXeU67d0FvnGOU+zdp5pq3F9WU/aLLrJK37OUTZMGQ8Nt0mSeQEHZZRG2IKCqHIR
lmhW8iEENV5/6G1njiLEBfIbNQsVXWkp2Wmi4HlJ4lZmMAjHKr+ioZdehfh5aA9eVkXLjvsO2FDr
vNXyKsmdyzRnHo9MJrI+Om+DcBDM8ixzSIVmHfcSZDZChX0hAvCIXN42WCQxK0RiVZUrpU5daeWw
2KRjCp0OHxxtLc3cWASG1NO6Iq6PDNCnpL9uLV65FpYuL+hjT6LCZUV0o3AaeSEgZ+T0o5m1okgT
sNVw0N15YeBFYmcXedR9adLuPqyqr3lhtx5ue98bOM9EFtWR25c49eJIL5peZ15TxA+1LHMx2Jbj
yjC99itG3bjp5inW2bQMqAKPCMxunC0okWAzLPs74HGW5fkVK8NpzNEMPADkpmEq8sYGNyOht9Gg
viRYnmncXmQDacSg1alf6XOUZguS1oNIUL6wG/trVAULJwxm4MUmgtvVXVvJ27w2PsqML5DKTuuS
rTLOFzEKrgykvqgq+cjjAiZ1aM8ZLc/AiF3UTaxFHnfXSdrMOl+es5p7amjnuZMtcMmmZs/mRRCe
BgzlouzpWZ60Z22FPqCQJdN6KD0/0J9aK2xExYapLPVVXq/9rsE6LR1yY8r8LJbNnMV9DW+Y1ouo
IVcMlRdBbl2pvHmsZG8JOyC3VVY9BKo487voog6ZFwb9jUIJ2CoQ+jgJp7yVD0Fszcwgm6dc2ove
VDPetCGsDn1BlSNd26LXLAoWjJPr1Gh8EaDCDety0TjoE+raxLVRkngOqW/a0DyvywYcV8sKwfim
n2pN51bduDn4AaQbDLe2FTiS/MtgO7PWaCfaaaeJbD6rsp5XJvo+VEEtpCSTofI/SSgCEWENhkpv
CGQ63MRuEzK1MxN0X0fpqcHSYQIux5kT1OfMiRedrrUwsHMWhuEVa5IzP+hbEWXBReuzFHwX9bWR
2hZGmVwayJkVmXNZqjhy7babpgXCE2nie4nr8w6zBxobl9iPboc1hNQ2v+a4A2kMJhScEhwYDx1q
rijGlyjuvJBb2aTs2yUx+ODKPJAgJ7lXaMCixOZU1YGcFXb6Jaf0ondSLbQs53EWzWIF3jT4hPdw
7slpUTUiDCPPrIzrRoKzTtidFdQTKYevUWLdDqYOzpVZ5AsU+Dd5qi4MhXzhF8mEDeYXnPOZRXzB
aGvOI83ZpC07Mo87BrIcrOJeR8JSGTrrrf4cw4WJU4xzc4oknVmFWQpYFLlLOrsUPEDzKq0/Va28
LdRw3tfBnV9Wc2UMgejASVWtnME73wV98qCLsFl07EMcx16EGpdEvAe10s1MloFLF9xJNFSezZu5
kQwzPdiLsuLXQ4LnZeDA1OAroyiVCJv+uqnJbZxk9gRhVXh22caiwe11TvlFlYC9nySVQZIJeHHy
3kylBuXPrTOifClSO2mmYcFFWgyWkHYD0jmcF9LqBS/hlfo+n5ddP7MC5XywU9MWqW7UZDBkIUhT
SBE0TQeBUfq1CWA6uYogGhhMEUJPgpeTxO2MwDUzPfdDQ3pdosHENE5zGiVdKgqj/65KiCRAikXc
KwgEohILLjt7YibJQ5MFxEM9h3AvtNUUh5VliDTiqVumwXmLdX6lCqw/RdjSoTCH0pjWdmteV60a
ThN7yKloE2ZL0aQMT/J2SLwBG+ctLU8hPvhA7HjKumhikeE+LfyboCjP6oIEwqLKJYldTxQuPvmt
GblW0E5KXFWiibtZzfx4QrX+2kS1i2P7M/PpRdP2YGSkl9bNVPumkLS6yxHqPdsKl6BZ7xEt534b
XiGzW/kRPUsHmCYnlBNYSJlbGfRTPphnlkwvfJlQl1spRLTx1MjT06YGE132te3x0r+KkOklcXaj
ofAkrHRY5AE/Nzs5x+UggjhfpE4rzAzFnrTiAEIReu206a3uwGBkfe+lSt2ppFVuasRnSLYLhIwL
OPDNBVdoRrpioX1nZsThIrCKsyDXD5zRs0Th05KCpaX2NLbzRz8aJhDMX3c+eAq9mU8GP5xA45pr
FnqVhs65oZRbwaLruvqsdpJHuOswEJWjFhmSNyWJJpxI12FRL2jK52GHbqvYKIRWhuH2HRa9FUyG
sp36TeA5foRE7VRTHeF5WpNPjc3cJMLd1DQyl1oQZ/iwHqVKCtDu8aeEQoiIzUC0JZk4McRcdZAs
jDy6dxx/Ru3hA2pIKGKN7/oWT2mUP2SYI4+mRAqjkd/8MmvcLmrriQ7pZWuiSz+gXzqk+URG+YT5
1ixy5MKRyJkGgX/WxMMq781LnWN44zbR55zAYgmy1nRb22rBl8rxxO+5fZXh7FSxepIlNvdCja4T
ZpwnuhtcI6DTqjJK4ZshFmWF0nnY889mG/W3DmgaL066866za89os4fOHK5zg38mJPKnuSw+oQbc
F8TraVw1iasqeGvbx3NnrXoKOxBNBhF3UCaRa+bxRe6n0zgwhiuDlGc5DgqP8KrzijL93uCuAhex
UB6Dv/Vx7+GmuA1kl0PYnC5ai0Si1/X5UK6ttsk+dRgELUJ24JWdk4iiZ5c4lpdxG7ssYuHCCofq
PPdLLmRHH0iQBKdt6V87VfIZyZzN1+LOIeskHAXWPC4b+tkO9a3K2TVuO3nuUOVBCmIR5OiOBODR
ZCYSsq1nAco8lMbnRQAZCYuVIjDT77WdQZKCkgkEo3exzk6ljs7ihoOf2XaTiuhPPS5unK5QQuXW
ZYSDy9SKponF+jPVRfdF4nxmHb2BU7eyM5NGalIHPJsSzT4PqbNwKmy4EZJqphoY2CjwNMMSQnbF
mnmUJERUKgfrGLAU0dsORwTCiLI02MROekYiN6bcmBAs/SFyX0R8O0IoCMXyv3J59no3JOySg/t6
wcZDuy4aBVBEItQRouRVlOdCqYtq6ITDbn//EEhY7njI+uIETKEb2FpHcS8ShrHfldSoKnmF+oWh
LpARCoPd6fbu94/ZzEs+v4sFhx6tr1uzYHvI5mN86FyEKACB406+t9lHg56+efz1HYxwiyqCYNMc
z1Xl9DzLeJpcqRYW2tz2l28f32brfmmYKEjVok3+A0v5AzWL9MqGuMP8YDrnvx9/nZfdwvrF/Iyw
ZjzGISTi5BVLZ0bqxnhaWh6TolslkffmR8EFOBxBeRlO3TbXJciXiCd2gIZ2yOIrFM3r0tVI5KkI
mAtm2MjF75+1Znv0WhuwrJf4i9UFGcW0sXiSXOXUdSrw6FwQLdCpfTP9/YN2zN/Gg0YvpazIyWr7
6UFUeioUXTgFO7I2xfnfrLUdcgl7JDDsggLrCHVe6NN4+VLUVCQDwwvpRDr14ZKzbmL6j79/nR3i
8vIR4+U2VCb4SiZSV8peRv5nZvwvljNs82Bw9hyUNMwfuZsXuECu09TMgIxoBBqQWiLp/xfKy4aG
ZNivTUFsOIFqyMtJUoYC/57j7Gqwlq11WatcIP03umsX6LCI4aZ6Rk04zgVyXC+f4YRprnp7SK9K
cPx61y4ENq+bUmS5N9C/Wck7nmUjeA3olrctDPmnzWeFvg1JtshUV+E6pp7IzA37iVWIDHysmx/g
P5fGPjzJx1NZ52Vq8mWm8jhTnusi6espz6fDu7cTnj9Kq8/lNzgTEQyhCTcnWwABWucUfyU8EaQ1
bVACUIyFX5gglT8TnhZcL2BCkhRTuCuK4PV5in/lPKGG52Ao5BPYCLHuuHlLztNar+q/9B2U3+AQ
bdCooFfBZINYjVRDnCbY6bRvXfpddRroolEXuiU9dyFlnueZp2Q9zOwW8k+QoAm6e/DhIKTIHJWH
ZzoKP3e0uk3DovfCCqKnVtezog28eAikwEgRL8MJF5kTfYWCJ+Q0lSknvVEVkFwxLyHnq12eGJ+z
Nr1RafzQ1hmOr7WVh7dxLOdOCwUyy6/dxABXFgp6lzFU+iBr1RSTMjWCz32uww++H0r+IUx664Op
7Cp0WQuWT/A6gQSV6adI3XHLAMVXOlDXqzrs66vCqEJ5X7O0aiZJ3D7EBJKmXhVnc6joRf2cQGKm
jdhpW5s3ZsB6z7fUPRqSu5pJiB/D/JHYMhU8rL+mepBuqaMJnPvyNVTRIMDVuuQ1eeBddw9ZUdOl
rXFuNIZnpExBCaWSguU59mxw/cFXs9gEs/CB+NR2Ux5/IYF5G9vtVRTlptcb8htc5nyX1myFWCQn
VQqTYtr62qJxLgIoW85bGF+QII+/9DQoRNzKORqc1isKyJamiX1XJJhMMxWDv0m1IbqIzEMdCNU0
pZe2ckFDGkFGOLSEKq1BVChWE0gZJpMY9ac0J9c+qVN3oKBIFCPzLO4hw2HHrev0HVn0DTaFUaNv
KHM8u67AKPumP4mtapYqZxmE2Rm0lp1V1CldaRuGoINza/lJ4zphNe1845vpDNMEdYvczy+Dkuei
8UsvLwc+TxWE1ZWff9cZhCVcQl6hNtLHNnQ6r+nVJ1jSWhCnseac6XgKy+uaYYgHtZ1dajMyBBv8
D4mjryFXBpmCEN/4OYR3dQKpLtSVphuZDeRJ89ALzexTHRFQxYE+1YCgruqpWYRyBpXnQXBUZJNB
sUXa9FddYT7gSl86Wt5FOotdiar7NAhvQhZKL0f1DAfcWEQccg1NWN70ln+HWnQ9FDWICIZ6VI/b
QDhSQmRT+h9qf5j3iW8saGc8loUReojl8aw3fSQG7CRuW6epF5jVDMr8zMOsH04zSBtGfdZPM9tc
1xEUddMm0aJg7bkZ429JIk8l+BcehMQXPMpLIZF1Bm2ieIacJBF9ULgYBMBjOFqWKG+nvaOvnJJ9
aowQsrGwsqAem3LIGtLvaQ8Z1zjPbuohd3VtzQeYGWFZHSSwVTa4Om4+knZQc4PB6vSDvBVVIldJ
TwYIi6xPZmvewmXk3aLJYukmJVlALzmF7Jx9HjYGEZwVtotSxqZtEV3JgHvciG/SpLkMQljbbWhh
0UbxRKbOB4i/iilPdDVr85ZCvNj1olD8rsVF46ISffcJ+4Jo8ggtFouipRCoQX1a+AZZscq4ryJI
VKdpep+2mkyIU9/2vcYzydPPWc/OIJzvIYq1+7BiUOrv+DWN7NzyZIV6KKEUX2mrvIyYkA0xrFzU
ZnHBjU5Phjibmc3wtaTkcwFe2NxBqhO5Y30Y6gaCRx3aEMxyDq8KGXEn7B/93q8WyNK3odKQjs1R
Mu9R1ovagtgtDemXnLNbnWrbbUNIE+Hab72yjiMPYivlKokumzrPJrFJV83QO54y+UUUkcZr/Mya
x7Fy3MaArJZTF45Iob4sWtY+GpAoczHk6OcI0kqXsjMhN1UVnWcbJPQoKW5axavT3rb0BA/NJJaq
A5zkVAe096QZ9V4fhflFarWLPvW/pKrrvBRSuhM4XhbifAqrNS+jR24pS+TrHI2p/GnAaD/nqiwW
Wc6mcUikF4KTPbXBFRKgD4eZioovpQ0J19KYBa3/P+yd2Y7cyNWtX+W8AA0GZ14eDjlVVlaWapJ0
EyipJAaHIBkDGUE+/VlUu9sl2e6GAd/8OD8abrQhZSYzSUbsvda3NveY8MLuIdhFkO7qNFuUcbNU
83RnnX6A4bvQ+6j3xl0syFFU/rmJ62qneZPslYBeYxBWyOm8LCc2TW+tcJsdG7V/8kZ/Ux/WqWxt
1R9Y369Pq+E4N2ZxdmFSDZnT47xWHseKqGf49VRmmAay5l0431RdeqLpeuPUK98EAbmjMAQlp0XF
4ofEiaPzqmAtsGll2TQv13Fij723LtgQSbcbfVlnE3MknHP9NRJ8zjiGd+5tom2+kErniYeOmXTs
qmvvigbOLdqhnvfjuN74mp5p5xetWK+zVND/GuEWHjUQNWJ5ScPma9LzL52iEJviFK545ECmc8LT
4CdLSaNqzqtVdJnrmmcyta9D61w7WT9AhBny7VGFUAlIlMlg/Nat8feKu8FO+4EqZB3gLWuvL0zn
fhprh0NurS80hXkJ0mwujICDOdD2pk+4e2hsUz0L1hW1oZ8iD9q1h1s37vh3yfWn0HeykOnLOONS
DjT/SkMvLUlat1nKu+dpgFg61PWceY5zv7qjWzhdfQu5G8be0N50EpVIgD01dGYsYIR8s4mCW0HP
CZiavVsvp45uzETrZKh9X/giL7b3+ixaOM9kAzuSSuj15Cbs+JszJt+NdaYsMsOxF86BquZb4sw7
NQ16r+KxVCP+1AzOMwzA81rd8IZlcoqPo2pf06n5whQW39lxs0bGx6mm21WTVLmK5GlVcEniFqeH
O3BsR3VjV1zPNfWAg3jBN98d/Azo1UPdVPjLWMBnTs617EgWuEOVE9x2e1Run1GBHWs77AQqnczX
0WkNB55P4EsikWQ0NS/Ex5uPdsgMhdJkIrb3uf4aVOlLFdM+H7m4uDG/bkUM8bHhpX21h8THiyXx
L7atn6QxLBuVW6OhFtexTs+LR9PCj8SHyZEmixsQIys6/WmwazFv4ikxPBv8MckU59Wuprh1+tXH
YiFBBM1Ai7ykn0uGujNLurp0en+rHuQx9tnJLM13RsJ6V5nkbiHNflj3Km0LL9nLpS+IPSdO+8i6
uYW0E/DcTcJ908wjNFkUMv76xU8MbLDqSxLBqvOgCTjUZThZ4nUY4BZazzQhNuJZ3uD2gdlhxwwO
0jMZ48zCyUyULJODX3UHb+iOs24LmvjjfR9JvuQAvyJT1kFInBc2D4ObWzAj8tRafGUfst+czDCz
Z2e5X3B2ejesnSKgQwXXNjZ1kaTtaTAujqJ1cLc5cr/C6crk4OycuBmLvnXMrg6GIuDtVNB5+EgT
spZ9MotsXipSdl7z5Mv+wQSR3Sk/+C4a+RLUcZhxFF4OhdebhumRxcHr2Nur3dxgtvnCbHOIUXep
vN1c43Dzj50FTjLfPOV2c5fV5jPP3nbuUJtPoG+qlJ2FJAEYgqCwOr7MMKtTmNZQZNKsh41N0qVQ
aXAmm789DuMX7C0L4Joub2GBq80L15P7bd3c8XXzyZc5OQQwzsXmoKds3Vu0EvBa4K5HtH+ThoOT
gu8ebg48KLVzILoPXjuDwYRHDzTBHLDunlPY9zG8zbzfHP1pxh29efzqh9u/+f4KAIDcSIAVSMC4
sQEpaT+3AiYeu2vHFisAUDrrH0MJgjBN5ouj4GP0YA542LyB7Wmziiy5AZUwVO4lTJddB1oh8O4i
zTNnBd+2kQwzkIYW2IYG4qBj/QRTWGYN4IdE7i1QCFupHHXvZQEiUY9QvDdmwgc8sW4URQOcAgf4
xGonKmLUgiXbmAusCp+DjcLgK8zXAWCG3QgN9YPV4Out2egNAYxjnIFPAeswpn9tN85jVhpXQvqp
AwBSbyDIRoT8/9jQv+/MQ+RM/6yXx/Ps6++D7GvoUv8AcX971e/wEkGUeXu866aqhL817H/08hj+
uT1QbmNm0Z1vDyf6ey8f4PGfUGCixIXek/7cy29jX/GGKEYSgE942M1/0suTTTz6uZWPII1hSB10
BkhY24Sb9+KSXv1hFNNkL73x03I2lI1YoZu4xZpg5nuUA8upsXPflq7b6k96COanNlBWbK6YeHn3
6/1dEXoP9m7PBfj1aBDqRtWHkXgBImK/SF1Bv4xtyqb54omeXKp27SnqkiFiuZ31kGazCaZP8Txi
b5Q80SLHKgc2l64qDnJAX/1bqrV7h/dgU+F1HXlaQyche6y59BtZHHhvf37E3s8S5iaFYNoXWJfU
S0MI/t4vijlWWIZzu+iLb8OqKiK7dk9zgImuOx0vQ4jFGWYKLE2agJWIljpbWtffgyxcSCHnQb8x
qxTJawd9u9L1MMNMZ9gHYhm2VVkNDbu2U3riAE9VgaRV+qyYuGk7E9qyVsCRa8lmvv/zb/XPpyEO
MOIMJyLCteH/+NLvdNN4cSrjjJ269DBVn4cKEmgWtB4ujbGf7NVYmT6MlHQf//xjf1ac4WYQjMUE
ZYIH40Jl9PztsN59bOhagMSq6i99shKYcWy6YA9F/0/Z859/0s8y52+fBJQQQ37wwCEAhL9cZ3C9
llVINlzQQgWvwgyy21OdLB4aVla6YurW3HeXBLysHxr+VxfNdlG8v+nwLaHDhV7gBxEMqV8/Hshi
zaqe15dYtOErb6bwFSAEjgFUlyojOQwZ2rqG7U0njJeJdoi/6S5VR5MuwdlGvnShDzUQEZq459j3
R88vWLIs30ZnHgvXWXmch+kQyEPoR+v0FyLx9sTDX48/3pYNcI8enrsW/KL/wa4N+zCkzi0aTP4K
bklVGXFa3QeZD8cARimr2y9Vko5nuwrAR0Ng69wjc/xdx+u6cYVVnAdDM3+rpR+/zeHI4r+wL+Dy
/HqUAD9xEW3JJcxchTL68+UEEKR2JdP+bQM8h6ZJoX+UFRr95k7P05RLK9z7mS/hBBCHxbkk/V55
EoZxMHp52wn+YexCbrO4M9ULcgTDcVGgMUdAOU+RapOCip7m09A0NUpFvzEZbVR/MaOjoBaufllV
JG1QE9Ce597M+CGMNKqWprpWS+/brJticdFUPGoPaHsRzcA4SL14WBvAo6yZa5Lm3LEw+UTdKTix
KCFoKOyc5gYMGcejm5f66AC755mBRQDuLnSKtbFfRyX0w+Q6kKwM1/GOKjEdA+p5j4IR0+5p7JA6
W1lLv2AumpxBIQjn88SBb4yj8o7t0I9HItLurZ5HiGujz9uHOqU2zmYRVCdJ5ZQv+B32JPDSO2G4
LQMjBSAjSyCPhjGp8tlUicjBLNCSK18W05jeMepUbkHID7Zm9Ezeu02UJTruPlrushtPpuND6Otw
P6WN4+1UxNfXBImFUrm2WXdzm1Q7x1r31VOd+a6qcQzz1dPulPWVN1eIGYBb9Y0x5VLNU7KTA2UF
AB5+6PFXMyzncsAPDcMua1TTOHlMTYzEAJjuLNAdzaF29hwgZ1tWwbS492DEA0g50u1QSgZC73xt
UrW3fmzPoI7Wjt4DUdLoFJe6W3r5xijzvPWTMo6NkfJIJZby4au38Eb7Mpv0NI3uRbeat/aU1mLd
z0ia0COXdT1mDTINDy6k52Oz+ABCIMR0NFuEm1qcLp4kRU8p9kMNBVqUESpMN5edJvSOCReQ1qFd
YsOKxULAPEdK+7iiDB0IWk4ATs4uclhD72bcOlGVi2QEYkH8VvFd39USuQeBzYuWFkAamgYA1mG2
ULcP8kFRznOWTobuTIfGvFQo3dtd2Fd8zZM1xIrZey0yJZxJtDCzQsbmqtD383Ko6uS7M81x7Rbu
4Ol9HSRTcgkdWtFT78c6BqvUWyXW5QAU1pesHKGN8JKqeRW7VCrEapYu4svBVYqPeegtXZ3HNly6
vaxF7eQ4rd4LoKOVFL4ftbzA/1znrmtcuACT7vuXhvOUH32ZakjUTEcfViCL/q5xBo/cMANIq89i
5jG9p3Ie+wdsxv6pqVav3U0jjqAcdFetZULsmuZJs4zmlkPxo6WDWwUkJyETUKMw7IqK+tVUxP2M
01nHCvVJvzb++q1rkZdGp6c7XvgL/I8jcevgUIF3AsbdtsIv6qEGNzvRFuK4kWN6bSgchdyvBSwC
PjYr4km0C3ZkpFWIw02hNpCFrcOR1VCHyzYNmMm2v5dBHQHNPEHnEkgN1c6aaVs7nxEUGhYnq3Ef
eRey9vVaZ8kcOP7j0hlvukRjusDASYW+DaceW1Kl4hYvSDks0B3oa9J/gizVs5NYeIdW0yD4ckN0
pR+RWwlfQ0s5zRKCi3c39Tb2SxWtNQ5+Ig0vOl+0CggmLWtSi0+dMagsmqqZH1QYmS+jZP5hjk1F
y6QNXfT+CcX7hN3QWKh8M7msdvSDe6VD8ki0g7+BiJRKck2W2JYzBLga3J/nmWMfV8q7q504fe5d
sV2cTSPUPu4UU1e7BJBIXWFwbpjpcWCDwqJ7gx0sffZBufKSY5WUkOtSOxyR76HetYGQ2n6AQJEG
ACBBWd1qq7fiky32GrZOZEtYUvjoYVjXTU6AybN323j78tuhI6OzHdfIySUIe3yLSYT4qdC/tWue
tjNunbGr2voefgpueTmhKqjwZ1hTPd2zOwEJH+SkPzIXpxuw53TLHTYqaPSTsAiqxK4P4kB426KB
mynHN8ICYlOy1cm6588UT6o/JXNdJ1nCwhbXxVJFr6ZH35xZ2SwffG1ddVOhzG3AWoOWfUiwW+xV
75KLSCvxKXC9CEolHAvvNCTIqt1QNlRzschYGBS4i4+WGj9r7sZi+dp2bXi1k3KHg3CXGVZdxCt1
4NQBoLWm2xpSi46B4UK6oqw96Oe7MeLpi+OC8+JmhDEVB1jmFmnYh3rQ6iblLUSa0JNehWUPDA68
Ei99lo0zV9BANidtRXwiPcJiIOIbx4K8nPDsX9wb6OlxjTQhOvSdnSFTY5Mx4obIyYtymnZ6xk7r
zy5Kb9F8lumcPjoLyvTTmmpJ3rTqFwTQQNLOx9p4eCvLCVthHFYRwhk4LSZ32i0lN8yzvrVL3D00
UMmzJFaHgNs5PKwmwslpXaLW/QgWcrjtIxucHe0GQ8lEzyEWL2ZkeRIqzh5Riag3N+2xjGDpBC3c
QjhUWQotCVYoXcRDVwlSfyTD6ieg3VGBLU8QrJ0Ub6aoLFnstNXJoaP5wirXmREHVFF7rFOX3Fvl
0HUvJ6Hqsl4nXKQ1VFf/atsOJiuPRtg9AipCdBsQFkBpRnWjSsNGnDWT9HWVyTXmWDuU6kpifSuL
ufOgbayJwNXfBraKi4UursopghPixYQLeWwYdG/cDnX6jGudq2uf9gQLrDemzS7hDMy/nT55iKYl
JGvbOX4KvV6YwoSVDm4D2iXzB0FVKrG544oux9rH2UTjsFioGrodzrEcmX/1rNtFR2qHFN/LAua9
baUD9porijUD1dikb7uO4vhl2lY7BbOEFca67nERAe77JYpiGK6Uxbc/Go//NvRwW3+Vgxq+61+D
Xj/RE//z0mAuGq1/j0b8X/76Nsj3UspvmebtVb/LKdtjjUA/IPKL3G+C58+9QyO20HIcAEvwXJ94
aFp+JyMQTMbIQIwODNGyoPl6R0YkiJZhDBE6QTwMK4rx1IX/gIzwf7T77zu7EL1k6qKNjQkUmjDA
4b1vYYcxXFv4TOrO7fzHdlAPngpveKDuWzs2mZkDpEFclOQkODTL0hS8bSlg4cjk2k40c8WIJW8x
U4FN+oMbrGvOxs3HDHSUqZXca1egFU/xXn08sLJrRnJMK+llI+seZNw32doPSUYGe+sId8h434y5
WWcnd2xIC5RaTdnNnpNJbaDv9/wxxgDV23he+3PjeTobIg9JIorog9fF+0ClFcqDweQRY0h7yP6R
9YkPh4gDdAIDLxApoImuStViJ48D/g393jNqZSfrvPAw+M6Ds7YEqQV1u27b4hpWX6CFNZkIpyWX
A2K18tiQM6n8t5m9Sj/XaXUYBgo/bp7Q+64TcgxL2xV9ZyH2r2osx6V5Bdo3ZlbLt0mbE5B6k6Uu
vpCc6VHJ5LpsRuvSl856njQ52SD5HDYRKO4myNIldIs0Ds+ykteaW5sFcwLVy5K7NpIdoJGpJImL
U+LHyIlVlTrGMnCBFCCcUpngPnXYV8j796pPsAF2fpfXhJGdJwZgtPEMNDuSUznSQYMTkU1BWwMy
2k3OXs2Oy1QHGdTookn6D7ZVTeauEymFj5Y9UchPRyl6KWCyoqyEnh8q7fo5JXBlnKGByzXuYUye
VBs/Bun6Spyq3/OlzbSry2ZmKXxm1qJdk7BmghHBunmL84mTT/BdVin2qc9B81LSu9cx0P1DQgU+
WCokmUCxBfJrPcDX8mbnigv8NR3qAQ5Y1Z9YSz5KMd9K9ACFkwQQtYz/zZrp2xwvy05p2CVCJfSA
svwLxy0K681Dwq6O2h2o54fQq9QNT9zT3DSfxjW9WQUy3uHA9gNIF4HEBhiSxIVnTEk2tNRkcO0u
ullx+8yPrKJfBIuTQ++jEWoc/gBcB/SjN70IPz62AgnxJAQ1vQCjHpaI7xLVH6MqfJLMZadZ91HW
NusD3tOcBZhz1EXDUOoqkrDFUQPPCAftSLqdPOvDz4loVBAavKihgXi+TlOmVN+flDdZhEPiGGw8
2P1OdTpfrRo+Vi6tDj1j8toAncoMYu62X8gumfgzDNomqzRD2dEA3vFAlaBe6EvaNRNKoLbG3a69
o6oHhrxcxArpTUd3TdyjSMChE9rtIxwL4o7+kmFZ1FmCrVM1eoUF0B8CLQ4NbIJmQNi6aXSDOtIh
uNMCnaNEttkSsLhIMfJABwRNDv7DCcJrU6XZoOYnYpubUE5wfJdLGsiHOZ6nbFV8zxzaZj2na9a3
5DLbCfG4sAdEya48mO7bCsns1t4qvn5UFJVYC4k240PzDBnjFFj3sCj1qIHoZmLq3cwdYF2mCAO0
SpSxK4cdXxKVedLeUunftz14Q2sIci3jyZumHv799D0I6ee6InfQii6Qtq6iiUWezOoLpSH85Xb9
2DHYNEBBkhJ1/GfFY+zvCzxP7SGHzoIb6wB4mDtcNdAyEfX3t9R/jciPv0+T0CvZgC48rIff8OP/
9kb/P28L32C/f7+Fb9NPb1/1tz/GRL6bL4IX/rGLw9/AQH2EuKDAukGEP/rDFIG/gUelwMNOfUCv
25MXft/GY2zjeBJWEuHZDH9nH38HHDEZFPKxt00iSpF5QVnwH2zj/6Tpw1XxkgQCLcZGg5j8RR1W
k5kEjxZz5w5XWQXl0sS/XR2ozv51bHwTSP9RJmzPjEAdgsB6iG8I4yDYpMt3Sndk4taf4mm6U0Fz
quNnx71LEQALDoRezXxRpHx3Eq6/vfN7YwUh+b/4xO2I3n3iFvSr0bdPSFlMDlClSm+AzODB060G
dW/kkGCVDMdL1IKaUNEuahZRCmppWAIoijHjpI8+W4xsPEY+m6FIwfklCre0n7BzOHTPfeK1wHjc
t9lpv6fW+YhY6HUgXgBxDSM6mkouOe7xMPM9hkkMKCEyXtUV0q3RXkHP2YWQcHfVWA97utg+r22N
nV9OPuQTF/Eir35wTAJqrf6QzPNNGvpDFtfz2REUZwkKLKfYxYXRRbD4GeLD9xRheDBcPsoJcp3Z
RhdEx96damwF1c2QkmzynSfpYADL3H+eV3Q/MYP+sKqSABWrdbAPxuQEGtNmLBoMUm1S7dHv3w5T
vD7E2k1lJsNF9Q+DYNEhEmPeIMt4EDCq9f06QnfOJy7tcNdVwVnD8rv0fA0PgdIrIne++NKiKogi
cwsY6jzG9dG25lamFJHV9rKs0QtGiUQwwTGRJIUQIr36K5zGt84ZwtKEwa0dgxO6+mJux7OmpkRM
/7j49dVdRd5TUdR2OWNizHlKIHrqlbt5FZobNbsvYvLKIAB/wEEzhZ2FjoEy4lJP/bVv9R6BxEu7
tid3aEE/jFjDWw2kQ9ikz9TculmA1RpY3BNSr7C1HbfaeXycjtNk9L6jnrpParGcO1hgO5V4N+Bm
UsfcBSz5oCaEJQkDdojdEkoWP9Guvk6982DmfsccnJbBdmUCgivm+i0GF5WRqLlH6VWmE4dWbwlC
yFGBFN69nrBnqhGjS0ywN3LeuQEtdIS8J3GLYRgegF9eORUiNxYdNFTT+YNd2IeIkqNEmQ0B9GPQ
9rmNQ/k4uo6fN7X83vuArBAnBLeXrStFMMsNEJmcv7mmuukRERYAIHOsYIiVYwSD79dl5JiM0OrK
6vk2CJsDtJ29dcOyiyHCWXqj1HCQG0ux6i3xe4FpUXjGOWKhuF+SSmOwgasyP6A7jMh5DqRClBMJ
GdH2GG4SdsuhNWF3lB0GyNQAQ/zFObVqfVQjGJyl05daDpAb3ALECy5rTM5BANvbaKNXhOdvB9E1
QHghzBgll4wqg2EzFMTFj2Xmfzc9zKv6i03vPNXq/9x9qdX4r7Y+vPz3rQ+z1DB4JCTb07cTjMLC
Qv3H1kf+hgf2ok/dmlX0lu+2PgwtSfEaPLAE8iOof7zq960v+BuMbbzMJW6awKz9j0Zr/bxNYEMC
T5DgXwGm8hJk7n/Z+qTnhwpbV3WHuCMq1Zs6YH9hHiJI9vNWhMBfgicrYcRrsjEOP7rx91sRJ4Ob
jt1i4e/Hx55N4DMRB5W7mNtbCEmRgXa+qP26zCDGsORivJNOwAIDgBkAxabRbSxjmKF9RcXtJB14
TFhLI0C1kePChlKYVVK4I4nXEgRoOYzGHTE+CkYEIHt3by0sF4mMdmlIRPaSBaJUg2n2fjS64Nuj
K0zVaj/CQCimAcOxaqfqkMuUQ+Pse47G86GXK/sOO2cGyvgjEZko1ynT35KSaYf/V5Ix4KSER+f6
D/pHtHIUVtxri6OA57NbnQ2At+yjP8J+sExm6JnBW2G0gT+LPeJkZzNFJIu1c5nY/By2/qNI1YNE
zr3q5+co5H2WRGLI2joAixXArRJnzBM4kqpqMX5iqovKRjeGdFni8iSbqwGko0Udjvz8OiwnGYLL
RG4h77oYY0oGcSfrqDmkPTtP1v3Cona5YaMPn5aCZU868o11Q1csaVouQ9RkOq09BOp8vtPWhvve
p+uNWMabmTp7y9uDdupqz7tQFhDpQJGOpTD1LTehX1IfpFnFxv26yiOV9QcWim7f9GFfVE57lOuA
4ROKHHtlZSkZf8AAuhvmWwMyzY2+QkpWmClSGRCo0c5CScwsqbGdIZ/gJH3BIQLYUdyaABNxSAPE
q4Xcj7jNjDasCR/CYBky3wYYRNH3YdbT1Cs4RbfkLvpWRBBLqhRTLzC8bT907rcgmt4IZgjsJSyo
Gz/lsLdYG9b3I9BVcIcbWUpankETck5p25C9StyvrcOOa4T5bCR+0szZd4zC51xkSdskn3z4uDy5
n/t+l2LcVyNpuSV0eWTaAyZfIDyjvUL4+OHDPoYpNr+QFd3VGFZFnKaf12i+HVwkBWppT2HnXle8
6Ux6WFIsWwOyn0YHBin55jj2iIFqZ586hzR+tvTzkKynmK/JLmyqUsbhk1gJxjHYL/OEnIRO9A0Q
wzMctmtFG5L7HmBU2gIcq7xP27zfQhpyToO+yk1wJ9hh4QHL2YoyLYQUGzPnMbHqKQCYZysMywhZ
dQ3m0ctA2S4ZnzGeZWiPqPu7bJ3J8+iwxyThT2jSoFyZXVyN36Gtn0TqnGDyIlfSRCfRpPsu6qZN
Si/8gcDJngL9ITDNCd/vJmzcz5jMh3i339UZMDu28/yxufDAtgfrcA9RoST+qJKhlrA8FvrENW0/
WApFxNqOlAHc7AzTcFghnG2sRaernGnMXBGe4xYGt8V5HsP6MgUrJuV00JiA7o3RdofhQQYDhtph
il4iaPJljRAnZ2H07CgvKmcVXcBTUTT6I2qPIFW4mH1MuVim7mZJMGKi8sIP2kV16wsjimoGGUtI
c4OBBw98bDHPxEDlmsHE7ODsfYwizLiJ5kJMzlrEVvWnBBNWbunI8GOvI8raaPgSVE2TRWJhuOWA
CQTho4uUD37Hpd1XS3VuOFkBIdF7hMy/TDbNG9oUSQPVjzruA41wlv3xs5rach2aw9zo77E0d124
NruKQlryTffJa6YdpqB83pzEKVFQJIngGazKMYNNkmRNvJwVRRBpqXOMMikb4b3xSNv9iHkATT9/
mn2KgSEaI4Dq6bPSwW6UOM2t2Xk0fiG9eob3+BKSgWepbR5st5z71By0QKXumOalYgs8GNyi1t7O
lO8rTnusn9EHrdc7DN37ZFl4GWCcJsH8YlaZEwNpKMZ8LrjbWCxc5IGDtOwRnFpFDUulifZBE4aZ
7TAbRCf1sVKWlczvAQCF0QNZcdZUR0B+9vGjmOuT9pFCU7X7CTvBjaADmOO6v2J0iz4MTfUSLgLT
91zgN9wvsdwUzmQxZAffHoGpM6Y7HYCtQbYMP6XjXFAQMWPS3vlhcmh5AKWJojfy2lcncYoQySzg
SKi9J/rq6vaE37qoV4tAiJeeQCjcq9HFYQbqBLMbNWb0mWLM0bygaoV8CGGmSJJw3SkIXhmv2dUN
7HfqGhj7mJeEeBjaorW+TcNuLwCiIDy1Fm0/HOYKKbEk5dvwGL+ANoyBP/XniA43rkTyy/MGveu5
i2I9CMwVqUOWJZjcVLaJ/Ni7DJCGm9y5qQFf3gtxo0hc5ZpZvguj6GuN2hYjCivnoxlRrDfoTMvF
xVQ+P6i7N6vruPB82EGFWbxbePP0+7v67F/0wz8DTD9y+gEIswhVCMaRAnH7uRsmbUg476lzaRpM
jnlu0y9B+BcM3V99xFZpvWu4F1zFUYuJhxdXQNON76bxzjbXP/8am5vwTkbYRifgayApitrQj4CF
/vwZnjct3KR1deca7PLx3aoxaePRcYo//5hf1IofHwMrFa4LEs4Bxq7+/DGAEBc/bufqbsIQJoEw
gwJU4oinKYBYgcE3CgN3wt/wrf9tJXycxD/Xz/54sMg/O2Hbi39vJDwPU5tRQAMhBowXk/camr/J
YZiehqfl/N3v+oeGhmVhM7v+8arfG4n4bxFYrxBV+X9HQ4sDeHH4B2+KtPLP1wxqEjdpqFxxTb6I
BBQvtOl3P8y/uId/ufihoQV4D8yZA2AGYHRrpN7fYJjhGY2gQcidsrCzXFAidabCt3n+ran9t1rd
zy3RptX9/Dnbjf7uRh4cMgpZh+QuhMxA5NnEb3/+RTZn8v1t/E+f8Ov9RUTvTQzfxNvwuuApTr8P
GOqQOohUAFPw3FzNn8bpMNXX/8femfXGbXXb9hcxYN88HrJYjaRSlXrJL4SsZrPv+19/BuXPjiQ7
NgIc4OICXx6CIIlMsdtce605x2ypjJXoJQ4B+BzV4oIBjhj46lanpiF8m8+gQFgSXw1ZuBqd7A+X
QlH/8Juyr31/LbRICtqhXq4FRTw2vKq86/rIKxT9MLCtCBgYRNOrhTuz4h8x2ni/v1QLQvqnS4Vz
bmkAy5hpPsutc1sobS9b04HNYaR4ilOnZwnrVutNb902J5ZzMHm2fVKPjWt0w6WSYnYbcrxRPbpY
r15MqGrZyfCuhHwyALStN2l2r2bayRDIzBJUKVZuRqZkGy1xYrxSdusiHoI+V+/KDlJijyKnnVZ9
O23C+dCbkZ8J6IwVtZDJznJ0jpl6hJOzDmCq0TwSzXUj7L3Wpm6dYKSB2qEyYkMr5lkzplrsPYlx
jQy/WpkaQ9YK2y2enQ42nSWjtii3U3XfxOgLJY3+Zo7aSr+I4308ZpseSMdNZqQMlJCbFs51qy+N
McONe1p6RiR08CqVvZLtTPeLJH1ogZ9k2Vy7jhE0q4S25O/v0Buz4+9vEh0E1p13L/5nQ8EQOQym
xmY+yBttG+zms/ZO20CBOzSuctZuKw8X1crxprXmndQn2bpYjQ/SLlm3G3mDmn0df1Nc/OPru7w8
f/8+P7++n76ReorGNlseWbYdlGk5htjGrdaV/Ifl6FdP5vvl6NOCh7N/TsOQ40iMyK7H50p4Uefp
Ku6lP7wEykf5+LdTev8SfGrSOJx/rbH7PoS0K49ssphJ1sg8G5+2nzjgev39Pf3VCkjSB6J8crpo
Pn1aATMzGy0r1dTDEDc0478yG/79AX61AL4/wKdrh3kOtaRQ1UPTrzojcQfJa8bkD2fxp4N8WmWd
0THnyeYgTs/s+aQ1r1Xzy+/P41efpPfn8Wl5nPhW13VmqAecQN7I8EE2L5343AnHb+fyf10d/aOM
aDnQeyjLfw688Jn/n/Kil1Lz3SX/iRf9P+lj9vL8+Lkw+vZjPwoj5S8dQxPNUnzQ+hv7+UeHVSUL
FvPUt/bqB42Q9Zcj646Gm0FXKFeWj/TfhZEOese2TJOUcN0B8vMvhosIAj+sSMsKiaXLXGo3ShfZ
0T69vvYoKqezQ0ZxcJRP7NTR93U+ntpwAD2jq29NuA1V3CbbvLDS+SUsmkq66OieTBXUEATIKbTm
MnfbhPmH0E+KJsPnm0IIwWyJcyhRpE2U9rqrl5QJSR/ukKcz+SmRECAgFNgr+ypfZ1aZdleTKB8g
C2BhRwdEt5Ghm1eqcAz6UZpPDLyiYeBN9hSddGmywuAr0dirX4WTgz5Fp7mZlIKRjJI4u7QT/W1J
Puupiuhjb2s57oDoquy0sPTtbJLXpWJHq76mqWL1DkgEvlkrmBOqq5psy2torolVt34loDq2ars2
xvLcNpg29lrhrPsUnzsFCKLjMB+29dCcw7Z0PEjQD/UgziZl8BfOjNqoe1kXp8MMB6Rl3ulGiCVd
igKYGA14TO4wEiep9TmYeA2GwvwyzXHP6GUpDnBNIGgPGyyZdXcZJtqV/VZUlG9DvWiZ7+F78PJl
4le9Df/Mt0Fg2AVW72pWoG80ZaDVaATGaxJ0w24JWtt0Oa2lOcuPU9ycm3p5kqfheSWrp3YrrYtm
OJEyc1XMiBFB/Mkx0piofB5y9TJqnYe3d+b/evX4/0+bIPOl/Oe91f8AMs1fPq8dVN/81Pe1g+mM
sWxzTQb/QM+WEcyPteNNeWjw1zdPJgvV902VTc44f8kGHRqbHZf699oByWkJUgFAB72eleXfuTV/
8jShbVTx5WkYffg9FZMjvS/ARW0NcazZ6UFSqgcRtYiuu/SrMhm7VGEgEAMkbtCeWUbmyr21njVx
5kzV+WBnDHiHrNplEZ26TkhebXXqGvjaGqLA1RD1qm9bRef1YjqT22BlSnQeI6W9jWy19FIlPVt6
9NBB6m2aNI+ZSXnZKfozY/nGK6WMXqYxno52/5x0ChIdKEArVmHfnHrDVaZ89uVOAiyTGSOO/a71
rI5EDGImTK8t8mmdF9NRnQxjBWjztBsNJviivdfGdlwhvH4uZPMEIx+U5RHEmuibBPEALWcazygh
nePsKHd9ADQ0toFChCHT2NRiHBCbceTNgv4zwIHAtYKdJtr1ZLGNqpA+U4iPt3Mo9q2Vn0ISOg05
J/RjUU3/Tb0comTVC5H5Sa7uA0W9Dhi1sg51UJwcZsRtQ7xKmUi2qwNHyTTanWgQ7myjljxTnkQH
RBjasLhq1bj8gt/gdpp1Ui7sBlIgCoNUoW8TV/WXUSAqz5NNVrJZ0TujcGGLFMgTAtWFybYPhXqr
VWxOumg4SKZu+knSzSvVmMHNOuj5Re1IG6noLjUpfDbSoNjgbYDVkySnhfnYjo/YOtZ6aT42k1Zs
Okj1aYfGsy6HrLh1lDC/SuW0TF4iMT8PY3g5a+gJLVgxyLrq0LYfayU+D3i+d3Kby9uxVYuDWgcO
IMcA8gtJHrrDygpBftvWE5rGECxESFDHuRbPSKmjIhs2uMLuBgpwaMHhXhuLF5Ti6hZshQMZx7Qh
2/93nUM5RAVBhf7P69x/ArJ+XuiWH/ux0Nl/MStWKXiY836TRH9f6JY1cJk2awY+5W/irO8LnU6R
pLAA6TqAUHXxnv8okjSE1LpK3gbGYeXtP/2LIuljrc4JEhtpMH9G7QVhjrrs4zI3ypLo6zrvzucp
8aq6Yw8Nm9rOvj0g/7g3pCn2uRZD56syhKd9KqsqLYWPB1JwfVRmrJfncmc4N0lYSaaXWek0b1no
jRozYN7pOxry81WsYvZhYqzfxbYlHsoipskgJudUsRBDlxi2x2M4aZfaVPQ4DCdhNRCW40b70o+V
aR+HoOr7dawU+qrX+8g1IX2wo0oRe0VlWai4h1IA+oyFAMJETZDfR8lELo491zJr4JOR6sO5pZfp
Qe/kMvWUMkkheQWjRk5R50opQ2wEUUOhHWToaslZn8aHumWKBD9yxLp3hLvzYjTlc14JDKHytUWH
H9v/xpDMYqPKnIVURr6DBsXJfGPMdsE0VSstyUioqJVVOlWvoc3aUEJKVsvXTuuvCK+iQ6HX8YOF
2h2RadLtkV7X5xWGrpM0cvYlhB5/nlV2jpKkveoYZLcYK2S85VXpM6qFgA1wyFeHpUXinDd5M6xm
1e5XIprVTZtbN5Mi3aeQOlZYoiHXt61QLdZGWNiCSYlPtl3kQ2Dgj2ih3KPhvqn1FqqMaefhZSN6
ye8spfadUR7v9TSauIpML9wm6eqVLtXTKjbmy8pskXpJMP7fvXvHX0jvPu6e355l7AoyTSus0hqP
9cdHjNSSSgjkd+eNnz0OgKGu5ivLldzKa7f5FrFzuBJ+trH82s9d40Rfa766Dbw/bn8/NSje9jYI
G4H/LA1HQCwffw9jRO8kGjzvgSpOppSUp0RUgVsOusrsIHH8qg8WiZkJbwoM6F5YdXCicI8Ivsi8
yUIdHBDBhJj5C1B2Z92omLTatkT/P3+xKHZdYlNCWAzjXZXCzFHriiClJtZW48BnTAnpYBnh6E8a
gRBKztyRSBed1vBsONtZg52uqhudpp9btTUPhaPDNsohQxGoo0HJLuTSHyjz1SABgp5HygoaPp/1
GF0zOWzD6GibSsQM6jRxI4Ziq2jZvhttGU1AiRGPB81yKn3dyfHV72/xx0VkmSbRaacRzXppaqb2
uT/izOrglCCizuWeriELQcrJy7knRaEPiYyNWCXY0/5Y0X/1VC1tq3dtrZ+O+eluSmNv1X0imnMM
ng9GwGC7E8Vqbiy8Zh16r0B2hVmXroX0zUiBvxjANYCfky5nS8ZZEdn3coQ7rW+k1yBhAFtVe7Uw
L+RgfjJE9QXEY0UuUVWevv3i/917LPOHH3fwp8bFVfRS19zjvykx36xNy099/yQv1iZmLwo7ZENl
LslC8f2TvOQxLh9D2OWU/ags/t57OH9Z4EfYrCyDFu2DMsz5iz8EITPYVxgeKhOif/FJ/kXoIiNA
C8EydQHfSqY6HxcQ/BZZiHdBPiBRY4nI5gXo9aUQz7LDO0z7vzbzM7I42G8Pjno2lPz7WrUOppIf
uqokEEpcph3z/mZGaSONmyYJ7/Pa2FSldanlNp8KKJyN9aCwPXbTBZBoJaetgUyDzz9wN9HdlGN+
zW68cjtHTr2KGI0VMP6HII5WpqGeGlOMc7d6nKkllXi+V3UJcdjYnoRGzvofW14yR9sGebcb5/O9
IqztEEKX1JN20f4+xFl+M9vFmRNX9xRAGVFv6qs05HfUILeJkqF06Iw1tfZ6tuZj5CCO5cw2pUOk
xkBHw47waWmBTbxiMOzAubiJNFGd5/rGqqR13fS2O2X2LVQPQI8ExuzmDncUkTWnsZwyxR+kLUk9
OjOeOth2EgIkfdypSu8yJ78cyu5yarP6JjWmx7QE3mWSbidC+U7OjFNbBvBWyuOeMA3DHYQl+Uac
b9ue0L2x6051vdmZmF4YzRgnk/KM9umLCLqbyTYGLCIsqrNNmp7cLBQAbU+ywItmMfKiUrwxZ1bP
QdZ7T6I6APchiCTrTV8ep23cTBvbHvyyj866hmsmRKozuBexScoMIrn6HKO0EvqBFReb1kBNjQYo
mtAplXK7K2yS0loLXBg2Z6QrVSHXlq9GetD7TUNF8Jj21bCLW0NtcfXLBLCM2jDB5FMLjJqpzucz
ZJErdWefdVXls599ykO+IFJA913T+SYhVuCfBrQ8c/NkBp2O37p6ZcoEdgz1y4Qo27UUemfCSC6t
uZxO4TKfS6GKs5xAMoLfwBFL4X066g+5PQ5eP/b0tRI6aVRMK70ynuOyeVWn8WVm+4NdN70V7NJc
mgZ7uQc2mqClrHMp8uOh1Xzd6I+jqomV5iRbPawfcLvDlYC8CWPdfsAMhIVLR2NnWsMz8mkkwKRA
8OS0IDsj/O5y7Ih9KqRz8ZD2q1yIEzIgnvUR9nzG84I4y0jmUzPPN3FRXvRajJglGW9KHS+xWYhF
jIZZD/W6kM27oMwgz/BvbGW4g/Z4EQWpN+lSczY0D3BeGgw1UnGK6WmOVvxRoytbyUqiHQYuMnUl
KWzAs4692w3cceR2l4SNil0ShqezmZ/PdXnCpv3VxFzkpXrPqLaakvrpv9+Vt73ewt3/5+/KMX18
eql//q4sP/XhuwLZC7fNEpG4jOLffVdokdOcoLVNWbiMW79v9fh4oIvRoSThTyGbg5/63g/HTsve
bPkI0IGi9PlX3xX0Nh9KmaUfbrHX4+vm0Nyi0f6pQO5ZSfRWt4ZDO/Zkr7TJXdFPlxY2ej91xIH1
PH6CyJgzFdWuNTA7Xq9JwRUBNa9Qh9cqdZk7awAuoM2QIZsi/rdIdWIF/VqLRGEQY9UuYUSXupOK
jewUwWbog72dpfkKd+3XTouuzH6+CyH5o7pvO+bDujcW4HoSqzzRygY1lkVor+bk6zlVrzjWamgV
8IxDB72gmxTaTsTcBbO5bxPnBkk0oWiJeI4be4+48ALJ1SGEfFBYCnI+oq/UUJbXuk0LKdaXpYBA
MbqRpmupaFyzNPECoeI8qDyt6uKdrBPwM8AIVEJKbqclvDWBTOl3U6n5WhJszCSlPtYyZxuU+jWI
EySGzqqj/daVDfa72oi8KJt2s4ImDpYEXyR5vjWc56wIMBvi4WvIKO7b+05mwlDGDZZYLeKFnhhf
mz01ozFOLxANd71irS1NsnDbhrdCoavo2BJpbUQY6TVLfzRvYz75Q2SxyaInWNS3hWR8xZdyahUJ
+UwzM27Lg6W6g3JyoU6AjYVhXtpcoSACBiwVNXyZ9LzWnUszkr8m4ywj2MMUwhZriUwcbjJVf4gJ
KFFLC49un1O8dgoivtE6VWL7WkrJwTJn+Tbq45TJf3w6awGFQ32O8+lU1ImDlC994bvwZeyl61Ij
Ai4cL9GVr2VTukdI+pQSgeAaxtR7dSksd15CytSmesXoekUbMwKYzccmTc4GnGHV4vDVX5XS8LHi
5O7QzevSYjOs6tFVEcZbM7YLVxYWnEtGLHVefNFy84Hw4MUPNT7qHWBNHnKw64KQXEyUZ0qfPgc8
kU6twdpWiw08/JPOnLaF2WKvwk2lhtq10YiNiCJSdoPqqMhD62JRGRd9MLhZCXO5FHaUGxquKNlJ
buOWizTn6GSNkG6KnqmXrVn67FxgSGe14zfo1E8CMYhztStux+YhrXYa79xD1oLXBUG0DcGTkKqo
3xToSy+moXZ2QUJgYWE140bvKQHlbtC9rlJif+pCWjZS+UrOZ+sQewaC5CIIg3jCTwaP+KZna5S4
Rg+L12Eck+hXeaBR0xAodRvpceHrSnclO8bM50d3x1w3VqAvVqkdxxgEnA0EHoys2AtWSFLSk4h4
46WdsCSmaQ9Fb8R0HXjd0pBHOh+oy8IRlhxpBuzLAKPbznhllyMfdgIEx3B+VtvRjSphr6KoWst4
g7oEBf8M+h+hqB2uFvBUalnno667WBG8WbbvIgPHko1hrrWhnLXtLrI1tEjTKh2LYxp1azC/GISl
BpwKCaFS357oYS7OUz7GiW5ecXWVTeXo501cH8equ3ESZ1treu6JYPjamPotptn7TLbYUQYVWloN
zU01z3Bso1s20/Sq5wxeiAZeJughrw7a4CVheiYPBDAASfCY52GKQ2hK6lbpqpXk11oCfaW6KWPr
tqyifVrrXwGignPOqNVb58TsCvxdFX45VMlsy1umBXKgfIW/dWmr+Rk3D2hqjCS1TaybrO8ZQqQo
cIzBDn0yu1bmLOnkj8PeiBOaNi0v08SrZ82cZ4jPWfTwxsL2Mu5YBVTlBJvIadC1Z4mR1kRMW0TT
giN2gz5zXC3KUrezbLjPCJcRz7cvUji368Kp4nXbOVipoWkh4Zcw+XaEMJD4NovgUZqyszCZb6RJ
o/cwTkDMq/hqKkekEgMRnQ2pCvBQk5UlqqehYEMj1XLpFWwAItvE+FA+RbPVotCWs+sxr7dSrt5Y
S6RBUHI3UitYT10ir+zAZtkYdvQAg1Vgdtsy5utQtk+OOjBuzVKeNcIVkdumyF3rk1pe6kw5Fbmv
m2TDNW/p4epbkvh/K6JvFREFwj9XRPuX/Ll4ivJf2LAWN9OPokj9y4Z/hMsXsdK3TvaPokiHI8J4
no0NrWfUkj+KIn3ZoWMydsgpM1QYaZQy74oig8AsaqhFVvAvNtr4oD4URIu+x9DYabOpN2mEk+fy
caNt4T+wM1VIB0VKPaLbFQ8SyAspjIL9KMkonYbaUYnX9SSo3Nn/1pcO0SYXqtVLCMisIrcuhXAw
/ThwuFZdo9R3gR1Z0xMw1JYAEuTl5P3qG/KSiTRX7XkjGoTaDV3/DdzZGhrUAGGebHq/LyVnXSvq
PR4m+UlUKZ5EdSzXRWilq6GDhohQ3CTQnf9XsyodT75afylLQAdM8uzVHPbGyZBbJ3Fckyag1cRm
so1uOmnTqQShjIAielCcburkKswQjBTStJ8EsNfMMvzQ0ftzO8cIkkGh8B3Z1jb1NOF5zEtW2mSE
WGIL7JBO4pODO7NM1qQ6asOK5bw50mzGPjy16UNvG9OVotxFOlO/RsLpSjLvCnbkRUxMMJ5kZT/J
MZTvIaJ6KUnWBRaOTXphAsJb6I3Bt+yRRFNo3Se5JVEfaNG4Sya8Xo1R4Q/ARDK49ihDGyjtxe9S
Sge9Yp9rAFog8QOyCdDrSufbm/TFeDHbsbXJGz25GHv5UJRhuHUSPCHYMPghwILRGiV3HkAzzFOw
1HhBtnUQ4ptR+fyRUKnbq8a2iDiJw3CmIsvL4Iq8nHIDYaOUfR7sfAc0rd9kTRGdBKZk7yN9oLZr
nWCPELEhoVfBVXChdOEDkEmA4Ln5KBjRukOD403RnYcEspsftOWr7ID/ayVxlgZh5sK/O6RysqRD
Za/hbGBVEu0BK9DE9ETHMlbbCcB4BiZSb+7qvrJOVKNUvJ5QyDCeuE1ZttFD/ubUtqeMBoWKPg2q
40YdI0mCqtVuaSj1g6rvoYNKJxNVo1JoqXZkQ5pwtRmvYphlUOypIPZWJa6ds7py8OzxoB36YjDX
NXqOU1MvipVUFJuiBqUa23O30cL0S9pbq1YeFY9GVHMyjEDa014oa0MPbBKDsrWUOc8qe2Azzi6K
rrvBR75vSr4ACETLcyJ2ph2tcgxlxbyVDOa4WWuk13IcwK6zX1p8SVFq4Z+0zqawcHwLmms1Tr4J
vZxzPthTfmZk2RfQPKeGEp1lIQkAUWcE+9wumxUALvh5obgCLid2BCPs6rjfJhU3yQaVWg5446XY
Clw1sR8FG2+3NaPD2MMPHnP29VLbZwCRSTsw053TGlDH68estoklYEdUEKdtRSwt2RqK17oEBSf3
TbHmY3dZMn4Jy3hn9fopWUoeebWTG7YGINExvbFT+aDq3Y3ZyzYPqVOYh4CRwwkzgNeyUi6NudtZ
JL5quC0x/GieHGLQkgDV9v1jaGobs6atIwSgS8M+Nkl+aRfqs0NtxbaHjHRnutQlaPNZVe6RO62l
RPdK7jGMXLp0SuuKrAfHIlPXBdnTPE3XEKux3iXxjtb2kQT0Q7Z034ixhv61tTLC4LEUEsQhXxA7
Am198ojW2OXBArGp3XCWNrTgtpZJfE1Jrd6Ma8mQIbNitTftJUWq3EqdQ1Fl+VNZHPJShjQiU5Iz
03fjDhV2S2pFL7ajbK+yQjpjfwesMnrEYY/PaiSTNHulO+sFjNDYbntBm77U6UsRdJeQ83kiAaXQ
X4oGkokqa9WgiSLBC6x9jfMSqLxuw6I013oP906Ml/roXKfxrK5g6TcumQGbjL6KA8AOyzoxGZa8
xrXzOlURo4FwPSHaAG/GLGykym7CnaZM23Gu72WlJRPCvjLN8h6106VgW9plzxC4XypZDr10VFw4
xevILClSCCMBhIG6yhNaeAFdaF/02iUToFdFIkypxlYKRbWU5a3k9Fu7kdYyQKoY2Dyoxpua39QK
nMY1idwNpP60kbs1r+J549hrcihOtAAb6gjxiDh1b8ybFQOMHFGF+jR0xT1/lE7mk7aaGr30eJMq
kpUHb8qHR6aFXm5Lp8R27WbJ8osJ4m1PUF4o8ZHAe1d5qNswNprWRm3h5nf5l5ap11RaOyjkfhnq
pJC09Ta3jR29RVyIhrNR4v5+qOW7oo4v0f9vAn0krKLj2jm+yNut1Ro8ndYGjtBFXqSn5ZyjjOmu
0sja2mNwCLR5l+skIAfKPmTU4uZdtIZFeCwDeccLxtDNvohr50xTxofSxFRby52nOvYNcbMXTd0c
8sa47EZQYbbSXHXIYvqyyEHuoXYx0rPUEARFI2EeUrGvl4VqLu6npIWea5D7EvJmD5CrB68ZlqIn
Pw3K/KYupxNFpY+nEnRA9EXwVQCsvWoa6H4AdKlMCY4a6G2SiSVJ8XMozJu4zawdY1VslVb7sMzm
VB2DZAFpNFKezUxymeLeoxDZYQA7sN6SC10nG2VoTsGC8l6SZcJGSXkImTuvHS25zmpk8NWYbBJN
OcaJHcMsJfa1GLS1alvbABTqoEoEuLMh6YF/E2GNjmVSiRGOfSPMj6MwN3Ew0lKcnkup9CXCJtra
cEu+f7wBDYKa3gKEgbgllJjBUSEkLVTalI/E6OTbXrLxiECliOSNQCIVYRnPi5L1p4lHstHm9Zjl
p2x6TusWVb7BHrVukfsxK2sjdqdkS53kQE3IXuI9JbhNKXap1O5naXho6vIJ1IYvYmSJQYo5USdm
JJP5/L0raX8x/vuoj/hWIbJ7g56jYfxxjE+jGDa8NQbvXDqQthwx8iySSwlv5u8P8mms+VaG0gNc
IkCBa9N++liGgu6Vaa0p0mG0v9bDZugexuJVaNir/8QE+FXB+/5Iy2/y3mITFJMyBxxJtc9DfXJL
i433vCvM27j7EhWm9/sT++XV421ilKYvjcdPJ6baZKgGaSGOvfSl7U4r8ZSn39rR/6gs+dUZUS1T
LHOYhfL+8YwIqqdnNZXhsdcZ6mxQ7/opgRuZ2ESwwNT2DyKDX5wRokQ2LbAZGPR99jP2xG+pk9xG
xygXZLgzHlsABn84p49ChreH7sNBlv/+7i41KGYNM+AgBEO7bX0WO+HqX9+YD0f4pMbp25lpUc4R
6nJvDqWXFNeBFf3hIIt26N3kfHmsPxzk060pkykp+6yJjiN2mtDwnOioLx5g64Euqdkc1K75wxF/
dXdUeZGUMqM1kF19vHAJwqUoj5XoaFUXmF7Bs+2sf+lofTsrNEwMlfC1Ehjy6dIFRGSZdl/Hx7wJ
fZTEFtblIb35/f351aVDMMZAQCMblsHAxxMpyNSzoggba10+5OZZyE4R5qDrBFcx80WiiIbg4vdH
XJ6pzzfr/RE/3azQoZgtlSk+yqOEVuGO8cYfFgPl490xyBkxFEuHdYKqDSTJst3/8FgXepiAFMqO
8Vm9a3d8PPeFZ/jGRXhpeLkfrW1PWv/+rD4e8tub9P6sPh0y7GVm0mUfH3sTAB6ppyopAWqx/f1R
fn3tMAjLfDkxYn66W+bM8KbN5PgYVI4H3dq22z9cu+Xqf747OjkQeILQwCAy+HjpykaNlKmR4qPF
1hdvDdXml0gn0yqO/3Auv7pi74+kfTwSO+Kixk8RHxXjJbQvjOCqmv+wvP36EAaJJ8TDL3Kej4eI
aJ7b+iySY54fjG50x8WX0Jl/+Kj+6hXiYftxlE+3Pql7yBIQWo5R8pSSHafRkNXXRgIXuj1KCRrZ
P9yjn04LVaNFwucbHkjR9U+lguoEVplZRXps+w1K48H0q/nyXz5onw7xaYCHdYsLGlbpkTRPckAE
aY/GHy7bT8/y2yHIIcd9jkDms/YkHkeoK+y0jk36JM072t9/OMBPjzIHACls8J7QeAMv/PHus3Ra
iNIg1lHnZZ3hAdJZOue58/J2rf6rf1qsEv/clSUp67F/qR+bn0fVyw/+6MrSYKWehcRM/hB/40n6
0ZUl+NoxvvMdeYF+dGU1+y9D5odIuF46uh/sF9ZfFK7Y3dFHLQlbzL7/RWeWmC2egr8XPEbVNqsp
Wj/zrTHsWJ+fdAF5MO3t4iDTwd+WItiEAvV/rQ2nndUTCtepzdnYMbHT5BnA6Ngd81gnS4iQzZpB
3qqRmi0AVcN3NHCIYjA1JsBh5XUhW4lYGtRV2NoSqj1zXkl0pY6VcO5CA4RJX2uaBxHnlEiEs9rQ
t3bh0BGQaCtNJe1dUXhzZe/nekK4XyQ90JD2RGQx8CPdOJmX5GmhW3sADzfCKDs2M/aFA4dyldcR
WOn6kdF8Dnle3PaZUboDCUVkchCtl/Tz3sytuzGAuqRo2r2TFnfmCIExUTDDp9eSke1bm3INSv9N
XqM8lBTSVoJhmfhc5nm8VoT0oEajJxAet+yG8KiU4A6Le4CM58jKYuqwcdOP0GV5KB5bCFpuPqah
K5EoGxEIyAQnTVdazbhuCqqJDlve+T2dFgJ3skM9jERFCDiPhMS6IInPh0URLeZB2RhJu47NCtJy
D7EvQXcqqfNRC8wneGLXSTetB1vJXE2ws9TN9RRmu4jkBhc40NHsrJuwCoRf6tO9uURwR4NRrkB/
01DKI+L6oqlZ5aq1aWsSXcfcWsM1PBmV9CWcM8j/rXpjhrVCUoEaeGbhHNiaqudpYG1HW1xV53q4
M8Fby4N9ak5xTD62vI6sHvdHBZW/RWDXaizbdWffh6aJ4QZQgJsW0QavT+4mWfGUWGaxilscF2ql
rFMb5r4s/KmdthEO+UUd+7WutRdE8C8MucRWVPr5klcw9hUSLvSqfoyE6lYzGGWRdwXCO8DOn1cn
mWHuUkMhBCRc17aAjUw+jD+No0pDzUTx9eYNyY2u9YdeuojK4dmZk6EmnxEHoQxoeqbV7Vqgp9Hg
EUqol1vHXADHKvL2nNnHStftrbrwq4t6fIRvdB3JxapvMl9e3Io8ujxHzl2h9ZoXVqBsgC5WfuSI
kZhwfPhAfmkJL+zsNoWHrhnppUOKr0kmOlPDcJc75lnQN4qbLQzuVMS8F1ba+XZcAnleWN0mb/oa
uUDqyUQgnE4qA2rQ3trC+G6BfdsL9Xskj4aeDecStnRHJGKAGx3INAqKQ1HwpsQLQRyLI0mpxlmY
yfKqXCjjJrjxFGRqC368KS4iHU1jDZkc2hV0MrM4Hxc6aQ+93FGLZ71JGdPCNc/0rPStpEFgNUrJ
itRhsPHGAn2vYH8t7Uro1PFM4Du8dPZg8Q7Zvx8xkPeqgMegz4LHaQGtq1O1Dxb0eg6DHU7oNlcQ
bE3Q2SWRvCQdr4wKFcEvIbg3DsawBenu4AInxyG9Jtfq1aGJ7sGQY7yyoOCLXPj6yOhXKmF59KLK
zyR1NPYKEHkm6tX52IODIskp9i1nDlYjrW2vC5hfiBoSfTj0expzRL8ulPrUia7CmqfZ0AUkzhSB
mh5wx0mPIYNtmi+KoDTxs2rwsrN+9kpw+BoiTNSevFjhTAuPyQLpUQs/v5/amI5hq29D7tfC2E8I
W2JMVl1kunaaguGXA/k6WCjPitrTrIb7rM3zyCSoqOv4UI5KfZ84RjP4ZpObsdd08WnX9bgw217L
VADmQY4nN2oebEeE/2Em/LcmWPAc/1wT7B/rqCyax59LguXnvpcEuJFwFCF9tnFf66ZMQf2uJEBs
r9nG0vNgi/N3RfBm5sbX9C4l4vucFlI0wgdCJm1NR9BMZ+bfVAQKZcenioA2zyK8Zp9FP/qN1fCu
KRLXUqJasxoeMnnWg32otsaXUZFD+3/ZO5PlxpEsi/5K/wDSMDqALQFOIimKmqUNTCMGxzwDX98H
kZVRUdmVbZb73FVWhEIDRfjz++49l/7YPA9vCmXg9O0q8Soic6h3rpJXAA5G1EJWL82jG5nFnevG
1oxg2w2cKbndPjVGpwX0+MBOExFbSTNWHjGM8v4IZ9NLdUjL+ih4luTbDjp614v7MJ3ehnB+o23N
pPPkVjQOBVpC3eppFp/1iT4EojE0ewU+7cxUySU15KaFQVdT7hyq05us6t6rBq5ynR4uRbnU+U2z
k1Ku5SwVt4Svc9sBqkK7TogERFnorszELZuJ2ywWmi+p8puC8XoGBOaD0n8jP3BXGvpr5EAZK9iP
bpgGOJj1GXdK7NJf1xdoLqZ1mwj72DsNGBa5kSJPj1ldHLpIwuALdI6Kxqbgmr6GFa1AMKBnedtX
5UNlzuXJoEYTX5NJxYKTj/SCUtMzmJhS2DrEdDiMlIfmYXrMiwxDefkMKbT3Gk0t/U6tv+amnpCg
F+Bw0+3SJsEgmO002fqlbSebSXE908QZhHVxQ783YEB4unxRGo9Gdsq7OOd/mcDxuSoUj3kkP21X
XhxcyU6ZftBheS+KJYbeJuYxsII9W2EOSxrVe8uOvAAD3irsxDEEW0Cbn3nLOX+Pk469omV/iiI/
zETKyokUC6hoSjByqgfKfmmCCMcDIRivVYd+xcN5m8bKiDzf8czCL86o8JiIJvUFd6WNNkIoLtu7
3OKZqQxBuYpUZ2NWdn/dLf319tRgDKjNfStF9ugsId1adpe5Z7VvGdF1zo4MDLUKCG7qHgh4vgf9
YO0Ybjqe4OrGrp0nXBbPdhB6eq29pZC9YXLyZaj9LQ54asjncypj2g70jRvc8MtaXJt9d0xdeTNP
4jWm9WKTU3i/qccYL6Er272KD7sV/NppVnIsGJ6djEBLpDhP1BoqqxYynqclY+ApdbyRg7y2yuxs
uPWBmM5N3zgI9n2Np9s2N4pRvZps0yNLB/4IL1QULFF7cZ4osVjlojsobrAJ+6oABNrcs5l/F8p4
qkX3xY7rvmntPerDMemltlcjm8wybZyUV/A6MIB+kuPlLTZjFXTGtPPLXJz55tnJDtEz5ksAtmp2
1gPtprLMTeXKd0UJPOZ3uqYiyd7OyG4AWTvH3IgOMK/zp0iww02nVF8pGFoPStpRerf0cQfcmjw7
I0gGa2ndTulFa4JneOCTB1GYfaZr7lxnPqZ5e+o0xtTOfKF16601sEVZfNJBvyRY1tOALnAqrZtU
3ZqGuTPoo2LFlZ46S5hUrjv5ZpI53kOa6NDQV5MVXdFSaBxirab4ZJSkfsdew5M+57CydWP2XdIb
OwyYT12WMx4VtGOtqjhpQFOoLR4EvvowZxdfjqZ+QwPbFT4H7TrijUURZ2ydc6ik2AEB2YjWHp/m
Kg9va01LDwk8o23Lj2A9pEq602wgnCV4X4N9ZsCKrBdtBJTCUBiCIz71VKraRkkAUP1zdf9hqFI5
1P76mAb62iJy/Dm5tHzQH2f0Ek+CjrLoMmSKlzP132c0TQ9ciHDtLaraQqf+w2GOmYo+Jtzjy436
dxv5TzOV+xvi8oJJwY5pc1ibf+uQXpJT/3lI2yScBcuYRQtA5f2TtNeXY0NPZWSAijNVbx77PQGS
ytcSAw+RqDaFga2jbqcnW2f73oTmR204R8wI0reWKjoeMiZ3vOjQcola5Wp+UhK0b2cuOx+s/PVY
i4bdfl14RdG9T27+EsXcwrL0VprJFv/RlW7otxWuKNL+cGXdkjgspqpjnvH+ChX7ocFK4aVu1lIS
FzxAXn2yaMCkQmcePTFmZys0zhranVsVVza+XGnNxn7uyf3htwL9G41b2rLXulN+Q3257YbQuoKP
vaWu/t3BTuQ2M45e1ttSZ8AG6itXwsxy3ygDTx3hPthl9Dho3atkfvYQxHd4gPNV2WCdzyKDfQ8V
Ol5cGtcyq65SaeLlquvvqo+01agUeFxT5xzzfPaGsDonVk/mI2OR3MUUOeHCkJTX1aHnqmFw3YhC
9WkRmmk2MOdvR+/ldW/aH3PMD7cMsuii0xu3ipr6K4KsckqKdG+5Cr0ueglyLW+ccxPD0bbtgVcN
5WRVhxzMMsM7T0sF+/9EE9t4AaDhNqFtYbTDixritJ3LJFxVYcwjN8coZwyY3uLMCNfqlCY7w2AK
UOJY3ybR0v8802YsRjQWmmsoLQw0Hx8p4AQcZBsTWOnGHIx0XWctKWXM9+vcSI7QYQ5zm5xlru3R
eWc/zpxvWHACJi4ENqWJcTF0pNS0wJ62siOnoCb48bnbTmsb/9K2TbhwJWPdbV294dEa1hQ605Z5
C1zB2XalFa0Zb5OdqgaBjxplkHc1lEuqueYqm/lOq5FYU4yGtXFCzMfJNGACL0I25XRwUqon4yur
aYZtqEf3k97cdJ2arzlVp1XRlu9F2tAoGQksu/iSr0q34TGrLb3l8/IjivX8dWis5CGncHTVsJ/Z
TR0l7frIFJEGOWRAJ6JUs5wDhlD8/EatdDtnAAERDSamaruLPwmU2ysV99K6DzNlp7bJprPSdRDk
FCfhfFplbg4SGbT4ip4pou3J4Pg1KSVP9Im4zNp4ScbuVgyZXDc6izUm4vSayuJ2R6vldwuijBEo
2rQlGY3UTetTrGFFAi3vp3Ul9lS7BEeh2P0WYKJ5qyvdY+wWreKrLVUN20gfOfEwon1QubC2Z0XS
8UmUoHGiaovv615TBm0z4o/ANeVe5ZkuCCZP2srtOyBIzbK/priNMWMd57lyBXR+FxvGQw8YzwO/
dJ9VyZWd5DeD3XiKYp8a6zWw9UNXiB4XR/o1CDiujCurHOqG7wzdQLDOzneu20IGqHEkhFI96ny2
qIwOfW9+V7S5ooWkJ3VQtVUP6Xt2mN7jZHaAlGSfjU1DNwW+e1CuF5Y5x86Kmb6j3vDzzCm2uDkw
jvWR5Y9TMa76mCmz5q/nDfAXuzGszTTxEmpVdu6U8C6FI64W3Utp8nhwVBDGtqwP8aC9jVKIdSMN
aItNEW60TgMBBbVQmvW6Txr0pRm1LW36U+MMTx2BJd9WzBuyG86qyDAsOpbF32xVru8y7b2y5RqQ
qDuKH7HYkD1MFlB97OJJSyj3haDv+u1YfzWBWLIEsR9EuniBupRZ6yIfT7nefhQmNQOd9YxjzNrH
GWGden5nPqOLuRh3fNPpJtLVjgzG7KfCvsaguI3cQsHWhJneVYpVX2g7pRK7CUh3oscIU/Fwybvs
mOoN5Wxx+t467s7OjWstLLeKWW1DOph5Tckeafy39RY5cQwvuvtuYvuGUvd2DeN738JOX3d2SqpS
XujNVTgLsJwZgPfb9JK5iq/F0T3OlXUk8p3dEVjqsvg+jVuvw3wIub6xcbHPu4Be8Dj1HBV3Z+Pq
UNvVr6DLJ5Rp7LTw6PXGuYkzmXqhyG/VuK7X/8xGP2ajBT3y17PR3TIb1f93OFo+6pfhyIT7tKCm
rWXxh0zxU8DQfnNNjOYsOoBoYzn/ORwZS/yOTSSFHlBWfhRa/RyOiN/hKFFVFbTv7+uOv6FgICH/
3+HIxDFg4UFUqVhS+fp+3X/3Ou+RSnGnM+aFZqMqaY7AqQJYkgbdgMSKk9FaVb2lKFTG5OVpoMxP
zayt5UjqbBZLWhyp1nHMR2gCiZ6vOuhxJgBiL52MZqNrQD0EnYI7NOfyopvc4YTZKodsCq1tkxTP
LrE0D9PlR16ht9Kpe8liBga4bKmvlH2KOA/a2uFpkBc9WIMSTxklhSS8HRBQXRzmHs/gizSUdN9n
nDEZnVVqHVk7xUaatYyg2Wuyg0vvitxiiJG34DG+BlndFWSWy2yo/Zro1z4ZlfEqxFfpza1bntVO
vDLt3roV/0qgyRMlLANXos5vxjz1g8EFM8ePxtBTdJn+osr5MevKB8LjhzhqXmkT2iZlxhc7Dzou
xeRoWhOldYN1mkvnkwJk6U0T3lsmoANIqgLL2FB5CrbcVSTGjasHHzIywNg6xSYg9GcrFQ+08jlZ
NFB7Gd3iKKvXgzW9zzFt3svbenDKW1Y3SNqJUeGw/fH+V5ZHAQ2h5ApRCwDqcJcGiFKXYF/scQOl
HfxLe+g0d6PV89fsOPHasvtDPoLAoWwF0bbBTpl3TemZWZJ5NeuenRtClMeg/VR23BtJHlCLVK77
Ubf8ZvoKbLHW9bL19CB8m6b8u7MBVNiSjo/WnIuNprbpyUkh5dYTwUdBvKxMyktUz28O7cUr6r0R
W1LMX/Vimc8F4UO9fUyS4tKpmbrCt4rdPk02SwFwmtUetP5tp4nLOIRPJNncVZvRZY3d0O+VjFiB
4NfVachqxTJsfXua1Z3NFmddZA0xqjBg01RRSxxAVM1CGrMbcQgGh4h51Yw+sfU3dZpB2PfFmz0a
tQd1GiwOJcq7oAXpM7RS0lpv4vHSO9yw2lz6owkXmNH0zg54xs/cMnb43k9tUIweOEB3FYwzVewV
llW0ykOqDBehRS+5bQSsvzJnbTXimAl9B+uyhczmnrHGNpSv6pCDI5SIxQEvSlzRFi5oDsTxXIzK
vsbPSjxffnRJR+298V5Ow01idqMPrOeLh9R1rYfZiojHNSKOugaMSL1ak/eg4pobozQ+kyUn3pTR
zkin9yFxr2k7vYvzNPEyayYW2FKGqljhxrGSZFOGiEBtIF6aoqKki4BCksivZAYuBC4Sd/VgL11W
9Ney5Fi54RKKDAfe1DHTdimf8qF40uoISH5vvtVq8oocg3O0hdBTsgUAHWacEEcekVoPWthf4W5W
1+pooYwSVyysxOsWbh0R41XiKi9tNW0BDRyLmuAYE9awikL7ucXhupKh4e760nb9JkPkGzR+8arG
Nc+6LGhaqLCsfv5zLP5+LOJb+X+OxQIx9b/o+iYf9fNYBMWKoG/Z0E4W/f5XXd/4zYKM4FDPoGLJ
+lXYd35jN2PST4WmACB7+Qf/EPYdhAZD59/6keeC4Pp3NANO4f84FhePlolmYXJe4h3AEYJL4ddj
UeYlPDw1Ie5gWDTKLBguJDbRfdSUtvamhIKQBXIHjxSUkeY+Bi1OuKDGm84h+95m6Z1NN8NKV3Wf
IUJdBWX83inqvumro1QS6ust0iNxRf2H6NsNdujXwR7DbaNjns6qal/1IXfQ+Gy0yj6L3FMjp5VW
Yyym3a3y+mlGtm0oxI0Jug6KbxstQViBBKHMN1J0gZfGwy1k9Bc3tjm6ZX6ZpKKtilK5VyKacALm
cQS6mFoXcUiTZ8BYr0PIHJxYyW1TM1zXFQt/yCIYmNN1MufbiUrfk1qa5yjmcqxq5mG2yus+7w5O
E3yW7nCIdc7MSciLOaKyh3lACRPyd6grL0NtrRlEtbd6KqbVIMmGNfVjrKufIZZ+8u1G5Yk0fRht
5bOzer6R1N1J6ZymNIzWqH4cXvIUz+UbQ0Oz6QPk5AEcihfpFfVTaOvBGAESpE1oKoMzLZ6vdM6g
eNj6cXSqbWvKYkWKKV/1Dr28hKcBoZylTo7MGuZdN2iqN80uqrm7Wc7ooY+2auuwK3CSC00n4Kjy
8eg0M1gMR10joj/HEdGUXq+glhCwrpoJWqJsn615OAyiQjRpsu/CqU/YVkLSqCEkaBYDect9sQGB
SYRk1wQovU0V3utpjeIdAfi1yeAOArlTF9FnHtp3YTBtOzmM66zIrqZC/9Fb+TWa5cLXoKizfeL/
gxYMG83sKcItYHKuoqTFC5qkR3fM7sWx0BCaXTvzBe8nPzKCiKt4803ufJfY9Vb0VeS1XR1u+Isn
ravWZcFTWJVEdXulueO2tE0s+WJO2taFa7kqHetA/yP03YLTL8+zS5dE06Zq5MZsZ0478C1TxNKJ
vZkDdaeG7kMKJMk4Z0n9b/WwOEjU8BQdiBxRfTHlcJVElBdH9XRdu/zszeDQzlYLvmuJLoK3qp+i
vDX86Ee0kd2IfauTxkHIcZb0owo+6Lb5EYlk3bFpCUnSwUVaUg++ZTh+BYAGvahIvRwHypWdj4+N
qN9b2VWcM8XFDt0tHvqLhjuXHb3lYShCq7ZZy9m9H6dqzXHXXmtGavLNUWZm28rKGJNd0Y4kYwKT
BvLUZouHg8ErSf22xUgR+PQ2Cpq8xvGVpPAaT/gDLzQMrkTZT7FyhCK8jaSCWaEACKh5YZL6rhLs
kmzaSAcz90h6fzJnKBTtk1bVbDAot9OzcdNnZKaMODnacSW9VuoLAGE7uALcX8YL8tjWyXYauw1V
noDUuj3dDeRHcxwiWeNHsfuccU4zwEeUW7maTxESRXyZoPtZIjVU6jXsnY+GWk21nbxptMu1NF0E
w+lkwqQYagOdRlfrgz4MvLYW9VHdrmvqj67uz8lINjEx79WYQcOd6uOMUWVlAmEyJe9ClZayalym
TaneWV3wVbGpQj7J9q0bOl5j9zvQTKOnVKh3LEcCde6JZMerJLaclRP3oEW70wCzdVQwwiz3WjN0
XlKDQUQ4uw7po0apc+3uJhb9k6qX+yXCI2iOWMsEx1I05sqqFMWt0bkt83l9NlX8MGGyS3kAlnF/
HYj5vlpgSXp7CfTuqq76lagsVBJIRfOsb4So14ai7Qs6tP2mAHA7k2Fxrfag5vMG9QVyEn6IqlTf
0wDhg0TjqxGzTR10y2CbFN5oy1Aehhdtdo6uA2xinpV4I+bhShXSs3Fbe7IMAVopsQu21kIRjMYb
I1U2gB9vyDd8G/pMB1PpN6JdN7WjbEAX5N6gEMVsy5vWdh7GuIsY2qzOGzOL0Giip8+StJUflv13
0nRUD6qPaZfDVyqOkYvgSMvTbUe8TKcH1Qqndddp5XU0jpsqmR+kRsTW6oFJcB1pcutSK0GBFcZ9
UUT9NFbjgeIRRseOMnuDRS3YpwPYTC8arTNBnoPZtjzGzWmPJTnBK4qXyyRz18jHnulX+pqSs7qZ
SS85o7NO1XivWzIhLpXNPkCWT7M3On8iPbsAKd/ceT5rNQ1bjAuhH+qIcjXpisCA1NGCknFbeaJK
isflNIJ6KeKnItFvCsAXVL7ivSnASkTNB+A1H535ir3SuRHjftZ5ftU22iGFhA/jpDyWY4HoApRp
yA2/TFE+nWk49xLasjk7dMyWcMyZti91m3BzSu1kZ+ZqsBIgDEYv04w++h2j95f5Ev0//ao4Een8
4bKuCws7w5Is+M/xpKkczZxgTp+1u2z1bG36m8ojJO25b/e3zYm2s3UBXzI+WlvinLtiE11Z4S45
Rdt/BtwfA66KA/mvB1xmj+6/GVeWj/o54GpLZytAP1PHGm8uXtKfuo/+m82EyWRLBulHocAfSzF0
H8Qi/mjBDzgqs+evA+4C/sYIAIOXnM/fxPnZ7Ov+vBQDSmpqP2i+dL4uf/6LcwUoZygVEZhnOZc2
bCBRcFWkJbsNzjqdxlxUlUTRd85yd1W66G5abrMSNB+OR264WiCAEqWVXPMINf3GytSdOkj06uV2
3HFN1pb7MkLz27zcoDMjaqheYdT8cbvmmp0s1+3l3l0uN3DcH1Bcl1t57LJNkxhg0Gu4sw/L7T1a
7vGRQKNYbvaaHT/1XPVjrvxiufvzQMj7eRtXANEJV2CWQCaYw+GxQDbg3gmJZlES9EVTcBd1IUZm
cJP6IhbdoUPB5/DWbxBBUDIWdQIgW+7rhMR8IJnfBhIGb+/Wy4iYttMXflPKDa1qvfAW/DTLT6OO
DJKHPPoWZcRscjQSY0kwlWzBjQKP8Oy49BD244GZPlnryCyE0LCU9AcN+UVDhqFaeNsYdEQiz7DV
6NkggMOp+yUWrXtyCMAfqZT1GcccyXe2CNx2YcDOH0xJjyzsLPpwmpa7DMF4LJL7FAG5bfMLpeyH
CGE5yOLl2pFd4NN53aI9q2Nc59sWis7GEeWVZmXv5IdSL7aDI7uNY97HuWey1xFUTer1RRvZe70m
NWWg68YowvzCw3oqt9lyloWqVJ8pUlhGmV5+cMyxJMFNFOvdh9tEGwJFlIY6/HHcDV9svBoP0hSc
h37ctVN0beZMSJiemSLb6HvgRCEcPb1gCbtv5/Gi9dqrAUtOLeYX0E6uJ6gqXtuh+Rnr49WghtNr
GuGtolQDAAEMKDz9PdQoBlyrvpCP3uFSUY6dXd1PMd8W7Rc4EkLnHIz4hKCPf5vkbLuoZZEghbtu
xaTuZvtbSwpzvZDw+zaN/KwEKpg6+rUM4c1aSnxVB/N2LDXLr7O+9pQi+ggh5OC8mBgDhoRK+Cnc
QhJ4Ac28K3jbIAXiU3IQ1Eq7mddtSHBVE3I/DmSRnVq5mQLluW7VKxgAGvuG5MEKIsq9NKjHJLEx
xzi+7sDht6XtccO5yjEurqKMrvnKAeIg5HcTtecyM9/6hkVXypkop+Ta0dVDaUTMMYV7yIcURK9h
9DRHsuuJYvSjth+21ZhBM4rwXepu+pZL52UGTkaN715twhdDGuXdDPpvpUTOEpK3Hmwluht1BcTU
8FxFZrwvI3c/j9UhCJ3ygGz5LNipYd+7U4TYR4ZzVtzmEqniqzTn6yyrd7Lgd3MWE9gcLe/8Xg9v
+56dlFrswi7e1knkriXR3RXvHvHa9M0+0pPuNnC4cCNKbdj7HkTbyH9WGtqPo21JC//10Xb/Fb39
N+1m+ahfjjZONQIBbCf+1S/482gzfsOCpFIT6TCVIFv+XGng9zAtaLSOCZGWHKSB4vKHdgPEllJC
W8WW+a+z8m+sNIjv/flow+JBORyfC5sn3pI/HW0gAA015cs4924kGx+bB5kHdZcs29iOtayGAu1Z
yhIfYIk6LrtbpkKx1ljntrz5vRIQ7yZMpntHKaptlyAl5hq2gUJgmGcxHP5YEc8/1sVCFJ3iGyyR
G4e8A87jYStqERxJMgt2CrYvKt3wSruvT2hbGObYvG9GW3tvg+ZbBXy1K4ccTXZZZIuC3+OY5fbE
kttett3VsvcOJRtwNc3xOziC/emyHw87gvOTy3GY8VU5o9wkYafgwGKvniwbdodVu5brI/uKBc3W
5hBEBI4pNihs51sDOotcNvaBjsN0XLb47bLPt7VUW5V8+jlOQQ7QH8BniWsQi+6SdHEq3zUG8LDB
OSkiYvg6jQ/sI9pcJ7hhAFwJEW2LtrdWfQA+wWo8KYpDr6hcygTwRpYX03aONPAuHV1wHcJDHYlg
rTrKQzk3d25d70rsiXurmm/qQU4+N/Eno7I/irq4rpiKsc5EV4QSb6w2uA977OQDK5xeut91SUFF
5554IMLfa4D5Y2K1t2VaPCdDeiXy+GVMWsrDXeV7DJ0FlOBu6Ep6tQh6lbld7TUTCSbJW5gNgh8L
/ooSc38YHeOY81bSGfKKbf7GmZJHqdoZfgUuiWlujWvFcQcUmnxezU3zJHq84mL0ClI/axnGHbfL
OOLQqR4LqK+bTE2pG3ZE6DfqeF8sHgbgR4YX9xRv5DOnv8DV54Vmd1M2IPZUil/WLNs+zLJ97rGZ
Ags0N4GhfZaBTDY0yLdXOZj1QHGMDS3F/UaMRkAkiJYPya/rtlNhnKmBmdEuqFFEXJrGHrCJu4U1
lXiGU/BGgAszJfQHyubdKIcl2DvYay0hjNCJ5nvIS6BB6pR5vPdLr8xluoGRtvCk3JVdu66Hmpiy
1CAd0RfR7AcUwRhpi1Vo6mEtoKdwaJyNPtjpVn7DHfwspLNXuPR2+p7Sq2A4ufybjdnelazIPTHZ
7GLEk+1mGGrwzA5GMvlBMm6lBhOrir+avH2200j1i5GdR5GUUAxt5qzCbdn/JPmmkOVJ17tto2QP
TdjtZRUeWwSSnaY3XkzJuZ72OwiMIGPgN6/qEX5Mqs9Xjpq+RE18bQmKtoQ62Pukso+6m10zXmxT
xYAJ1Uy6V0g5s4pqqQKPNILCoRbvuyQ+6l181LLyJdXYijqofSuhBQ+mbT110D1wOZvIPoXrj1iV
cHbCNiT3DmcntGmS7tptiDmL8Rf3FyC720EET3PA11eVHQxHDBVzy8dB/4JYwWBcJnIfzPVXlRvm
mtsrURKXYhXQRACaMEa4/FjhekRPZGMu7bBYn+JuWgwZpi/7WgAWUr/x6h3MOD7GEcazMV2ASHnl
q1n8MgvjPgh43euggN3ZpgrzNawfx33RsL+uQiO/6AruK5QMML/dtp2xaFa5E0DN7C911G2DXL/v
o+ak9gqAstK5ilHKCVlll7TK/dGOlauIuHpstTkunPFKTA7moHRatYzaXlKxkxX5INepOUK5V6MT
ZfHAbtik+UqdfodzcF+VbIMnjVs66Z9yO0bJZ10iOxQafVrOMPukAVjDClM9DKEy71qn3NgDFqW5
mi+TYQxr8IxM7G54NxrxutOVnUsjkOtm/cYs6yvucqxANWJxVZVNWwOJ1ktFYW2CbHrOoBrTJ/rG
TSfejnrU4bTtr1lkPehWf2SE4kP1eG325mbhmPWFcwDbBjs7wPHHL5E3zFynsFJvJ1v7gFt5skKe
2XQarAXZmEqrv5AWTu0I23wM19R80MI8UaBkaC+Fk/uBhHrElQ5AImvNlqcpNUfm0q4DOo0nN0UA
MTQ2tgCpN072fdnFp9m0vmTLgzI2BNCy1N7x5oYORhu4ZgxA4Br3XLszw6s5oBHVDetW0KP2UEeI
3oQUUW1rC4FY2HOxhcf1xtlZr4s4wrIVTcVaZV9ydhzF2SoE0LZ1U1Npot1ZeZd6xew+aHb7kkjA
0zQM4VvhcgZXsdR4gmgbGkDeAamP29qtkVGL9zqpCnJjxSddLGiF3I/8PDLm61wmlh+U1Q1nHssG
/mzAFNW6aIDYv1GhlGLtZt0nBiE4qHb1aUT5OUmwbwdKgHAKCVgrUT3NcIo2buHSOzK2JrbuDtJa
yxOMtNB1ZEN7KakXw/lTbIou3HH7i9Y2z0mFzeug5HdTMUfbWEleYQZ/cDfzyDVmW1zaW+YIXoOg
v9MWBFq1wNBAFe3LFqMcD3FM2gsyLaa8zxOK1pzd2fRDoFFyAaw52XAebTC8RDWOKjRMVK3y21EI
Y7HAehnAE62VCmJaCLtNLhC3MlSe1QXrRhzixNO8gfZmssuIYtMC1dsRTaFG3q2uizQt0MfrWAXn
nrCJoqNLc6vo90bYf9JNhIn/nzna/0r/57qo/6t1mg/8OUqz60SCUQWg2h99lb+oRCYuaJw5aEf/
qo77QyUyMVWrKgoSdUsLodtgyv7XKG1qvxmsLOmIE8JYFqt/aw26qIi/5p1ZixK5dn9wMZjl1WVJ
+otG1AZd0qRzrt/kOOVUGR/tUHpGP/1+1fprNfOH2PTvT8R3slAXMAVRPQ6/xPpzsFpBO8A4Kgfo
ftyEeZI65hqW3FUWZ7CH9ZBTcbCxw7XF2Z26YyVLYKx155VNC6IuI9spa00e+tpiRUGwwjMmoFWK
BdcpGOrnoSlLL3MixJLFNhM16V3JJ/T0Mr2B/crV0s7jlVPple8oy94Vsy5uWudQod+6eL29XGuI
OFgCl7DMN6xsNxDXW7+jeM5vWAaXtvmkOPbJNTsX7KbxHJn0ORBpviNSeatk47WiWNdtrAJ/XeB9
wnH3tduD7c1o/3G1B67LKZTovvf15TLe9e3FUubNYHZPrlN/6aH9GmYToTFmbdnZKD1TfGPVwUHY
WbyxbdI4blBvm6jmFarrh0KEu9iBwU0r8QGH/Xs+RJKtEbkn0VNUlxZj6Sts1VYp6SEaredXLctY
QpjJ2XRYdk0MqArCdiXkK/1JD3UTnoox61aFBp296rYWMwZZYpI4rLz4Qo2YYSTHPa5bd8pEQ1XW
Vg4831e3JdNLHxOjfsVuwKQZHN8n1jeb1y/Zkub9dibS1eCmTkrfITXkWNMrBDuN1iF9YHkB+W01
cGfYSC29qdIo2XBgb+fMPIUhN5pWM7duz882GuixUITV+2Xlvua4vzHx3zKUc4uYm0dSarMXNqxc
jRb02dDtKcrq/dpQP9QU2Gc4TI9pHFvb0ZhpY88xrURJD3et/tRS/VMfUoS4Uduxmt7bYIZQ5YYt
Hv5Lxjp7tAtxtA1YcCLNP+akfI7shu2LKO7RwwAYV7bcDZ2xxbju6UawLInces2vWLQazYEdN/vr
txy6Wr2ZHYWtmyVG+qLUUcJin/Qagrw5MC5xF9hogErx49bjVZpaQGQmBuKAJK1pfA6qu48tbdPP
BKtBEJb9owRWimuYFTfrm3iRuUYt9mWi7w2SwRoG/HaJjTvVG6rurSaVLywYJL5Qagp+G/GJ9/dj
2LTe6A5+MZCCUjILx/vQH50akVTBNA4pDYtu08dLEezwIhK7WY9heQpjNfCackRJJrlrNkemVb9v
m90wtM9zwO1tdEH6JypcqQIuKW9ZI5c3aEs4opQ9rdomc3EUgeKeiGL08acYJvpbBjKFY6fdRq3Y
/i9759EcR3Ju0b+i0L4mslxW1UKb9gbd8HZTAYBgee/r17+ToDhDjtGL2Y8WCoVAgI1mV+Zn7j13
LNqPhHkvQSeopmUJvW+d3Tn70KqPSavtJum8jrF4mW3y5JwUh+AEAtS67YcG/Xp3KAtKD0VSzeul
scHCjY+qxWZsrgfMUb1hbmg5mVvOZb81nbjdCB0HRdBbL8p3SBzWsPI1LJHWUKJByy+nAntngb4i
mqwH1B9k22ixVd0VMaIIl0iAXWFkevr/HaM/SznVKcp1gTSUc0gljilNzY/HddM0puVPcroaSN5a
WFv/MN4WJ3Z7C+01f2SBu0etvPCPzCS7Ffn2+x8uuKtvx/W/kDVfFVHeNv/59887qf/+9Z7DvYOd
BZCKenk/3Ba1j2xDk9181Tuvpb/3RMtO+kUr/r/Yvj/7ewx4No4OVctiSfLz3wPOFGLq2M9XcFPD
sVlA8/eC/UBr9L9/n59vv2+/D+8ndyD5F9Rgigbyw+9TIWe0Oz0UV9I+1pLITlzs1uP//js++Ts/
33z8o/3wy/zuL+lCIRqDMM+rftM8sPFd9zvxxcU9uihOGZ+xxQ1CzUW2MXb3Z3eVLs79Kdo8NGt/
fR0fhsUO7epFu+IPruC3ror1w/9+fcbPs7Rvb4KKqXbQL7OT+j0YJ+2g6OeT0K8oMc9EWazFSX8M
DgY+0iW72MXhWd+Oy3O1GXaEnmdH1h3XKAM2BLAuP1/KP4Wkklz/9UAW3EZbv/5rWTTtn0jq1Pf+
Wkvq6OaIsiT167uc/NexrPELIZfUg7957XKK0/A//4aeoyvXnmcbBuLvnzaODkEvGC48tWX++xtH
8ceNowcd3VNePGx/n3SfH58nL3Nmjyu5v0z7CJv6sq4KcYAzax1yHG/xMpZIt+IAk8ioXbg5KIrY
zlgA0sSEucbKsY25hdpj4o63vRgvJl9HGxBKD021S4sVzQcvah+GjITHzNzbEQFMROEuKpW3OzJU
KDuJDqLaRzPojYw7ix0oKlzHo800za+mG7TL4TN/m+hNRDymsa4TrWJ3R2xgHLuswpCHsMt6niRt
X5Na0xorSrYSdXlnyY4ustMMtHZUkOWMnIxMDitACFfn/mNKpdgaclrWaHjtaHiTeKpjv8pWNAjv
VQyQuZfRk6w40aQj9+bostBhjqsVxpMMrK3rlPPSR2QSsiRamE22MyRQYGYJu2ZkfDZZWFqwvb1N
hf+WteOlKKi3AOA8R8KLlpkFdDUZ9/izKPdGJXrv8ba4QfklQMe+GvX8qUROy7gTWxBj6Q/pGyB6
k+k1Km3/yCbXYXtIwBfOp7WWu/qNgT1wZRV+SK4GW6SCbd52GJKjblc9pAyQRVhsasIauPZmy2H+
4TvFBlsA3gB7nNduCLAj8FAydkbeAGB3x1XCFm3jFlG58lNtWrY4Rxc1SXE48woANCIijkM00RFY
TLpl5NreMmGZH4a5D1eFSH2itlJxmmRG+vWQJM9F3RsH/EzyiSo1Q9ioV1ehNKI9CvjxovLACvdT
WhwMBHvMLSwrvvCZdPprrRgvupq8n8WcAcsd3UhzV4OtVfvcENcM7/R1GA7lvZh447e+i/JRI5br
q+UCmclo7BZDO3XrhNj5KTMofOOyW/Qzasimjo46IfUtK6+R0PqKVMuGEHuh0uy1qjvXIfn2vkq6
d0gPA2RC3KZjs7mzxvJstUa7qTKxRLfXMhnyjr6PZTBBoALrBf+q7Emim61EXxW6G+G+nAQjCwg1
pKrdOmZeYsmSyakgh/CIA7F/ICnA3UskD5jrhb/V3JwUca3+Ohq+toOKvRrdKfpGsP3nMLepVv76
MH/u3v7kEFff88MhzhpMddzEP+iYgn4YCOhkNkthchcTXPG51vp+iHt8xUNMrRRB307q7wMBzndP
EU88vkQto3Qof2O3Zoqfa0wlPHKwZEvYKahbgAOr4uyHoiht2UyPxSguW6w7zKRt0qdM7YiJEnyQ
q5fXtvL6IMHDNQAlYFMUClKBJaguwHsNyiUUWZ59USvnkPXpIRrktsdUlLpjeapnbVn27Ipa952+
RKB1HHbIrv3VLIe9R9pK5JQglqJg2zWMxXJP7SMG634go8WKwvyOtN1uGZTluwSrVeDHqXWo4VZG
eyrJeklV6Euh4l+qYdiNKhAmmIswvxamC/jbsq40E+eHHFAADHQu2aD5xAwxa0jTitV8++p0wbuf
ucPGmHKxDqay2ru5RzBPod2ALkuvvLaGOiVDghTNGmHk5DgrP5LWkrFzgmlvYveBH7L2zC9NJK9D
uzq7LT1/GSZPkWHetYVHax4bH8woxjWp9vd1D4i0avadJM0wm/Ud+rkvQiS5yn7YgS+5zkV8aqTx
nOXBMZ69Oz0unYU9o3+uDXFXOjHHGP8ILdCHZYrTFi2M/Tp1zYjasnnCY4oUtETYVtlyNVjiilGv
vgr96DoC5LLQssEdDtPEIITgja9cd2gU87M7R8deZf2ZcXPTKWbFaNOEz3XWLB2iAWN2WEz705Uz
MyKpNA3FRc4KuF54bdokIOxqSN/K0O0pa3eau8ail/EeF7V3CvB/GxWGL0+5mjXCdrjh7XdP2cWr
yfiaFjb+jfrTTB4b3jlVBvM8r3GOJaCyWhuUTJ4SaRUkxSU+qXIp8KgPyqwOyoB7Zyq+sofBP60X
h642zmVR5svOnNFtR+QN68oAr9vaNlaW+B5vvMQjj3+6W9YEAlSwJsiphrrdBLy5KX07K6H5wcFt
r/vFW4b7vmO2d7By7VpXvvwQMSU+/a7iYs9JqV6Ktjb3Ejd/KbPDSEiDhct/0pNLy+wYO6VoeQUk
AAERwM4ABzK1JXFDc+7rNrB52caFXwIS0FwKD3YSWGaFuMmgDTBh2lZJfBNBIZBd+jyI+s1WeAI9
0Rso+kSq1Em3qiVT/gKaAVY+wfJBO7DutLZSIQ86BT9AfH4hKv2dzGewCPARStPgDtPLTUlMAUve
uVpN0BQSn2KnzwXcveEtVJ40qcZsuQTlUhggd7ANeihGJUa2WDnaXKxtgGvgxpDEqinXG8OTYpmA
ER6VI25S3rh8sr+0SohfEZaaYZ+r/NrAvoejLjGUSb95cbHaoei/17He6Vpzzetjao8pz8OcB5AP
ZiB2vWDuh5WHrt1Fh73oZnHTeObLpDx+gaXUTsr3pyWTti+UFxDR00WfVLfUch8hZkFXuQZR05Cn
Yykvoa9chbPyF5J1sq79il5aeQ8zTIixwAAJeUouKwaGlG54FTPlWpyUf5EhHktzJXVW3kayXNjZ
BJjZDYE/xBbvrnJC/tM0fapYdC7Gv75nT69foI1yq0ILb6f9l//8+5v2RX3X95sWshgDE8hdukHM
klSX8K/tkvjFtpBmohP5DjT5ftPSE3HzoWLhDjbJU2ck/l3FIn9h9oF0EwKKyZVr/61cTEIhuUl/
mwxw06KUYW6rZinCEehYfr5pNQFb2Wj1gISVbONMWYafhCs0nWqk+eljmSBhH0mEnaPp4LCe3eYZ
obBFt2MyRLxhXxFJDMjWHJpl4aTHsfDIWvfiUw5/eqVr2nUeMVdsC5fJd5Y+0CNwdEaet8b99653
1H2t253bDi+/3j+js0QKl6xtUnoXURC+SA97bj8EDzVyUHCfyTHIBn/p+AxfednFpuuic0GKAPwI
4xmUGSPdyGLPZ1rNCnUfkR6t/5UJ3IeZ2pJUIyHXLiv8ZVZjEUzC6zHIX2cxPGhkmLALD/olaQzz
OtHsgy01ZpgqgbYk3gOkYPGGF/E9dOpzxtZkUQ/8imws4UOU+hWIx1VMUkZRzseYJNFtXDN/BkV1
hX/xSuQmwX9RSuvnskxIpeVuUbnie2mGd7+JCbfVuwh+iZtuZuwXq1TEd30/XUUdYFJTtJT2ABIv
hsy7bTJ/lWX6dZMP9SZOrWylefMxTL1D2I7HsggFtUrYECrV7wMdHExQYJEhGLtYFJ2tbbSocVde
KGaAMAUujMLu1h1EReqZ1jzQYsQbLxm/oFyaDgHslaXIBQqSLHbZR7saBlTzQlb6vrJYbk/AF68n
LWdqVSFzIS+JuzQlUy/QIkSIXR5eF1KDvqlBtXBo0qqXSZTztgkAb6RlmG2SAPp+WVobJ6+rPYnM
007m5D8H1bx2nNxZpEH23nphxqCeRXqqWdk6zcdxhYjwJXWGvQzq8hQl5QRUx5xQLUabOMrHFX6O
deTrUBBILjgYRnWT+A6OJIP8SuzmfCA7xz6LxjJ3tUGBF3QzvhJhLsqG9UpHUDLRgrmywhUOARhG
v5on98TSxkN+LD/qsi8or/QzuY/50mz5KNtWPK6CPko3ZTAROaXJW9bHL72TKEUSzA6itNJd24zE
5QQD+wt10IfTu4OSFJGPL3GP5miwup6PsedgSUHDWVmptWMS/uzFxhvb2q1D3MjaGJuTlmkl77ML
ymygTAgrqECEY6E3IOInbzx5jZu4tQ6KcImphA9vtB5rxtrm8AEf+HHE47QxEhcoUIfYekIePJmt
eeUM2TPdabMiz41FedNy89vTwxhIqho2XeuRPFB3UCVuwQIBs80jyh7CO1IT9hoFjV8j5ULEII84
WipGI+TaTnZ+Nxf+ZS3Li270mhWVz9eorW4NE4yq4R57V1xDtTnOrLiNJDuEWngSMbLVgnHNwgIy
ts9q60YAMFnp/NwN5p6jayYDNuVqXziohWXCC/eCHYaio9DEV9k6G0YL6miy1gUSikOhTa8GKoJF
pbe46kek3DBs5SEi7dHlmoSHGDtt+5gzUClQFiMfpRiqi1uTye9DMY7D8wghCLCRaPoaVI1rv1D6
2Ye2KdPgKg3SwN23lWa9+AGQ2FPMwmKbAZpbdZ7/qIeWXNsjLCXdB8rj83nZWWCU10OMG2Tgc7e2
6RWwx4jnzup2c5KRK+nLXUg2+sJR6agDJIIF6cLXLr6UMUcuPmdwYLQgu0plkNx3OidcVjKVqhPi
1bog/hrUznUtEbpCidxMUVMCh0aq45TOjem1X7Kpf6hsEsN4imHV1A+zRxZvJeYrz4qOXTJRl5Ti
Fbtbvyjy4TIesht90NNli7RwV6U41PPGv5wSYSwnDOoLLSDjJmcPlOzzwgDfYOavBC2DFDIIqnEk
6p8kfjPobYp4fBsdY5NDl2b+ZZOBZPEcpj1KKS25Y/qW98DyqOFtqIRI71Hqar17Geh2tOmn+Ks0
w8OctXs/NxnopdFaz1iV6G5OqnNfmQvcsbfZzFYw9Dn9gM0EmxzL0GLC0rkAsrLGPzcz08q2Zi90
2rBiWDCjuYliVrxp7VD7VldFIyKQlUqq5mp3VWiAVNYZqAXaxq7rZkkE3gPqQzw/1RmvQ74shHyM
3f49JmB0S6DZccDbs+jHloik+dGuwOWU0eVkFxkNkjyUPmO+Li43kSeAALsvNIkRbO8iQKpRYCzK
dKB9kbkkK5icQRKBbOcWAKS50A3rg0EMYcYzh63ptscYHxeZhonkD46bWtYHqyXzrYtoIaLa2XvS
4XxGeA1we5Fo0S28mteqI3+p4v9rp4u+0B4SFcssyLmuu6LluOk3mR58xJ63s4diX2h81S/dr20f
fykb/ZgZ/xh+/lsZqi3SX9eT6/Rfq6J+/fInqaLqG38oKZW2GSO6xfr6E+jya0mp/6IrwgoIZakz
AqcQ/V5SUocS24P8wyBTHbUHX/peUiq0vQGNBJcXsmoLycnfGN4QZ/CHkpKfw3pQoAvDKK+q4R+H
N1Xgj7am982lsIqHIZ9YEpvVSkN/QmReU19psx/scjbWTzY606Vnk+vdOsR9uxlSxEbrc8J1Adgl
M4tSxKSPgKqdVY1NY1mCs9nMpLdvsmhGykYc5rK1umJd+R7IkaYZgFXPt13LUp3Rdsg03rn3mnzP
ahcT81ynC8cuDiykAhKQnT3ho4++igHu4/K2LhQfAh/kThekNVlso01x1LLuXBAwqGww+kLUsb6Z
bCKfy0G7SGmBp4ptP0KzI4zzZ781Dq0sm2Oo+DVoCzdBJREADxKWyGi/SSb9u7YdoXSP9oQSbPyQ
hfygA4hXcM4QUVf9yRvNp9wo8gPIk2JBe/Bq9OF1yMRrz8t893KEqriwCXZ3SAqTBTHauD/W7P+Q
rPrF1i7lK9iqTVCAd/IpX2c7+5Cpvh5ZGehFWm6JJf/i1AOSzyTYUZITZt/bSHiHeV7FkSbXnTZe
kn5nUoMbD5HvnnoT2S+ABXyYOkHjeTkAm8tJEumHvSnbl0wnnLIy22bbsQeZZ2uA6TM9gE4Z3Kux
YfZctuNMxcde2rsISeyeu1BNrfp43cSdhbkK9BfCunGbRRFjrij29qUKADcT4x5AVbQo1fVnYOol
PsV8ngWIWmy/XnfXyTQ4Y0EqD/NnxHioJbvSLrhUxY0OPZ1NvwsNHow+eNvoQeH1Ya0RBmpqIL3h
/jAUk+W4sguCZjWtuArI11xIvPuGFHeOxv5niOsvXYc6iYh0q8t5i9nHoBF+LO3oi2NmF76GzTlX
+epDzdXiaN2rpbLXY8t81oz0BY2LvcBuvKVCK5jBxTtDBLeVSnAfiXLXDArAanY3U54g16V6I/dd
+g4mec5zl0T4bM6/ChUR33euXEgVG18mDGh6LX7XSZS3De52EubTsL2YSJwns+GlZWeNUsdbVARj
V2TTCzLqR7LqpwGvAczjhyDDwhTW/p0/Osc25h0qjcDamCXikcT1zmTQPfvOcC9BzVCHw2YZNQZw
TiTeGsu7Ger4HJT1xvA9/PFOfzno1o058btkDPXqRt9LVy7xSBwCODqdHI6lZpMI2D4ozVCQ2yAZ
bcV52Jl1tigFk5ykmZ7sznW3cUBTl0SY0jjmKHMrjaWY4sb5Y88SK6qf6iY7mF5/SkxjTzfzQK/h
8n745rIyh31Zk7TFBxbao5begER8K83M2zlJistAuls6THMN5MwleZapEavCjLxvLG8W8Q4QleJ9
7pTLsYHiYKA6Vicup5SOzt7qr4qOCaQBombTkWgZCMoXHQ+Y4C3gTLo2J3mKO++d0bbyX8l7Q1on
06qQwHfYQHoy21aFOuJqBOx9IG4NLyf2nSrZKJts0cDf9HQ73WVo9fWU8jvIWrmUfN66ObjVhfXm
ZNjwAsM9JX3ob4NA0zaI6G7g1dawJ/H4T4bzZkROstYxqiwsWa4nU8O7G5EqyEm6ScDE1e1MqFY1
05zU+l0e9WC1cD2+l6EGTKvv10XDGRFFj0PYI9INd5ntfp3RoaxbgjfgLwp4mBVy06ixNQyTzZw9
ZoHmBKfZCFBVSxok9sVH263vPJIUKMAcJsRz8VLMkbcuMVqT7j4/+b03Lpy+eZOthsG4q8lKS88h
zHHT9l/Gpvuqdx3xyXl9SGcDp4GV0rDa110ynzpPY5MpamZ+TbV20/FCaGwE6y5n2Dj4AjlNd2eO
GD591sBF/BD3CtcBEIZXMz/R6J6aanrI7OG6HOIrPg+8CWN3nyX6ebbZHLaK5NkLsE9O36Eiam9z
czrrdJRE1R8tMd7nJAr7ln0lg2ZVesz8Xf7HaIXOykkl2ijb4pKTLM6iGPJELox2wRm7IgB6l1f5
ro7bmUK14diR0IikSZizDl4dLX+6lYTkzrMr9loy7PNYhqs6KpB5T62xh9EYEdAKKaYwy3ydiBqv
LFhS8iXR6hkY8v6Z8n1O+cz/WZXdvub/OhQUwVH+x1Gf+tbvdZkhWII59FdAyJXjmS/9UJfZrsRK
j6/aUdqp3+oyl+QB5n+OiTwHt+qPoz7nF2RB//1hn4Siv1GW4eD+Q1mGsFp51qjLVCn4O+EUdhoy
RKypvpwItaCAMTq94pPE3Ug+DHL1yJKnKHTCs7TrrT9L+7qauDvmQNyYvnWT1N1HIcpqMY7hPu5B
ZTiqsOsuGJMvtX4+pLmOngLGh6GswhYKgdK8QPAIWq/Lzoblbnwm/U2obYpJu8ZwcO9M+aM9tks0
ex+MKXFcuQwe833SFatQQ6gvQwQWbvhQTwiBLAFbKD13U7TqPXEmNQjllxwvJMnydq0v6Yzv7Qo9
Lr/ROq2HN2QaJx8XFAuQFzNIt32r3EsSaIt37K3q7IfhmQpsgxR+GYTluSNr2SwqRvrGo2PZu1DX
z940LTRWO7Een5UKvu+8VYVINxQ9yKPmKgy7E3rOJfqILeTZtZlKTHaI4LyvTe0Za3x63TJE/Dd7
7itGJ5i51mMc93ut8Va93dyEwbzV4hjLLxafsr6dGi5hf4wuA9vZJc6w0mN5byPDmKfmJnPbN7x2
Z5bn59CvLnqZ7T4FzPW06yqCcILyqxOXZ2yLa6w88DysGydk+OcSMN06UEysdDgh7NUW+lQdKz95
NQvrxivlMoww/aadA3q1vQiMbDUH/b5GZto42k3sjXtd+A9WNt3jSF5jcWOJF0YYQUZ0k76olk5W
nQCPkGc/VON1ylhwVUTy1aE73ZbVuHVRuZHzUj4aRsl2cRjfiAmgaqjrQFTrZvKGee03bh3vYi8P
9+1nZIr1GZ8SWzI3t2R2RhsPBv6qH5u9rRViW1TYJzRYhAlQ4UMuSZZoqgTFaqqbp9Gee0QXFG/p
GMFkygNjRWRyfGPoxjYxgNrZLbAKJNcr5EREYeONWOaERuDm60jMLp1q3cKlXHYsfnd+nwMclNNt
ZE3VimkkdYgpk83c4eYpSqJzhqC5d1lbr8FiKW6scR25U7ma468DzuoFaOk7jYVU4Zord7IuZ+o1
q2bJ2CTDKoGXiAH+A+DVyYW0pA1836nuWoiCk9Utq5LNqSlB/WbFtVFkD0OHGazsGyKkqDGWc6gC
k0vrLUAbTY+imC8NGyNqtHNU95ihxviLp3VAd60uW/Y9ADGI3h9BiXx5Mu7Rw3/w+kmQKAS+xclk
pVUyJAszs1zZOeCsMsEo1Jf6rkzrFeOJyz7MDthGHqxxArooDrHnHixkvJtR69ZM7h8ibmovS6vz
5A/VJusJ2jI6TZ6K1L/NS+VK8RJVdiED6ixCRwaUQYzBeJer7ItW0GQIJR9ylJAoRlHka+k2VhIj
b+6f2aVXixT1USSctxA10qhkSbUSKM0O8nklWXLCdBcoEZNRGRtyMmbKQmPro3NqleCJY4qGEVZv
gKSzQxM1BSY/XLPeIyWXkl68IIvgTevqVaMEVaMvVgQWPZpKajV5OOTYSCwtpcJSciyrrYEaodCi
a0KqFZPFOyr51uj7T6YSdPml7/D5MjeVEnt53sAjqgRgRcFjWQ9uw8szv2YCF2WvBGMdLR4X/MBc
GC1ZNEteW38o6a7GjOnqhLDBRX82hOIctv1DLsShVQK1VKPPjrRJLWrHiyQUtwNqNjsP7/SJ2Q9u
X8LYkJu71oCKBw1c1LnkN03JfY1DEFJ56awwSKXdbRhiQqgHYNIAByhIeurdpUYW695qo02Y9mQ4
4Kfdipm5FBv7aJEDf9+MnXFg6HoNcCNfOGSqXUcQUP/ZOH7bHWKl+R8TotNH/f7x5Y9liPquH8oQ
YTMDggSMN10qX/oPZQj3rET5gj4STRsVyvfxkIO2B7aD6wECJhJBqbq/j4fYOFrCdMgfMgk1QTb0
d8ZDrCn/UIdYDkMoYAweuyQwND+Ph0zNGPS2SpJL+pi2PnhtRB8R9ZmlsUXgxiNYuM4mVIlxda0T
HdgZ2R6xx27c74VP0IFaNQ3GIm7dh3BikgJI6w4JRH0UI1azJ19Nn2WbJ6rwNpbZ52gaY4Qdk3tQ
GjabeAbYRTJdjlraQ6szXn0H+6ddJ8eSoXcucUo4jMGhfm0ZI8ywzcYHVoRfmCXdIM/mB5hzuQtG
eEidW+ysxrtuGbP3Ra3u+4w2Uc3gS2Ct+G2yK80y4bSLqVWmjkuX0T1WIvy+apwRqLn+WLu7XpYG
iDEEechrLLUDGAp0fYSD4WIsqn5NXHK8o4NN1x6oXFJhfMb8VfjUJVW7yu0SB2BCGMmsYkkwH6bs
r1RWyaBiS8LPBBMaNcdcGCrYZFQRJ8giFW2N2JNGBaAIFYXitISiSBWPUqigFHym9mWkwlOwHOtn
NIiHSgWrhCpiJVdhK7Jy2m2tAljCzyyWXsWyGOSz+CqoheOO6XpYczz0xLi0n4kusQp3QflpHt2y
JpAyAwgLkRI5TnSwHE3qey4GLdkY+KX7yUn0N70yrVWH6cKpYuhStGGd77I4TlCJ5lzwVjBvBMQZ
K/aAqY9qSGDWyQdb6keu14tCsL7MnGGbsp1YOrZ9qj3t1GgGH6QsWtllejOGTNuM+tnQkot4oFyo
jOzODEI63dDFDV9doao459nIviVsnYSd7hQZa8gmZswyOIznk24Lrt5kWCdlzCze6v19MoX7LiOJ
cPRZio1U+utsDt7nEVeNT94De2U1dMiAVdsUPUurtt9JNqxRyYhkORptszLDcd3pkIRV5TW242pq
KUSinpzJifp64fvWuZVDtnKFzYInwMgmXMA8EX8y5ueGurd2GDcsE6G2+raXLOFH9NspjPqVGMXZ
sQdKFmYlJNok9LSiPUpsD8vWZnsUpQ3Mlcx4kaPO2n4qbgeHPDtvGryln4OFrzBCMT5ECoNPlA25
85H5wRfGVBiANTZE8dQSOBpfdTYotKk31rronCXpBdm60CGT5sXgcTcbCzCfwSoXaI5WPnUZVTy+
cnZzMSmjh7xpi7t/etnPXlan7fvrDcPxo/6TJlZ9z/fbQ+ci0CUeDOm49LIc9r/dHuIXGkjAYeBk
lf6Ti+X77WGDVoEF5+kIU7hyfrw9LChkaEMFzxUwOTYPf+f2+GMT60norZ66OXDm0FD/fHk4ehkI
4O3t2UFRyBIr4qhyQwPxX2V5W6d3Xznrhk2lEkxAg8XIzbLG7SZv5URG/BwZeudfhn7RoTRgE5rh
UYp5ABhLds5VadX1cJUP5bk0k+hOqwcmO9i/HWZLc3Pt4gh8QUaCkT+HtlQK39DXASorOqe8SKOV
Yc3kgbCFAFJuj3WHmEHLmDLqrZM2zxlpeFxXIyMsdo5mJ5sIcH0+Rvohy4a5uA1m2LnbqPJjg71k
UG89MxCryMmD7di3clUXQ7xFQVatB6LhtpAB9fUwVvNWoPN7QJre6ag0JzmvzaYD4DkZ3jyu044s
ulPp+Nq8zq1SawDAzvLUTU1ITJZRyNtISvUoOmVMYzc1Wx2JaHubmGntrdGopJcjjFhjW0HfWE9B
UzzNg0V1XDJnjBFjhoWzr+i4xPqfR/TzEVXTn79+RLfpR/4nz6j6pu/PqKEDqMbZQuAVXL/PLd+v
FZ7xi2cq/TVzVVuhkX57Rr1f2MqB7fq+AeRL3ys8ciBcg5/Ff2FCw9f3d55RZNq/r/AUcFuAbQKO
ZFnqx/20AOQz5AAEcj0QJDWtsA2mHuuLArmZWh4aazukKnthol5fY50B+5YpAtwMCk7G3kWdc0mh
v3xLGIMrVVZvtMFmsuguF6WZjgp6N+/z0azWXe9dJ+7wlSV2RISA++p1BhgIypUGVopdbQVJKS6J
KWOp7bQofbNrInoUuD2Ih+vEUBbptl4FwEkQtu9EHMPhoYQgqAdkPgkt2NbPxsxDqKJbBhXi0olp
NwEqXuSa/haT8wKC2t7XrvNETg116vBekggDhi+1VdaQfPbIBQZcnyyoJT/qyV0lKlImxtHDNoqY
mZnRPa5RtNK9vqtIoulVJM2gwmmQvNdwCwmsQRHAb4s9CQjs/Jg1/QkVJ1wgFXZTq9gbA1xLaKFX
NbtgU6toHL0OnHVMWo5Lag4b1J7gBDTRetE9ZyTr4DS6pYy7hNPBZUuYxSZriOEhdmw/qGAehltk
IiI7WglyLiFXEeBTfjbrWpYtaSFw2E7XmZ3sGwK3F8DSvkxZ71J9KC5u4bP6Q4lhBtMrIMeB0Z7+
tTW0gw4Ka0BmEKuAIV9FDfWfoUNDNwDTJ4hoUpFEI9lEMxlFmZYPT/x7Hsk7nTN54sheEhxMtk2M
NNy/HVTYEfSmuFnpn1AJzcg7jjnCF4BHfyNP6J8YipFx2j5tXAtIOZiKiDQC5L4BCnAK4vDgJEW/
RWZdwNWJS7G2RFRuQ9/1bn1ifjxCRvSRBV0xy11vT9aW5ZKVQmMFpa5PBWkEaNeMCydNO3oY4MBI
8MXTP8fht4qF4+Ovj8NjlAfNHxtenW/6fhwisVWMf0oThuV/KFmQtnEU0XJ+S8X5XrFIZuv8x8H/
wmBelSW/noYUM6qIcQyOUAC41Dl/Y+7ucE7/LLClb+bnEUXD7N1k9v7zYaj7Zos7HqFhOGtmfW94
IShPZOcZzgd4mageeIgjkqoSE2ecHDm0hvRaaCY5dmaase8ZWxJmHYE6cHJlU+2zoqarcno2yp3d
UF80jX8gJQ6BUpEWc3JdZMkjNOMbto8v42C0S6w+50kCWrJyOyKflho+qMK3woHMYojcUBPQkKR2
bTm2AKDzGD25ARNtMJvbUPefSo+J3bEQMYSDNMyC8SEh73qZIU7d9jTOJfN6fqpcFh39ycnSJmKs
2HFHVuSzHE6HtWhBX/h5X74Z5IoHTKEw3WX+Ui/zDV3msCyyeFfF2g64dEtHnL8JE7R4yjYXl1l2
HwXau3Eq8+lUMOoc2X5gXZiJmkn9O71yr7NCrD0AYPF8rbfyfuibRwSvawtJqXf650H89iBSTP/1
gwiglly+L+2fPIt83/dn0TB/QT8kFEH4k7744/DJgjpMOJVpC/zDPw6fwMlYErIVGH2BIQ2l/K8P
IzxHIZCxMYEijIo/87fk7r9XJlmuQdLVZ6eCNZIP9c/PYtuRreYU9nDViUOAFXi6KZrtD2/Kn+AJ
vuFqflPU81swe3MotCSqeomt//cPPOtnmPdNeWUOQF2QYdsNosjQNHLzKhQIVxV0ZEyuZ/Yj7jkE
hPbEVW2Q5yzsaRmypTPwiZZk/xT7KhwvCMzF6cJjG+kTvhKTxj+98m1tlRbg/RuP0LjithUQLaZQ
X8+VczNGzc6fML2EIPzzqNURJlcHrRwuNTd5Q/z5qhHr2JXlnni7JyQ4bBCi8DJom7VrpHsnbP6P
vfNajttKo/WrnBeACzlcns6JzZx0g6IkEmkjbOSNpz8fqJEtyrJdPteeixmXNa1mN4GNP6z1Lbkw
xvqt7maqYTKsBKUDjQmbCA2gxIJQ5J3swQZ3Xnrv+TtpNUs+3lPk6nud02NhGRWDouJVNBwrISsi
5DKvYaVjXsqrFjfQ6C9kU2+YMp/CliWXX8w7+wGsWuXpn8emOFi2lq8Mu7jrjegQmuZ9PfKYNZP2
MSN7G+Lc8KVx7YOy62Ij0wq/wYj9RnoWrufQWYZlfVsnACw9u2yxz1kXoAzRijXWtUAhTLHZPWmp
hXvXG3EbwFj0zfYt9ST5dgmDIU+W4IjsozfUNkIF1ooik+nO1UcKi5byakw73HKVifCjh4pmI+w0
8nJvzVy7stNuHHBdRBeIuyEPZs9i9qzJ2l6YQ7UPsJifRTsYKIuzQ6MlIMMMaSNbjU5R+8VKy02A
hzzJCfQi4QSBqSgewwl/WCihsJWRcah91hJt720nz/lSJehTBlUfO8/+4jc5qeBp8ubnHhgQ259W
sg3ukKG92RyzM88wkc6wNJp0F5t1vDIwipWMKXuz+Wykqb6syU1bwB/aiyTLVzaxMYk/a9gs/NV2
0w5rW9ODJXy1K7QX9z3rk6UmWqC7cb0GbHnLmEqukGN3yyJEYUNPve4pRVnZYLDwU/Te/RLVyhxy
0D9m+kSOqHLfgKV9cgxiG5jtWhuLSeEC6Fl2UeSiJrAiqZacK/eRkreF7VSHOLMuI4HlMS5jkIAk
X/QpRqdqkN3aH/g+PG96ztzwzu0ppPu0eLWNwd30tX6fReK+SQpzMZL5gfqmvcg97a3V/GfiSZFd
ZDHPS6ORK6Z2ARYEmOX045bK9tU7TmWwa0kmPd9GAJdJ3jkRKXEU+FzlGMruM6y1e2ca0yvXGu6k
NCkGq1d2IXssCmIhyuor428ech6+ua7FrJANEMeZoT7adrsSbog5wH0ogvXIlE6lp7wknkrTbuou
DeaSX0gCKEmuX/VYTwmfK1d1UJXLRoBlm7h+IwsuYWld2NDSaYrwXZAAWnFv4rmvzk3pPcW+85ro
eGQ51vAOkIeei4p4X3Wkr3zRxu44tMkhd7rnqIPFx5lzUxfGOq2Mm9Jg5WRoNyR1rlwtejAzIrl8
BxO4fgyG6Aq+yZXKISc2LbtRns+B+tr1moAfnq6yps3WBFAuM/alXlMzG/SdDT6Kswf+uZaEx1go
EOPEGRZlwKwk9TVYoxpBE/VDngTZOjSb16aNN6YcH7Xm1em4EnvX21g2ybeMJAcgpvBE6SbTTmna
WmeA/OBF/biVEltfGo2AE/yqrc6ZZT3lpa3djpNce30RQQtIObcWWWlXakEEmbVtVVkvfUGD5Fv5
A1jWTd0OT8MgHhqpPaM1tK71zpmueODJTS3kizSNfVxbX8fQv5STOuOuZKqZ431ySJ1fQb+D3pmK
ZJNPeXCH109dRHl8m0TR59SsteWQdeJYT8qj62uh6BS6YrFIWJvJb3GI75KkTAHjwhfum6fOKKdb
X7PyTTiTkSp+PjJVefYsg4wzoNMEWL6umi61Ftm6m2KNUazZ19HskeYub5jRN93Kbj1EBEXnr6Ro
V7bb97veaIdtaGLltPJSbYdCh8UoYABHbZZwsyfObgA0saOpvIL8cNPY8VK6xjbt505RC78kJQvd
yTXu6HmfamO8jZza3UMteyoZl83z+vD8949dNlc/VNnvD11gUcR2MR4k8WCelvyoOXYJbjd9U3ZX
pT+sXeMy9e9cfmqHtj39J5rOxypifi9GLrjmDbZKHoofWocf36tp4MCSnzVcgR4NswepNrH28Pcf
55/eYv7zH/zvJB4IMXRiuCIfbKmQRsf9J7u6/f94E/Z9+P7Qb5pz1fXjmzQxoI60GIYrqyaF5jRq
Z63f//1b/PnXwlf1w1v85C5sidSLDHscrmz/NpcbrBrsxS4L7yVV//BOs6j8Y9X18Z3mn+SHb0zE
vUMQFx9GwsE0CgQt5qHLydda9zkWkWnx9x/s4xLz2zUAE9FBSgUJh0Xrx7dj3zdOdWsMjCKejBb1
onsXxUeV/9f0/88iiw/1r3uNfV691smL+EWvweu+9xoGDcWMIEMK+z7q5D78PgY1XHhDtO4cBnC7
Ccb9YwxKg0JDrlP880IPRNDvvYZlsvogowTaJV0CDsx/taowrI83MXZaXL/wjnRIZcxCoWt+vEZw
pdXFqEl1MVpVZcwxVKAbKw/T+ps+TYVDqdXqLU93CxXLtCvdLBvwzo0pJ5hrZzehGc+VcTjsaqP3
FAIg8wthnLjZgvAFEOUtC9/8SmXs4OTkmhtCN1H62DrJPK77FlesSPGPkXJZkCWPBo0ciyap16wL
vUWfG85p6pp8rxUCcymkuQKNiwtKME2j+swa2eJpEpzQpGZH1KvFqqkGtakdqlm29yj5gTwuYUrW
C6wFwdnu1SFzkpNftuExT0RGLloAMIwpL2FaJpwGCIZqMwY4MC14y6hdxgxUgFet5MgTUfodzEFb
exac3pU7Fgcv7u4MF+x2mNtsmxNaooiwq3Odul+Ggge9LD1jC0vobUrTT96QoJy2eyPfDyHBIpWd
qvs6b8OVrGMwDxajvTh9baPJfKbsxWoo2nLTA0ZYeY1A8s0Yj6SOoEAbqIXG2h107cAiXj85cOq2
CbzJRVR37qn2PDZBUXpLJ4T6Rt1pFZvV0i7IMPNJeHNBJMDIJBmEgRDlKV0cuWTGwtYHhsVseE5G
3OEQUHj7n/sq2lehbmXHNlQGRO5cU5TJU41z6zLmd9ebWZZcKIOanZUorkGJpUBn/eoHBHBVfiDR
NzHCdCD9qllh1gnirPpsOkDzCC4TpOZyUU4+6MGALyG8DEJsZXGCPrE3guxkggcnsHW6RT9ljKv3
m/Y//I7BWONvTq9C/cLBNb/m95PL+c1lIokUGPM9M0EeVr+fXARvBzoOLR/Jzbdh5veRJXJgpDum
5zKuIwZhTr34vsCZR5bMG3ybqcZ7/ve/GVka7rxF/eNhyrxUDwLyvuYFDo83ZxY5//gwtWJREYLr
tec8c2PgOuw2xzKnl7yG0Tn19CNBjEJ4bWPyj1Ge98geHKNlHVpapiqGpa0SSxyln0iFX5RsVgez
9eDUeGBGV3aU1yK2tvBwc2IgbFskhLVoYdqbKy0MyuLTVLudfeV1XVAXK0+vevs4Os4ASMbQZNq8
eFNbTxMOg9Br9OU41j2CPKOP623aVMFFLPV4H401ybsD1B5ZQlz3kfHLrsychZ2ljBbk0B8TQkI3
+MWLsyey7oZ8nOGzXjhOhdEqjj73dj1uRKPnJ1BWJa1sGZ5TjTxJTDfxjgUd6ER/sBQyJTPcN12J
trbwhrOBx2BVh9VbiawPCaBp1i9+wu5CtAR7L+PQwbDipO2dOch8yTfoAOUQwbaPxcAEAJow/ghm
n7Z140+6WI9WhNoROZ/NoJa1jEPAHa4rnQhL/GibDH4y8HijIhiqwYjF+IWMralvd5JMw3RhVEDh
giA2P6Fbmq7iaUJ+lJmd+TmjRzwiHI72ih3Kk+U01opCERJzReMy+Xl32XXZF77SYi8D17g1mkQX
yxRs9IU9JMHCgTl/VkRBwRJ3CDJImmYbBKImyDXwz5OkU8hlQUei3rOzI/XFdkdxwpjRPHR52W0a
Evqw/CXmBWEoAgl0TLanAonPhSLdawYC5A1Kp7nC/1qt2k4vjyAc+iNpfgdoFBM4Wc3fSCLP3wYo
Kzu/yqPDWAJ/Wjipp10koavDd27AJJdKMLpqOcKl8pF2RZ2BZJuraHRqKrjJDMKDqDX3gbHGI44/
82SiLb7kxw83WgYEuClNGzF5rV+qKQaJS+7SPkqwGpf4yGi3K3UT1/6wAukg1yrpxnXUT+GmeRcE
/HeyfptBU0T99cl6eslef1ET8prvJ6s5Bz7rrKQJnWMKO8f/fD9ZGU0jZ2GpA/17trn+UBMGvzlM
nXWPhENy76gp/zhZ/d9cDla0Jggmwa78u/kz9JafTlYWSsja+fe4PfDI/kx7pRpCKCELIoF7ER3R
a8nwdhzJHdlBC8y2gw0qSnmY4yRDFZxHYo8obFg6nebsspABY65Muhroy2Adha+jtkXpS+QHQ1ds
4j5ibUZESMgASRy0IHUuvAki8ij0jZtjF6SDx+/gvzppz7RADcitQntioRtHx4KIq5SoK+0982pO
v4K5TTFBHpaYk7GaOSNrMNjKwBKYmDINZnQj5zQtfc7VakxGYgVRW+2Eb6IJXr2wIzzPv5ykv6dp
v03QCmtEdWlzZlcRlkcZgyef07wIp3sSbbT0tfg2N537KPGR8PkMj+3Mqjh1omfu+r3lV+tUD58t
QsO6OT1M9RIUY0uiWDPjzBPwkDw6IWHWcMk8AsjknESW1SYLcHGWAoOHl0YXktCymvCyFk9lyxcN
KKxcTuWARC2sDrjnPXBK7c4hAg2ABqB1MtGCiTCEzGTeXZGXZnnqMBGg5tfxtZoT1cgU3ncRsAo5
p60FilXcnL9WzUlsKag6TvrnDNEQ51m5dKx62kQKRXpUxV+aOdFNVWS7FYba4j8+CKrmbU78WzHn
wA1zIlxS1w9VGNtrq37r5sw4NyM9jnKQEhuYGlKuN21OmLOD4FLOmXPTnD7Xe/LOn/PoNILp8Axf
C+jeQY8e0yb6Om3JsHMilLLjnGunChJpCLrzeAqs057sOwZMzzYUNieyP436dC2ZI1EmPg8VgYBw
X99goagNpG68fA06SE/tsjlrr35P3SN+b5xz+DTDoeKsok1KRB9iUJ5PhPZ5hPcplF7lApkiDtLE
bT5j6zFPPOepgPN5td6yXRGrYV648/ndXa7mLXzoJGzke6Ql3qL1PYDaMB/4TZkeM1MJ74rcGL7x
CRXAIgmhFkNv2gSaDjItzIhmZJUZ71SvX07cDNfKT71tpvnY/3gYkm5iHiwrtYj6DRaW5DVTUmmX
aRQBkxj1cm1xtS1qR1rZIjMUSgErGfcMkJ2FI8vk4PvjhAzNGUgoSVo2MkO00Pt+M7T5F1+PLslb
Z/5lGhdWJ1HHB8E1YhngOiI9SxcFvWk8Ui6p29rQsme0rQh2JdZAi9rcCOtq7YPzXNSula0Lkpl7
G8fySDAsj3xy6nwWbNvcJJDRK2CwG0PXn3PbBpBeYr3X1EVm9jiTGH13NEWLTjATJsX7c91pW8NC
hdlb9b5wO4udlX8g48k5GBGBLmWFqdBkR/PJRGa3cApmbCA9yVqel7VF7IlVgoh1o1UiX07tpH+R
hvmU5nm4CYiqXA/YG7bFBGY+y4SzLXMcmI2W6kjYiFsxzPn3G5I4NhHGLQnlFsNwTuaU7oFwBjS9
1/HAp9Y1Z2MQ6G0Q7J3MCd/le9Y3od9ztbwcY3xOlo8Fa04Grygj2pSs8JzQ8NhJbPgB5IiXBIr7
c7L4UOnbhKhxva+3ndbcThkRM0LgQo7h2xRg3Jo5p1x1OdhZDz9cVe1cosyjOdPcoSxf4SrmhmVk
bV74Y36Xv6egx/0VCTwN7SD+1rzEwhGh8qbUe2T9TnpBdUS5/DqWpsEiID+0GXnrkTFuPdf+Ntz7
r/eaWaB/VyE0zesv5HPzq77XCOhFAnwMoDMsk1ttnt39XiMQbDL/a7wJjGx+lLiyo6akoKjGPomi
5INPk2BB3XP5GykUUJVAU/0XghHkdj/XCHCwTRu8vKnbuo0q72P3hcVw1FCCDJcK/YW3jkm4Ywnj
EQkeqSReC3OOrM8ia62wYWYPRmegC0OZm7T7akr0xdi7U3b6ZqlLUZFDMxuqogRNUFiu82Vk/jOj
t4gUXbdRzRFHp7QbXSMK3gI9N1o8iA3L2Tbx7HAVqmkChVOVg0uuiTarSKUbmRMEi2yATTCVzHcX
0EpHY52bUT2tbc9AFhf67/V6ZpAJB514iwvNdu6FAbBig0l9jxKXA4egLEwZkMZ2o6U6rHKWPxKJ
SNezjiIMG2ugIfouzsbooIW++JygqFsFoIU05OqqX2uCHo9YWp7PMWMwPcfygCDF+dw7NF7TlLPE
0RU4U0fCtnZU/OYOGqErhf9GpQP/NY/ytVfxZ0QnoIPru3oLJHI4xhEQD38+VKMEBhMjMshjtYYs
xSM8zURUVq9y5iyLGs4UMhwmb4ZK9J1f29QhsJ1fDH9uZ6YyOlS1Jq5shQEODHmAE7J4zbzJ2VrC
itZo6uxtU7bJWm+AlgBDS9e204mrTGexKgOgV1WPNUTKYU1OJBWcb73GjVbu0N1wWQDTRMdmw+op
I2+hu9pnrHrRzp1Et+Tp6m/jun7zhjDcViYlkpdT+K2GGnu+aE1vW5Z5cwDlkq5MLU4v+Jkh6ZFn
fJgtiUmXgsYlgoQ+b1DXQRAS9B2U+bqZ2R3lkGeUI/h2hy7siROs+TF960kUmcmxB7Orrm2Qk3P6
GWhAeAAVLLCO1dDWEK68ZpfLQCwa2msPj+JiUoZEh6DYs9JoQcHTg3Hd9ACZGnus1qPhdYsmx+Mf
jkW2MwT5YCil891/jdV7YzUL3P762Jw97gu8AS/116T4xfBqfvXvx6f9G7svpuOBj5bn/fj6fnxi
HvB1wlBtnSAL1kpIX74Prxz+JMBE5gBB/4kdbf3mM49Hiuf8T6f3r45Pkz7u4/CKDsrCvsD5yaoO
W/3H4zMAPsTAw4rPWuabK6fnFPEnZe0JJJKf+tpSIC4lbTwOLM3zSD2dnJyrVDYpuQBZug4mNANn
9Jz2qiDub4TcAyD9ehz8Ur107BoQTUTI7jsUBKJPUYBIQNowxizMXABMPENOe3o/knS2LVVCfOu3
YOZqckRR2Wss4/DUT+ldXor+3maTZC5FpiuEdj7uHTNN401VCfQS0ItR0aEOEZgTHgqjh4CiyE9+
qPJg7o+cijA3mxhPotPJE1jSKvlXVtZXz1Yu02dyqZwdlg3mSUYvwksyViP89WhD2M4zbl/m4ZTT
cyVuuAxKc88KPF/mVtpd6JqXnz236G/Iq42hgGWmTRVU9LtOQ1vTCemTT5qPEzFxQTkteubiPAP8
xPGWqSG8G6K+SYWc2jzZAVGbvuSmZq3iyFZNsVS6dGpz0wVOWoUL2+oQ3fq91W5ZESuNnMBR659b
gCQGc0XOFTs1oBOs028Tx+nb/JEnI4+lXRD5/N9UVUdbT2+n66bucWgERXMd4A+BjYnRZSFYT9/l
mDoCixXGVflu9Si0qOcZ0+gw2KJ3O0j8bg1B/JM+Z6Ix78agI2JoQX4CHXWhJ2KnW0VLUIJfhele
4l4aaRUTe3gFAR69BoAftpjawo1IYp61gGtg8GswH3Ot9laMH5snWtaqvoRQTaz41H7bSP5X8BlM
n//65DqVzf/5v0X0Kl6bX0yGeOnvxxbGJkZCDFBM1KE/z9wDJvGO7aFbRBbIpP77sWX/hmQQUYGP
2Jb2ifHP7zN3893zREHomMxxHCrMf1H1MWH6cGjBakPeyIkJ9pfqU5///If1dep7NEpFkJ67fD0R
PhzGW1s+/vDFXH2b3/+YnITg4RfvwjbSQRNtsxl1fprry5CBkjM56bkt00SsSl8v8O9hSliGlpmt
U6sh1ZaunAQ+H0o5mKqlmMJjz+DkRq/ia5HATXLi5DToOlMfQ3OAM8FgEEaiL/Uo3g94dbs+vkj6
YFd1xkmfhutGmRdyKo9jbV1i1zroacZN0aPQT3VJ5MRcGBHqpBaJGXwlnWxAgpXzhy00dwT1bwlW
qgW1ERYKwp8wt4e8fvQADqmR8cph0CYiMAcisNv5dkvnGw+mFvdg1hbsWE37IZxvTk841icTxPlC
4wGyTfQsdtdxJzlrSyWzx5LIuZUCUq52UTDf48b7/d5b/tmFykGTNh8Fo0ueyKK1Kst/mEzpoo00
xbbW4KVsjXJATQSkjmejXHZO3qoQioGjXRL6p13w91cAgaEPzRKrcqZt0ieuiB0AVT972DD2JjtL
2NmhY/jtX/F+jfXJUZHXHE1VgsJEyHhTerUzXsWw9yE9qeAY1K53QIYXPbMRtx97iAlkqCpWem0B
MxVPtUPemOkM086nl3CX+tAE92XpWwsXQ9ha63R7ZVZjDAUWmCrJBmrfm05/DrrOW7d856cinJqX
hhHhqIBJqBGCfiCTvYYebs0SCzU5HLgbNJWHVFc4lEsjuGEhQGhZGifgLgKWSBVhImNmkyRjYNZL
Hv2czFp+dT3J5QCXa6K9GSEykRjhdRxc8HBrj2HHtm2FsSwCfK5N3Js4iWWzda1+N9gF6r/RbK4j
xhPUxvlFUoiLvm6KDXDna7t0SKHp0lXoih1ZY9kqsvSrJhhuW8Pr79GE+W8IUZlqZit3GN23MulW
Tt6sslAad7rWbSK3BcxWZutAg1LsN4t0ZObSuNXXpmlfi6R+Val6QLS+qq3+EIz5hgOEBfy0tUfC
Yfx+BV51hyfyBMcdk1H/WXc6ho/aRgwGlbNc1J36gmGFivtLqHfGanCFRf8BPipz+mfHTT6LybXX
boMzl7lTRD7ldDJzE7CLeeFW3YpEheeKX1/TguwofG8d9u4GLNiu0ydAtc06yuH2SV0urDBip9IU
+h4/VroyFGMMz7viM944wLVWYzJFTBnDZmn3enIBqDZjUWVet4LMnEG2x8gcuZhbYyskJREkZa6y
XB0DbiK99BZmUJPg4p98oD/2WD5qE353x7vtzOiaMurExo483+CUd/11HDDjBJJjhgCJo2gkWDAz
CJkYqmVXQ+iPav2cadmnMjM+VZCAkyY7lsI/pJ1xPQ3GSpioYIW4wBK/lEKq4+R5dJG0Nz4wZZl5
O6qLVVAzT4tx0qtpOFCPqL2ciuLQku6bq5AHOS75lYrgqDmjlW1lUG3DBmnjpDS5+fuT9xdaEMPH
NfuucUc5wf9+PN9jZUADdAWscpmZ614ECtEh4QeEYQqywq1h5fUhxMY4p9+bXo1KNtdSZvqdP/li
AXf4pqvTkz6GqyzwHvWx3crYfSOWOAKdjcIWZCF16pzBM3FNizBZlqHTLAda6YUt2at6frvrSxKO
valb4td/MNGnrFH6QZgDKk20xJKAhAbOT5UxVw2LrZHWhDL3ZCSW2yb3viqR3yL4PnRA2KdGHGSH
46kqT35jBtt2UOWqUcnOHGNnST4joGit3MR2uo3YrqwavbmxVWcsSdI66HHAfY25FfG3gQi0Hu/T
BJpI4DK4NpV5aSeAh6Q7U1eS7KKvpnPcpPtscLYOytRVQppFWGQwUnyQZ7kfbVjArZ2oOoEK7/Fi
mZeJGI6iy3c819CAV1SjpSImJq0vs1TcIOtjeFr0YuUWWkKMFm1qXV8lVtOvcuLD6FzTe1vZCELG
5AUS6zHpuZhGLlCf0X2Wya+Z1LdGRSSybTynuVrlFoC+wN4NnENWU34tgznVQu+RlGhfQ8OdFhXx
TIwQR0KUcmOvVfNZ1p4Sz30ydUEcJBAVn6EvMU7GMm1UxnY9urQmxyCCGn2KXaX+zszT7qG0rOGI
T6aGwz/k/6Cjo7H7uRBxEen6numjgrJnRMiHQgQHI9v0PDmHXbKy0kNtdt8K1b/M4aVk+uEd+Cst
WjM2YFjMZwvWbD7/8R3okgpC3aPoLNyUFNVLoM67pLqph5QrAbiGKzdBuv6HG9D8KGn487vOn/uH
AqursrayLU270FVxi2qLNRv/wFPxibmUWsTYFpat7zy6obXvuyJbgmsGHVUM5VI3k3JZ1NNTqXmn
pLX1JRr7jQgG47Mf294q19N7FxbSKsrU0RP2swsW62AIAoW4mopy3U1esfYrTa6MCgWwVyi170bP
+lwWpHyyfrPWSZJ8EVyra6nD+OMEVqvWd8k76YLbzhYTKwrY3lFv7vMIG4lqvzLO3vFQumvqeuM2
A+msTrqz9FhjRUaFIoai2AIJ0pcyd5l+D+TKe8l4MwfKzJEM6K8id+EEaL6b/k02EFWaKiHalRzT
wb4bJ+ToenZwAHEx6aNYS0KLzX9LjLHbOftsSo/stFaFCs0VfCPE5WHGKas/9jNdPUnzC58YmqIe
1n04cQUDmWijfBkzFSxTQk6qKfVXtQgvKuJ7MWfujNKdln403mKTp4CrtLuuJUzdsoAOTV671aoE
KVtXvpCvdFHr+bXEvc/ivl00xqF3eo3Bn7XzWIusKsO4L1S8G0NSAmhOz5XLMzKt8OnW9qsv9W4Z
wryVjr2NKvvkDf8LkfzLS/zdSPSHgObPV9tciP9wtQ34n3oTZ+9FeiquorO2Abb2QJTwngDlk8+j
Z/nFHBasVy6KT8Px76/1ObzrFzcYIiHskCYshvkG/OHNse/7RYbT9QJ216I4mctqA/nLOGqP3oZk
zftLbXl67NcEx/Yv/Jc4q5O+OCSb8GyRqfkPP83HxubbN2GRgOIgxKSNcub78ocfRukD2zkjjc+x
foV7e5Hoj3X/bWj3l1/3xzPrz+/x08QHOFCnxbGIebi+RvUuUNd//43+8jN4bOu9eQPAcP7jZ8hH
d2J9KHl4a1cy4H5wqDm/nVD/te/z5fnX7ftl/ULz/ufOfX7VD507eaMmY0y+/2/Gwd8HjuSKso4x
Z92/49izmPd75279FsymX2aUPGPodfmj72o5C9wBXlzmlJRi/za9HtH/h/tt1vnyH4dFhB6YtmX4
P11+OB9UMuDPBStkEHIwiYzVOXEPR22U+rHwGtYEmq66T3YaH8AsPqOJn5aVl36xep7upDIM3s7F
FtyvpaWn8Dkk8+40SaMl47fygc6BSgg9cxOxbFXVglWFC3CwsuoXqIHJK7KokBV64cyrSRb7BZ6g
Ah0xot8khWLIOAsLe20TmVGngXtQc/Mc0EU37/10llT01uncZo8sCzQOYfwqtOA46Qg7pysPfayH
7tyoa1YabMTcvDeKHUJMPy86BLv0942jX0z0+4Y1nWL6/9DSTnYp9gZzgTEJp6Xjgl+f5qFB2fTd
ymQuh0zX3eqVdpX2Mr2pQv/YzkMHdx4/REFD7kGDBcfUhmytXLZgNWsausfucmybSy3DRjhE7BiU
jfGxhEscR6guFwKOcAWlS9VvmdXeJkK/pTXOHUwsbXGlSbDBlg1CXlabqHLjJ9J6ll7LEKQJ84ve
FmSDl4gbGiyiZuVBVi/9RQecPVBWfkvu+7Cp/NnAJSdzVddEIsl53CFclH4IyUIIhCvTKOLLPhpC
Spu0Y1bbbNpRK2/cAbWJOywbXREPH0A1rkz4yYl2QUgLcmQDIXJX2fcNkj0vhmVZK+FvdAERSfC8
Y64Bvbryqmcn7JD6GFrAwq8wo2bZKPzSP9yKvxgY/eLcoxB0XMTw7CIpNz6ee9QRg54FKDtMPa42
GMzNFyoPfzmojLnR+3v9d/6ZVNB/ff6dX/uXry+/OP941ffzD64wZ9+8DaYsnQeUH/bVSHRnmu+M
fGEH/cf5h6bN5IkLag9h2/zyP84/oiB0sh7mgLF52un8m8El3omfjj/GBCx7HJiCbMBdfoqPVwl9
QgWmO1GXSXFlKdi/ZqiGBZlh9+NEkaMr+p7ALE5IXG8wWIIFFtrS0yYDoArLS5U0+sJrA5iRwSWD
uRJymPuZde6F6IKHaZL31lC8dWBNpObOymPvmTsBpG3jgoYfoB+Z+akcrGHJtiAgNMI6D7pkmEXN
t5Bu9uAC2dtYJfoSI5QMwsjzLE3nKRPeQ6Smz+yVi2WYBTuso/dZ0l7VgX1OfABLeoBpKRsZlY2E
kvftoRyQPrOjOBp+2i3HglyUseQzE5rAMI2Vyr7z4w2Wk5DTtNgUsfbYVTBFW8RBc3YkjepkMxAr
PA/nWNFwaA3E+iUS9wMyG2wRC552tI7JZZMZLqtnqW4nfNBJD9TeqJrlJEeK9hRQKdFmQPELjX2V
5jznE1MFF+MD5DddHLwyAVM8gLbVxnBeaKcrf+hXAjAkh5iNaDmYkAx1t66qyvVUOw/Y0mW2jJLa
vg28Lmpn/miJgGp0m2a6N4YBSHzvO5InjGx1RAhp29fnUcEsRxYQCXuFZhlLRo8DxEVk1KitLsbd
NPSESTQ8LlBQbUfd5qCdl2ShY9zbXtUvCTd8rVApCr0JFn07fSJSOF64DRdOHHb3bVF8SsRrHToH
YrDKhWM3e9WR31gTV+amxa40dW0dZxXCco/kjHmdkynrCNvwUdmAhSpc6rmjXqThyHsSGW6i3L4x
DPK+q2HfwVod05Qz2gmthZaEuwIo1jKS1lF1TKQCrfL2SlOIg3P/Qetrf+FKbTME5lZPen8xz3L9
cNhPgZMt9LJCEBUVq6DXGHXJaptA017g7EESFG6sztnMOmdGC93DJMSjcMy30uI7C1P5hHOEIWt2
r7z4Ocrrq5GjHxaHv8uK6ampi5y/Pt7xSPeW5L2ti7E95B0zZmAaTz0kIZInXlqVrEESHIM0WRlJ
9ewmQwvxmOYm0wv047W46+z6Pm6IAqs6u+FHy44ZUWLVhO219Z4lyEZGku4F6skbkMJb4iIeDaWN
W9Knl3nXfXL86MYU5cYzikuL5Iax0gmXcCfzRNwRIWFuAbanP5tWtMmKrxkuoa5nMtMM4bZMhjkY
jrxXElWvEteBWMjIKmCCyXs3T3iRxiXwy5d8zo119Kxd6kTJGiJCltarOxZm5WIsBQrP2rsrCKCl
j3ue/PhCEExrYZBljEUyFpG1Ya7v2JByGXmSXj7nAgzvRAoLDbIayle74oYy7riMn7w5EZfMlHOb
uNfkdX4NJoV4XWNNGIKfzBsD031kMmgOC4e6grRdf87ddbJR4LwKbrKMc4WajIFUT4+LQnHYFG7w
eSTCNyPKNzTI9A09J1w17zm/SgbrOnWOcHztq4kwYA3fEThMyp//x955LNeNbNv2V268Pk7Am8bt
ANiO29G7DoKSKHiPhPv6N0CdUkkslRgVt1utalRQ2yEzV64155g3VaF8DiaCrBhJ31HOHLQ5/KQU
ygWDyGmbB4606lIV2m+YcFeP2jWlQUFUX/daVta8EtQLPiwWxJNd7bgVkGoXCwr9NQMLfaA3h1kh
5ENVLmKBTTnqrpsQ0Zs8MBqf9dNIRkiZ8ynjtParLiI+YZZ0GqShn0S58LDN+f8e+W9ai6Ud8PdH
/vEF8MRfT/zlj76f+IuKHaQRfbjlfrL8rz9uPCoqdhVjjsmFQ1loR3+e+CQJqGgskKARvrQc+X+e
+OgyoDPqDDFpuunM//7JkY8k/S9Hvg3hy9RRqfEu+Ad/PvJtxqGmKcnzWcuj+1oj1TKjm0YqUE2L
a87Xdm1uFOKKjEmij+bc4yIPXVlwLckd8zaxCUMpu12eJCsc8UHrW1aOdjdmAHCXLZH37OpXoVQ0
uw6ov0MYTiJ9Yt9BiFUoWh/traDPRxAUMjE9mZVs245BQi4ScSUjhvVLYd4M6dJO6qcz8VLIjArN
ryJyseuxvJ0m6R4L/J1WGsKVVdSickOKpDSRRGNfKCBEpqj93MwayxxsaZjI11WiXhL+dq/2beFH
HdLzoFsa0w0MlKD4OjXYbBAQrAMdMa/a0NAz1PHMTvFSZ0RCGr0mfBb6l3rIZ7+TmbI4o70K5W7w
yOtU1immLzwvkj7thrGUPGTDewUYvwZeXCjRfoaaCvfSQvYcMcZR+33TVw+R7DxJusUhlGlXKSE2
nQGmIMbS0iTzXdcM614o1UkJYCpX5VdVVuiGxdeOqMgdJbSoCvOdkk/3aSv2UtmTuE3wqCxNlqdq
GjRzMLPkIaWdq2Xptm65U2mR6bFjQdJXaaIZdJrOKkI8ZFtUD31HBhQxVV63MO/KhLlgjvhuZacp
ZP2RnBhTtj5HU3hRaCjdkcPIEIYZ7tkquXTaVojmHGQ4JzXan3i4mrpCIGiKfAOMllrEyPKd1jVe
2xpHUMLEWJaQiSPKMF0OPqUgB9JslFxdEO9ZjC+hWaYu/6ZXZg7zooWREqFZjjTpRW642jV9R4Je
SmGFVwEXrX2kVga4L7dirYrIJN1LA/NRNDfwk/WT2uVoj9VwoemT1jU3Ygt4fobVkemrrLd8m0zW
DeOEbp3x/J8Es3JL0ndS3d6jIdjKQr0f+k4haqKV/a5VFdptanJAmUkhxw1sFRnY1IM+kdxiTHQQ
wlKwmRRFPlWjRpqAuqSQpv3G0StatOFFnrawo2v1hc6bgcp9is+Wpg7kqenrySZcu2tJj5jizDOG
4tPUlmu1jx/LELKhA4cjJITLS4jnOOs6CJYx3/ywqX18eTRgTbLbwHxF7bXAYReV6w+Nv0obARlK
jnLO8rtU/2IY/oezinf30+UlHDKVMfywR4JdeteXmxBntbRC9HPafhLp5VTdFs7h3zPq7Yxa4l/+
/oxCD9i9/I/70nx6+VXA9fLHf5xVbwHX3AA1lMr/1fx9P6vk/yChlh0MVSo5gD86roz/KPTe0M2Y
zh8O2D+7c7j6TawKGl51wHz/yIX/vjfHtZTngjwei0OTTeT9sClSpKGbcv0U5c9zexrHpx++ll88
5bqyNEH+bPUbXHwtun6LpgZ6KsDAd90/EbR6FxijOInZWBFu8nWq9FMWJNe4Cr9yAmA8aGI/14lA
VKRipzK2aeqEag27pimZ5Ya766awmq3UyreJiNYYCb9IKGoYqR8IgSAREZuAO0fZWekVIz1ofVcD
P8pbpLFLJmvIl+gZUZ1P3HKnuXUH2diN7FlfBzpyGke0CTU8tnydVK0vqFWwTKEZXOktzvxGDqXH
JOOO6aT6ZxEhYkAeEXrcwuo9tqy3vL+zVVnSKrObR0SN4IzVJdVM14fLZMTTrqllt1aAnrlTU+w5
YJ5JBDowYsNzmk+HIezrbVaU26LoZlyx9W1gZBttjhkQYaoBhPAsyXTFFH38mqfSuRvxBLVk2q6F
bvth1d1YSU7/tNpptfOcytK2qMRFB0wMV9x0NaboAmZsQeHc+MiyL2rLegkUTDokWiPkkXyRxi8d
nT23tXQXY8sW8/5ZmvnzYqCuV5/aNLxwhIVT1TjoRW34jdofM8j1Jud4U2HNm2qgXrpznxATTChv
dtkEnC3tHO27WH6qahCLk5Rc6JJ+i1oFffiMPUib9ZtYK0ovasdoJex4N4Fu4vYOpylIaHvWi1HE
TJ+Fjq1Objx+C7TjRdevyTy5gC/iOXr/oJeaB3n2ZLaQlrr5nMb6dZQHpJQF+cbS+yOGlV05Dfid
k4eop9DKnWGLHueApOjGVErkrkn2oBbtvRJYzDfFumzMC3s21tLYPCPAR8rfORtJa59KPjxJ2CO3
kvkLDZIV91GPy7evpeOBeDTaoDUyEn3iQtox98d4GLihaT2zCsjcTp7CYKHdU46tJSF4bOqvU5ls
be6AulY9i0Z+kiT5piXJGAVJ4lMberKRfZrT4CrNiRikODgAlU43SkjGsi5Zt9HseMTfRPQmuPbI
ef7JUZDJSujmkfVaBuYbaHFxbM6+VCm9b5g3iaM/iqpFFaA2iGerZfUkw42sJHtJEP6r1gwujZp2
N9a069HGEyYmwEsE8S0ND61dORkVkgq8cjW05insVHMVG+a9DFISxlxgf2oconki+OTE+lYmk/K8
6Snq8kmCBY6WIT6NTYzRmMGjT+4ODeC0Cr1GSonpIaTCJxyuwdEtyatu5iZedEF6XdomyXC5kPeV
iV0+mlR0ys2+I+Wm0qt2VwhAemjS6PqqdbuFSZOswlgcMG6QsZxWKDYwFQTj7KzmEYMRY+NqVXZ1
iSw/zs5WJmepl0nt1dzziYOg+mzM030TaC9WWm/Z345JpOSeo0iSP2XSISAkaYlSMkjLM0avo/6+
oWLG6aZYQfYg0uJ66IElkwCCYINxqpp5TaLjjVSEX1bF3qotNkSFN20NV4UAmkfjmqKNVHkAahn8
ZlyGXjV3B+r7TWQQ953JDykpThp8xsEh/q4YU6YmgUGrpfMGOzD3Soe+JdBj61M1ELtDf7BFG0Fd
fZsqOQVvrG002l+ehuvUi+w5hZsYN8fZTk+aWsFHb6+U2sSKDzJrzOm/z4Phs+XtVCUQq1Azm102
9XemVN3CTvEELYzMbxvUaBMePrh3ZHkNslk+FwsmjyB0ZucwSibBbIOXY9JeUZCUwNMnb0otYFpJ
1G8KPZ82bP3RQ1DzCqrIbotco0/D6Xkh6NxfZEl4KpBMeJml2TsU13hfS+sWUyHTcD1ZcjJUmHST
HgRrI61vzWC6tQtjfpyDIka5V7ZrQ4SKaw3jusMUD56+LzYIGwl35w/dpjfEYxMzTBjtKZ49sI4R
p1LUbXWirVwcQmvNzht/yssns692xUCUkzXROynP8mRdpPV0J0fJqoet7JZVdCcy9dYWtYMmcOwJ
hU4avwwyInoB6ruVLD9p+KB9bdTrR2FWil+VVLdpxINuxYKrTqA9qkuaYqAa49oWaKITIU+r3x/P
7yrERWtimwqlhmORiUyyzc9FqJrnjAHDpDh1SwLMyPzdHK6Gpv1A30XL/Mci4G0CzetwYTeWsftf
i4DOmoEgRMUpR5ZGY/qOXemSC8Ez22UDm9HhB5iybT9WXA7SbatGjMhUuDjFnp3qYASIC530ipbn
tVnLKy0SnnCwVobBK5dZhEIsAX1GiCqHDBO+13W/KGB++c7hH1vLNR5727sa2shFGXdOWpwGBn7h
dCsniDTKb1X03w7o3yxrfxZJfD8OqHrNYUrLNwSs6d3v0IoUAmiKHbXi9oPoR99p+MZcOYCph4kN
VLrUP2IfLa8KdIQTOeiDPehuOVVsVBqwniQHsjaLK2zfzk3BqSTK/iTJwEh1cpE9g0aoa5ThKcY+
PQYG37nKujFzbqSTY8zXhpK9pF1GmmoYb+aBDnSroP7lWokuRfss4UhYEhs8diUwy7gmvLLWNgnp
uaT2VpQ2kYl8UH3FYv4yWgt4mdvtaGXHabZQnFmTtJWVITkyKMPHOgp8YwpKtcghy1eJw/tAKPlt
PRicH0p4MPKKbrBZdVtTQSBTcsQpmHinhLzWSlbPzJxRZM6wRhUtOwTyi9DXAoA5++KTLYE+sgZl
OyX6U6Y10aqoCtRl9OE1fICzTukxssx8CJylP0r5tumQqeXKeCHk/iWN1ejzhAtXNkk5s7LoqJYz
3MW2XiN/o+2vjte5aWaofxUX2dq4x9H+jaD8t48D8Xnv1wvPAwtymS5CQkDx/vO6ZDRcolY1iPFQ
1BfNaYltq/rsZHJZBgwbPYctHXWa8Z5ijj7klsZlRz3yrXBBjtB3MvA8dtLsDrN6NEr7UdOLaN3m
Rr0WqJl3uYFqLQRf6vZ2b6NP1fOtyqHuD4CUfDLhqEfYiOS8LLzYqG+IzYEsE7Ulp4Fo3a6ql14W
xIT5c1OaL45qMDtWSstrcvXOVCdqZ/I1NMC6ZtnWXmNIaNMH8zGxTehT6hfTGhcWKdsAvnuzGG8D
JzlY2PzrUrshu5knpHLFpN4YPfHFSXQDKOU6t5yNOXWPtEt0sm4BWkPKoRYk/KkVuPHsxdKooTYm
d4STw5ReJJ4Jr3K0J0WTHpWor/26m7VVZMnrfpZGVxrLlaI3GxlRgQOnhA4CKtve11M0VbY97C36
NANJ7RzzSG+z7lZbbDL2iANvetEGfNxIDArLXBE3TWxk4UP6OZcwia3CXA+l7kdWTHhwQcPIia/S
Skp3kz0TGzytzCwg05KCpjRD7iUsxl5yrhASf40tKQB/RXaeSNbwWFIP6pivhp2nKObBbJHma/QR
bbBUK0iR3rBUqKmIDpISrFJlQKjfuaEUXxqR7oYRbY1U2uec4jTNtraSAdVq19g1C2en676icGpm
wbDuON6LJq8AY9aJn5G0AphoPxPbbTl4rAYlXKbybLozfbyEJFJjsC8RPmzDAvHzUB8KG58YanTp
nFUDLZjMutBDEq3VpCaOixBxrYpJIZXh6lbDUWq5JWTAHzSijoTFiHG4NI2VhcJ+sE9wmU3ICeRK
Wv1DJUtIqeWjaSDkHQP9gBIabVYQBHuhkvHeGopCaAWS3KGf/Yq6YVtOZENNprWliUUsVsnkkJ4o
UrtG+eBo+2Clau80AGrkTIlTpeJEVLzbt8e8GL2xXwxz57Q5ou34pgP4273h52nyt5Pih51haWL/
2DZSo6jgdsHOUJavivWlH6+JBSnCRzI4Pzj4ljPn/ZmEI0hHIof3EL/1z680tB1DF7kfT7My4cON
x9aLA/XWaMNyF5USz9zY76sKfQVwW+VoL6AQMyEYZE6wJw/8ux5y8a+6bF/RXiZ5XBP3UlyeS9m6
ySjfuPXAm1ZvxrAd/YIIk7yLnwtopBJ4retQpD1BKFG3gbO7N2iFUlisJkUGnoVZt+g068FRnZtq
znw6KRdC63axpu5n3BlG5ZyHNNw3HNuWxBBPLVhMErJCMAiV8pBXDdFdwW6oUNVniGToC7/M8mR4
2RA+1aPTPKghAAW11cIPvtWf+y3ffr4fv9R3Xb/U1PFFBPZ4ssfnaP402Re//9U++vffHRyylFEj
o7NlQn9TJQwftbvfv8Bf6iFOph8+gPnu+cvNPJVTNZxOhnoZk2DC1yRHk/f7F1m+hb8+ekBkKUmV
JRj650dvtNohanU+Ben2ave5G3Jqkrt4tD74NdSfn/GlOQW8Dbk1Ry0jISrTn19oSuJiCOdKPVHG
fOZQ82+zdeBLq96NvQe3cB92ptcfPl3HXnQ/rl6y1fSJFd1utd3vP7D688ToL8v67Y3+0A12QEmC
FGMb6dbkznnyarwRG8gca2e1SNPWyobvea14jSu70coh23aln4rPv38Xxq/exQ8/7nv/Wxa0ma02
fO+P405dYXNYO5eWe27JMPY3D4Z3MP1845yi9bhFJL69DXxEC1v2PXfegFBpfVpnvuNLB7EtNu05
wl7ihv596YqT7JEWtHN25X7YNnf5+ub3b/2dyPCvC+tdBS2pbZxhceG5dMkNXLev1bq6VXxwkH7g
wwda4Xq6KDeXnw8rsSPNcvSSC0CUF8kJ4o0XrFD4fQm8+9+/q7+q6t+tlnenAzzqvrFM3lW0IynN
m7c48W4L7EGEVrqmG7iQjdxsY5/qrfpMI231+9f/9WL9cx29223YaqQJ7Np4kudyZQ3DfpbSUy/I
Gfj96yy7yu/W67tdx45tre/nbDpRU7v98Fket4P5adJQ63e0ota/f7Vf73HfP9X7jrKUs/kbdSJO
EaiJKbiuwqv/2wu8u/Npo52ZZs4FKjX2akIf0LH837/CBz+MtSzEH5a7lFd2YU0stBLifJ6uKxWB
h/3Br/LR9/Ruc2uVrE16K+lO4/KrMMZ1xsT7v32Odw+YKOdWEGo8nYZ+xJkCD3P05vzy9y/ywdNl
vRPQmUEoTTTnOA1GE4AXPM2sOzOA9SyCLpJBPfWoP3//kr/8fQz4x2BhNKh4717SxiEdVHEnTnr+
dSFIahFNvg8GgL/8eX54jXeLBohZK9WRPp5Q3NC/v8rzD7oKH73Auy1xTvORrIy6P8ls2jSjSSz8
4Gt6Ox9/t/DfPcdRzNAnyHiOuRu4tRde9Nv0yBXBu2i8aBWeIZl+4Jd4Rwj8Y6P/vvrfwvV+WDrg
EzRIqhFn1CON4YJdFXqxC7znRTnMu969RDrO/3CNVe4prn0ludfdajnVL5/qS+2CW3vkJqupc7eF
F20+enu/PMgX39Yfpcv7JyduBlkJWHTKeTnIJbfdZPquUDw33ej+Q+FeIMfef5U/cTlr7qY9U/cP
di912Z5+96O8+917qTWj2pmoJfzeJwlrdlXTdfaZf+2czIO2Ef6Tug7cgo7tutlUGzIXPtihP3oL
72NI8W9LOjmh3QnNlDvi8nKTL9DJfGsvXsdttcoP1gbY4dfwSfPGTXpGQ/X6+xX8dvH6zbfwPoUg
RcChtwWPZrMe1wC83Xip6napd9vviMqOl6Ll1OXuA55QP19XG+tSuI0vVtEObeXzR5ant4vZX97P
n8v9vdHHlhxmQwVbSr3SN+bGzPxxPa/nQ7xX3M/hLliTPLyrtjT1DqNn3a1sqoNi1W3S9U3sL0XC
f4uDfxXly5r83uL1XxjUv4Iw7KbTS/76v//viLf081/lZcsf/TCyXxJ0HQwwBt23pUz+PrInistg
Vr7MtP8bi/dfQw0ANLq4zPgNPDWLh/O7uuwNjYZeDemZI2Nz5tH4BySMRRXww/LmzoJUANm6o0Aa
llG7L8v/hw2wLmu9s6MkuqxFwrS2fsOMGdZZgV/FPC98Y5ARObcAyYg3kR2YCgupbMIL2KztN4LZ
8EYzg768hdmlBS+4yBPu7GDjpT2SA/LylCiZSO/Foxde6mkR50D09QhFskIHFLvcbMwZc5XWCRZq
VmExveon0+w8GC+OPdHOFxarvonraGvRNERgmxjkJo3QGbZ12DgJLNQWs2Q9ZM051Bcmp9CmwVqF
tlwC+rJNX547Ib0ayHG+Hb3/PvoqBdjfP/qnl+rlF08+f/PHkw8eeIFgQHqxlrzbZV///uST/oDw
BJcLgSjfNJd/WMns/7BS0I9YwIEXORN/9YdYBf+ZAQiLqQ86E9ry/wj9B4b4/bNvWWi0dAZVDsMS
9FM/P/tN3ea6gXP0XFWkGShqxyHqIIivjOlOSepNsKTRD0rtB5X4JIvgOTYZEgAGx30VZH6dSncO
bWCC5I7GTCKc0eVL/mLnymF8NuNsPQX2JW4iLEc856t6kDfp6BwHzTiUebmxQ2crEvVMHC0mASiC
XhMybyYxgq41tG6Ej6+SWQDGcyCq93p4tEw8uhLIOdeujdWkYnWoJXlDj3InY2vzSOW5tyrtslWz
s+F0sSuagoae1mf3qTkxrU4ZexjOFePPm3BIPVIxbH8yEnQnWclYtdNfhzJMMJaJCs0SrzMZ/WaW
mpAhcYgLQtnmUiqvwQ82PkGT0arDEYUHJawYd4TpSq3I1BBMpHwULV6cGWunzj6FjOyXWE636tsN
MNSYCyuogpEQy7UlQysZ0m1TFJBTO2YztKcbPVN2MFj2mpzFF4pkXATFRApDQwhGkFqHIYVb4Qzm
Ta3EJvK7pvOkoudTOI1+5rrFPFXQSJwd7Butke0w59BR1TwNVQwCn+C5De3bRLKNXSxpW30KXpHX
ESCnjx6yptxvDaaqaglSWNL1bRkxMCSEQ76dbMD31mjs8qIYfT2sMDdk25HYAS8yUsSGoL68Mm6D
nTn0jPNlEDb0zdZx0YrVHMUTxFw4iEaYfm6UAmJwrfQekxX12qnpgc9GiizRjjeM2iJf6hQmC2/s
6WzBUJOvVuzMBU3NnkZfm3TBXQW3elwA1j2WJddUrWTTlUZWbxv6qsGNPdiEAJvRl1Aqodniu7mY
qyhmLtfsmjq8bWV2dblTt7pUdV7emas2EsaqJ/fO7otyX9jNEcj913Ik20+fh7089o9VO1mgFuN7
odaJG2uOhheoeuxbWybyZD6IYjzkuax7jZ1czZ3d052ALjwYx2K2WRLSfTcozCMg5IBz412H+hn3
30bYytqIgeXTqysxTLabxFIPuAtLl0HB81wF515O75yR5JDcCHahWhubfupIlVfqGJ0/Q/k4KgBI
pMcoJFw1C6MV0QvHInO2nYFTc7CkL3EQ35XSxO1CoveWqPIXLa7u+9T2pRBqYmOrykvfGCtJkZ4A
/kbu0NlHbaw5qiYzvSJ47hmy4r6lW27N7X4yKjra+j6MZ91tS0waZakemXyA7a6zVWWZe21EbNTQ
cpbU6BrVi3DTeILte5tKK32y91UMMLnHGh5EcQMvWbqNewuYT5pd2UxvPLVsniqpu05AF3mFRKSA
EZSeqXW+NjD1iZOVJJnbuUU9hsi3Rl7dOh5tNzeLnCPM453FGIkT18OPsmuI0tr3FrjnNJ+fHZO8
wY6wAEKU4cRBYJCwwdKpP4hh3jlV/Ek1FlqHoqC3HXA5xMlNlxmfnCaqfTEyIStqfF1SV3hKHrCI
mVaRe9etEHdRDDtzNm7aAo3Tt/yxf09clVv335+4x/JXtMjlb/44cRckpKZaTEhV7AfUVn+euChH
TfiRsg47jVPX4DD888S1Fsc3VSg71TdY2x8n7pKCAk2A4xEGL3/2j7BrLP33Jy6BTzoxraqOxF5W
33eq2hmtuTAEKi+tmA+EXMjcrks7qnW8c+Q3zO4cMIVjqeDQ9u0usMrjJOfsnnirMUB3hpwdbRHL
eeequI/RTuLtlXQUDWQnOqsQrlWBFnAwspGVm4jwYRC5VPmzHBJxCi5Scqpdqzd4sJzeMMcrwSbj
WpFUhmvLIBRQjMUDanskTbq27QoL31nbd1jt5N5tYojVIpTadSBQjxbqsSlMeGY5XeFJvkYTTuK7
gm6sDKo9Cpx9UQcHZRjvaZsu+oUycKsq34hql+UhZ2sIkzc2k9hLLbCR2WgNbmwjvRfBTBd8JHre
ci4VGa9XhnZTEi1jbvjjbIfkOA25fdEU0xd17EY/Fv1jNxoo7MOMPCjZ8DGBXLZlMa0Hs4eVg6Ha
w/bUeZo1j37acWEEzUKgh0FKDJTRFbCsyQf5VDMw7b9I+rjPpBipXhM0oCuVL+NI6qXAWA1GDgcf
yZckMmFEI8V+oeVDlGMfrocD4hPh9XGvYhHXbiRdXteWoEGQBl5Olj3kn6Da6RHjzVEvT4laXtf1
gGer2iMq9CIi8lARcMG2CPUQ2Sd9qoB5MkXvNNnts5RAbELlCXK60IMcuahtuuDS4LZ3I371rEzX
Nn77taSRM4rpdZ1mC8gJsJkShg+iADuTYvjcaBNyMMkML7lAIGhzmIbX3UUv+sSt5eYhRNnrzvRr
p0m56cJxRYxKD5BMwSGYXIdFf4gNzU+RVrkmJ+EqMKYMja4UbJs0iDx5dC5lhtQru9Zey0xpt0pF
gLdRlCdDId4qIkWy0NI7zOD3eVIj8KrPUlRVnuUA89UzbjN2lgDUzO8HiwINEoCQtSe5QmJiJRx6
Q3YzpgYM0RpQQBDhibPhQE00aHnQ1Yg5KkpozZmBOQ/DQ8EN1E/U7mEMhntFb2/1Fq0G8OhNETnn
pDVIybTR6nafRgula0tIoSeslKiwFP+greRoL8RNkGDoKcGDwu8Ld2Grh9u6q6+FSfKrHT6TGoOH
MiYeA0fkojXUFU+XxV0fyya+D8h7pRldSFJ5IVvOC5UAhUdYM5ArlRuGjGu8sLdVKyOMLS8HOV7E
1toNTmjbtwlp5qYnncJIP8ZWJXlailouzh6QBxUbYhxe8nAetwQ+bEXf0P2MbIeDMi18Lcc+2XXF
UwI0gO8HB2k2zvbekScbaZC8CeW5WeKG1vlg8ZCqmEtgU5pIxQeiiKazouivDWmHbtnUp8qy7koi
Dy5wHBESrYyvaexcJ6gjXZOYOWQdI5CHefo69KSS9T2sM9yMugeB0qaLuMDcLNRTQYYTOEh5dEBw
EGsglTwA8eTVU2l4OsbTNBxfzKijXWMuRbHpHIVRHxVJf027Eb/VSAnJ+c4D1VlrWClfm4ECpIy3
01w+FVaINzmqd5aG+KEalb3c1P3ahvPqq8K81kdV34WQuBmss5UoanJUgL6RsbOZumRvOepV0pAp
lyW7qKtvgqj+ika89YuhOUxlcF6kmhUNA1ebkBXLUWiCRGTfa+KSlZuReleKYZOk5UNRdpNnDQ5r
FuuMEUD6HwDgeXE/3DttJ4BTA/Pui4p/PE6fRq3TWI4jAUvU7qCtqfBHFRTgFD2ow+vQQBImeIXR
26TvIzN/Gie+UcURN9nQqaD4yvu30AGtxTimG69RyO0ITajszpqxk9vyMzyR57mRiWLjYagK87Zq
+MGgB5FinXUtW0SBNzy3LvsEw44WKGTADRJUzP6E5OiajwoBMDrPhDysifgGpNRLqjtn1sHCBOJH
trwj8SrGo4amRx+MG7UKHiML+lqTxa/50A5IaQdc58NcLGmud8iOZg/1Esqqb5lab8XBv1WSTlnx
91XSTfTSdr/oTCx/9UedpJI8oODystUl0fKN5PC9M4HlE+Ek2UXUSguy4Xud9NZ5Q7lCO95GZ0K7
7HtnQpf/QxQcGtu3+mnRXf6Tppzxrt381pWz+FcUkDqUc5RfP3cmaNPJWkUsLd0DK8GHj0xO0Yf7
3jK5SdXSuYpkKK24OtJMHemOUb5TTSDRB0LQjzYy1viIJPCWXlvmYVfnENGIkmzDmWpL29qZWJtd
sMo50YaB/3KrdwdsKahinlqj83Czo7DCSNGO9Qth0sepE69WEq0GR1t1Et6ASamO9ah/NnV20cmJ
0TSWqSfFudgmVbNtHGffJiHeUmM9q1xRkE66CgxSUy3vrKE/DSqq26nR4000qy9ZI69BEj1Gcm+s
rSAQXoXDZtMgIMVhh7lcN9sLY8SsYVNadaq0dbRklUbJDaSIyhth9K36arwqFB1Wjl1R9Sy2dN7c
nuYrwnV7wLFQKIUr5dbZ0bIvtDerzaQifIxDuiLSFNxSPnzNKvyMcsGyL9rkmMLW9OMQWG/RVxmx
OpbhEQE+IaizV6k0XURGV/jhkN111I4XhK/5glTKiOuRW9jOBRBx/ItGdyQF5raOxIYy5SpGxg6k
TprcKR828mx/VSTskpJaXI0RVg/ddp6SRLmmaJTcOkAHKTIt9yZTu53z+In0Kp/gbY1SEXSkFscH
XXH2SS1/hR1hbnHnwJeNxbSKWhNFa6BdiS56iBLef8gNFhr6sulU+laYWCGrQtNX1NevZZLuUNH5
Q8hNP0blz+4KvDbmdeSxZTAOp7Esokdi4K7HhkZJSbICW6vYhCGD87qAi9Ah/vWHhL/LtI6kyzzV
N8TOnaHfPhhKwO/ecvklag5nSfWkiPiAk/jQxA5w21CxQRYh4tVVZKcOGGPqRQ07fQcoVCtPlCoH
dJvWDk8F9qM2PslJ+VQndbyuswV9EENE1QvPHHijKPeQ4GT9tlbkS1UlkN0Y8m2qBPsmFLu2qO6E
1G/KtjhGZbkmJA/QALF1Xtj2zko3hyVlFZuBLfePpOq9tr1KiTRuhriiRi7qDKPsotPnU03WZVkP
wFed/sZOs3UnX9QMgvpjIMXrSXbwCRVnxSgu1R4ThjGfJWE6fj/1GzXrtDfDrCij2VdnHA1mQmae
lMeBZ0pR4HI94ivnH0WhBwrTxCAx6ALRjNx/JaQj9cdcw/NRLUsVT+aYcD6V9lcrGQUOgTrxFt7U
RimMXaRgNZoDPW9clcrXtQsH1xE3rhUw1sBDTjmQ2WRrpMPDQxgj4CtBmqzzXv8ijA41dJR+KbX+
EQz/59kaEjSnyKJDbbgkRgRfa2xSXXVmxyxd7bHHiUJt9mqYdXv2nhpeS2Xhea3JoS/ybmcUeWKu
NYHx5o6ODnElEReyjaDWZy3VBQZyayTaxH6LObELLiPcv+gYb3XIWPinNGOOT1KRT+LmW4TK4DSS
thejQA9kFFn02My62p/TrtqWISbgKoGTXOqpvo5jI6TEn1+UJrxuA9LLAF9f6Hoh1o3UjBtbMveG
NcY+91gdM4r5uS7LFra1SdMp0R9TycTo0nNPUOTZvNBKHua0sEmm1HVGsUb5XAX6S5Q0qt/9f/bO
bLltJNuiv3J/AA4kZryS4EyKmiXrBWHZMuZ5SABff1e62tWu6uqOqPd662hbJZkiEyf32XsvjyQd
wZjvVEMQsokrfcUW01jp+oh/uSdqOGfTZWb8mRIfV0CtXayyvdPC4VR41duYyO+LRhptYqbuBC3A
UW3n686cjjGmRJr+VlwDvyQZNVcgUFY9VeEb+vTwWfXEr4z0Juz8s5bOn/PY+L4Inf9KZH/PxuKZ
fv1AW47GPKWBZbeAzdr7bFK1J/RQUOI45ac8di96lpOnmqovmNoOsWm2dAXhmaA/mkWLUdw4bkZq
z/ajja5pd1RaQU9z7QWmwHDB/3jy7Slc8yrU9ESC3+oqvd+Z1sjZTicINmCXLhzuTWWoPfZZsNjR
i9F2mHOJIAWxRoTEy3zJN28H1EB/by7kBJZJVffQU8A1daquxVRLJk55rr2egIdHXDwS7jWR5WXI
XRq8EA39MlEok3009F8cX84bQDIPc641G4AM+Sb0eYDY6fAUDkMXDLJ8qfLqmGrcf9xheSVzQ0h0
cCzeAwuVOLqhrduq/+h8/4kDeqvX+TkrYiVHmHsMEk+U8uy0xJ3WSH2HRpq3o1ff+3b1nvCg416r
31h6fyIdEq7H0gp34SJaGljaQwSYh1NXRivD9ik4yLKDb884XaNyzT272XV2IteJ1RFKHOhHcLel
0T+Dlt7XGQ1M1mDwBhysaZPpdNvpwmtImYZsxiP+1B3TKnDIs5eaJnaOEXuHnhd03RF0RYNJV57b
H7kft9TK+Ee3m54Ikeob8oSXjCNrq1FYvdOkOOWl76xZrMGb4ZN2ioRx6whkUq2rmxUN8MVhMeiZ
wk8NMNBswnXqmjjDk1vKwZ81HZlFKz2k9iTkgLPlfikMPhK2d2u02K3pry1w+U9fyyp6wZZ17Ur3
KyELMEr6tu6c1yqLCNXXDnpAcgiL+lWvvL1ptQ/SM07Y9dcm7dZrPY9PRiu/REW+G1zjw4fQzBLi
jkoW2rF6/aG01CEO4oyzPl7/M3b/FmJnCv0fY/ePEPu6HZb/XApafOUvozf4T7ighNFZAPospH8f
vSliYeSFgsyM/QcemOkyXzN1sxP/bSHOVP5TonQ+0XNqc4nms0Ng/O9JlCil/yFR6qTUaFSBJ++q
H+WPo7dPkTaFiKBoyymptoj+LQnl3AhyhMGkNb2NkbZi1WFsBSTjUrFo94fGFt/HCpmiKgp5lOrJ
XsQcYL0+7KOKpyyvR2C2lcnznBjGwLGTuum7DFtugyMx5bEsWGn3Y7lxC9tjxTf7t2TMn+wWnYRD
ZKYcZTlj8XuKIuiZevISpuZjUSTl1RWhtq4mIRmBaE/UJ5Eci5zoo8U+LgN56KEarKbB+BBaS80+
9Y6PZePvAbGe0nqat/pUbrRuum+EZHtR50xYzc3ISQDnamfrHVVkNhsdVzVzEPVq5+rS2Wzjo97c
ZbofU9nUfZ0T8sRVFI0bl06ntZmEO/rUHix/3saTRQujxX2lbZPDmLtvQnWryElitWsCw1vwq0xc
p4ep2MdVIoKJ/EmQt5h/7eU+jMS8tzXBSzMk4ylPGO0KO7phO3H0PdqTGJo2S699S9PcXyUN4XG0
kJ1cZAKyiuCvNpLwETH0tIHSxyGH2hOVZLCYC7hc0cXVm/dp7d5X3TfDq767/OcG3A38p2gzi0X3
JR5Ka92FLkKh2wcp0G3CJ6lYmdSCQhUqVnNu0cA+d3uv8u9nTtrbphDcjtJpoxM1I81cdQELbWO3
GMajRYaNda4feJr9VLPXPDZjukcCBk7RhDd6hy2CVd0WfMipq/pbGVZBn+twGsttBScnEHby4lud
RV6XptGQeuzAz5vtkriXuZlfjarYWuX4Zsm5PhTmeD92ZLfEIj/4zhN46/wDUqm4lhWXiEbM9ArQ
pxdm8cUHOHQezfZdtDT206ZgHJKodN5iLk0bZFyfnXMJE0xfCMXa2I3Tsb5BBHGPdVR1dxMkMTSa
mS0uL1Cjrei6/ObVnqQw2qS6zWW8nPYK2jPbVPCbYfvZtyRPrrncW1nNt2ChVA+skSTi1mDzEntR
uNOKeHky6wp0uTFL6uPdBxpfTr2YP/K4yQKR2fd5CC7DWUYe6RSixTSxQLrekI9YVK7tW7rU/qGv
3G+Ty4PL9JYusGGYB5Xo7ohs8xK3lzBDa3RbWR9BfqyB3HH5yqwNtyVVSuYNKzHNfMXEmhmX/0xo
KeS2GN4SPR4Cq+j16xgP7OUGILLhAo7dKPXNQu6PwYO7J2F5xNWjTA2gS9QgpPWixOO+PyNoUxwh
W/tD18PssdJpnMlHb9a4wcQs9f55Ov14OqmD+n8+nf4vSD6iv6Kt8YU/H07C+aR7uHT/ZS9RNZ4/
H06s1sh3qJp+SMQOTqnfdSHT/MQDiG2WS2s1KyufrdvPh5PxyWZRpLiJPEx+4Nv+hlnrr8qPFVDJ
U2UtpGJ53v3x4ZSAK2Ni682L8Bw2ukTTe5J8g2NnYNcLWdPROS5uC3FYr40pIN21PAwVwYq4jM4m
u64vWUzjU8/6W2/eUjcX4pbiSrwr6Uit3qobS/8KjZlxyRzy5ND0s/GIQqXZB9Hprbbyfa2/FqEZ
HrPZ0Qk1ZVkqHhKXrkHCUkveffXLyJGX1qzp7a6Zv0anzD9YPbEAKJMhZwvtDelOT9n2+42XjPd9
M/cHi9g8Wa8lzpZNqNqbF8ulq9BtYv1kqHbntmlgJJclnpN48kmBNm2/IcKenOx+ts5huNQDqe7Q
/zJ0aAWUFIS0lboWSyXqc4fb2LC/0Jr25mbR19Sh1RHzXbHmCvpR98WHA0SnB23ZWN9kn6whNa2N
JpKHctHtbc8E/CYpNl2Nhp4ka5lB1vB8iVUn6b0XoSU1k7YMv07cg/edWRoH0J3xWcsMJTq07o3b
DNNhqetmZykfApMu1RMZ2T7bq2nfZ6ZiGxnSCNHVgUPlL4CBkO1ncfIGn7h12HKy2/ZyyCxWQYCb
yGED7nWTpli1qFNo8V5KzTP9Ci7kndrzPzwr1nbeuOxzQc8rF/TdHErSE8QDVlHIkgTM46sVY+TL
5EKkGp4SGKFpNfR0T8StvMnMiU7IOJ7Wfm5PQUvQnKbG2rhi88keNGmb97SFlR+pbrUIX0n5wsqn
pVu5+VbyCPzNp/2PlK2U3/9+at0CTfnS/ec8rb7q55Gl+op9GPeWKxzCdH/i6+IgRcvWwY+hGDNq
/7SX6p9UgRSMXZfz6beW959HFlXGlCypKicBdlJZT//GkWX+MGf/26nMwUgZFKUk/BTY+jzT+lNo
CaxKiSd0FlebPU22p+UORJLXZJc0zNfW0t158fJCFzhFMX2+k5H/AlqoY35mZ4RviF4SaojpBW7p
Kt+YVXvnjBWtbDps52jtFNPBnLpgGcA+a58ZQI9htI296CpSP7pgxfLWJMD9wBULKJjOAXdG2Q7V
vCjYA+KvFXqfsbPmG8/UgIPI/vNSFXtJp2pg2uNtIntiR9TM8ef6aRnZF1HWd2E74MAIzp9LbYCu
1uofSd19Jx7/zQOcQSNiRpGPMT0U3iTX2WR9lrP2giZFZ/mi5DA0pHHxb0pnnk+ald07AhwNAsyy
mujpYS3MXwy777SOW/xF2hFHQXkJRYCpkSSrMGTEKOIW7HxlftWzVypeEXuXVaeTr5ft3gHfGIRu
3wbSlLPFY0KfCsrsoXsENa7YQ9uhz34RiUWKOZlaxu5yjFm3gXrFoNHQNwz8srcAwVJ1T6n0Dzis
4cHNUcBY0xhb2gUVRnaOZH8X/0DLLnl7NyrcLH2HzapWCFqjC1HjFZY2VoDaQqFqi4ZL/NJSqA/+
bGMpoC0CW7bphxgevMLdhgp86ygELu9Na5UqLG5KIj9WoFxfIXND1smXUGF0pT90xzga3d3UUpBf
Yvztgkahd7XYDHciG74bCsvbxM2wbhSqlyT/+wjsBcK6D5FJAX1Fg+syUZBfS3c+fIX9HRopaXrg
rUo/9SHXgQNXdprfeiaXKrheOIo1CoB9UVo7S4GFs7Gzd/hYPlip+DvsABicFYjYVUhiXjnMywpT
7KnkujGDLg51tanQ2YCWCmxMCgXGsVC440KBj+u5pPilS+DEqCKC3tPak0ToIhsPNNmP44TWF/jz
NU4OlhPEP8LO/s5CnNItuMssi82dcsZAaVZYZkLl8ar1POtdLzCYxCEGbKlAztQfO6umtkZEQMV5
JvfuIHHjvOAzFx1bDHJ7uWRlv4l/cKInhYzGOdOm33MsJjQACOOuUiIvF/Tu1IeL3p6I5lOvNT3m
mogCslZwUUw/21Z58zxrfrTWl5CmAurOsBvyDBy7z2hUL3ml+iZ4rm7igvbgsSDUmOquulGkz6Ks
blPKh95mfwF/FkfxeR48XAt1D9xmuKPIiw4BkF/rqqSH2B+cjzgf30A1bGXkxevJ177LtFcmjOSz
SXtYbuWvE2zuHfti9hVFqw4R/8JLQR2Q/73ic6qpzv++8B6ZF28bER9rumhWZVvdMJh9NRz/Zcy1
KRDtdNsvrXfw2nZPhO2hW/wneGHhRu+Z0Zqh3YzpnID0SeadaVDtTV8mht+iPElIAq0X30c6Lhw3
CqmpoBLlZKNP05StEOLGPqniY+aGV8+k5mAyKSXCEc8nhZ07UFhEtiQvEZb95D316O92sp4iNnNM
QOMNJo2VvnV0HJ9CG8ozMHnQ6NVRiVHoQ7lxzOa2ktqD03VqZZ8lx6gk0TQhsG2yWXr8SJRrz1rv
bOuJMymsZHRXCJ/pgY/L3Q8a9qKHIT3IfNO+RoBOw8TfcYVN7vOorQPP6IjJMODsupRtlGZP/q62
xLxZ0tjjo40QoofuvJuGOd2EXWIGiVtYQIFTPBit/Z3ijyXIrOWAN+FKr/YJYu7ZRijYmFI3dqbE
iGHqNXEXq0u2sWtzTUZ5DCy9qvaGM9mKQ7RK4nyBQZQYO8OcOOpTftq44FNrSO5XeWlGK+xmdNfU
nFJ6Qxm95Ip3Z9PipFpHo9XATmunpVjD04JVXRP1xHwLbBgcU/8Cdv0z6lj/M03wUOVf/srdqL7q
91FHMJqY9JK4NCfZGBL/fTsjasDhTJLSonWShfm/Rx3T4wrmY3zk3oSh5keH889Rx/vEUIQ5g4sW
t7e/WX4pPBWF+8Ooww2Qkh3KoA0br/WPvMEvWRrLK9IWGX6+en3U3ropq9JE1O5rlVvGcZYZuDmB
ZcfrR/2COBMSox1j5JxxeXZ92T/EepXvlkUkJ+4j4cbV+nZTEnnBR6bf5MrOO5oiPNu2394xnvP1
owdqa8BkTesO2orGznkyFu5xPVVjlBxlX5NQL3dpiVMYFxxWurqb3oo4jo5VEwMrBOUXIFTgW0Ly
ZB8/P/tGs45z88scFu5xwEKx7StNnkp8c1DvJX0kvR9irtavmTmQxU+ybO07DQ+VxN4jiamTnd7g
lZ4uaiWTph81Ne3WXV8WQbMsEfvJ+nM8ReFmCYHeZ/Uxxai/xviXHYzFp8+YgfI2EtGrns2Up5vt
1qrLO7uiqYusgbbrnWg5LtFgHuNYdze5mZ8ETUYHWHF+wI3F2mV5aW1G2BMUPo3eipUfRZUFRsKw
Gu+WFothnXf5Civ9wpHEvSbzKvY3/k1qMhKOM6+OBuPqPpG1icFaiGvXGVgoXFkfmrg7Dkb61tTu
tCog3DBIOOmG2irmkAbsJlfdeMOmpA1yFZUIyUyklgbIghDFRJqi+BGrUAGLUUUtJjIXWkb4otGj
CmETEYrc1BrU5INjuneFi/Mzm6adQYbDSGXvn3ErAqoh4UF64LYi8aFHHaAC9iE1WRCgODxKSIeE
KiYCxpdORhUd6Tp2yG5ZnDpSJbaKlzAMP4yo1GjZY6aoBdYK2/7VJZVSkk4ZSamkpFVqUiuxiq8s
KsjihM7tHKbbhYRLsST9yiHz4lvKTqZSMGxwa1IxAKLyACPCif5L/oTkTGG076aK0vhkanDC7uAS
PDUqbDOFNYZZFcDBu4tTvMlQS6nEdoavlkcrJ3UsbbwNq+nsy7LmU8EAcxZOw1ZwmNnU1X5oMt63
0zlyjOTwj1r2m1rGAfnf7533yfjRdsm3j7+4evKFP89jYX2y2JIYVOBj6lYZxV/EMg5pg+slnC5y
XL+Yza1PGDxpVXSIXaGM/ZEUhumKzQ+hMTryYOz8nZunz7f/w2nMee5w70SucxwuZQ5urV+TjbFR
jvY4mJi0q4ZP61nLtTnO2UToXcFe20qzqz8YZhYwqolhlchhYd0zs0Cf+8QmRqTn16FCxpbFpB1s
uzQvA1N/II2uPMGHKB5ms5RXekLrc5n01VekOHk0Cpk9WEK2J6tK/XLdT+4HDWKkiCwv3EJ5VWTI
pq/eYp1rFcsJ/JGIzgg6+S4zhAyWvLTfR9hU3zUzWe6NzkmGtR+XyM4zBXy654OkcppgMlKDdTQF
goBPstuiGMJHg4vf/VBrefygp3YWkRZ3RbMgPcVgYFoa4kzmVbeMDL4h/XQDtA9hCXjJTHuUkME5
GO/aVniS9BQob4RsZ9RvHKdON4WdNOmTli62As9krrueDD6FK9maODPtcW7ecG6y6x2LfsOeAwgu
Kldbz0evr2ljVrw0fWx9+zQqlBowYtYnhQKskXOFtaY1irs2J6Vp7mYBgJYSQHJkyO/3uNpGWugU
vq2C40bBLrM46NDlYqdNf6ArChkRwqXYziylF5MmUsuVl8LP51L7J+wpfpwIKpf830+Ex6FCiyr/
4kBQX/f7geB/Uq5KhjBD2L8ZJH+eCMhUeBkZ3UiZIJGrIoZ/x084BxjOBFcm/orBB/nngOZ+ovlA
GSAJn5DRBM3xN7Qo50+7XdbExPjY7jqCOCrHi5oSfz0SBPfWQmNHe13s+MigubJGLvsTTvGlTKst
gRD0hjC/WHWebRHOwAiIXVL313jQDnAxAl8aeAxJiZjiKLv6SzZYn6k5QmLuL9MizhFM4iUmVJdp
1byO3ehzN+d3mCGyjVMURNMcOkfQS1aYwOv1IiRpjTk3VnmG5OUVPeYTMz4NQ+WdS7O49eKMA6vy
8TATBCOb+u7gWcCZfBtjfkFhJ17op6+UCiqnmHMFGQXpb8AXSHNfcsXh982pKgykWLrWS+w6mK8z
ccBVcu57Ci7D4tGcp4/ZWi6d5b/T2PQoZ8D3aR7tKmc4OTbRimp0roQZjnkPqs+P7Se4vsFS9W8y
drbdiArUMn+tpO/dWn57Qha4pjK7SWW6rSkRZJHHJpZVA/usVnvxC1Ll1VKTmk3PcYsqt9RQceHq
HEqCi8jipDZixy+2Wuq/TW5xyyF+trBV3tTNnV6Z2yJLaMoWVzpot4M53c/wpbgt40AFAGKKmNip
9jpa4Qvuz60zUAftj5LRNC/eCR89MSQx1C0sF8SU3syctOz5QJmArw06+ELPjXVgl+v1iC5MZGbj
jjeR7m1DyfW8sKEJzsP4EHNf5X8n28TBNNk35fPAjxEy4K6zhDJIS1Y7O1GZIY9yU8xQzcjvIU01
OiF1Lw+q2cOtM5v3iYdnTYbfrIbe08RxHq3KuddITq25dp/9gszQYNPAGtc4VpI2vteIPtppb53t
CtvN1KSPXlh+9bB0lWFxh+3gGxCN58gnZ0iyS+JpzJx9HQpQFcDXGIGnaI1iuzUtteN2w3UOeWxb
J0Ow+MXeXrKdbtG7YnCzpgMbtxTmUGigdWA52OZ1t36tEOl8ge8ptnm1m5zgB1tSCUdDdNiA8TRo
mDVo3ZxppSK7fMER8NQs2T0xao9QSEq/aKJRoTF5XkApNPGmtjrp5BrOWEa3g9e9Jo57ti37nlBv
snYTNjWaWJZdUaYDfjFQK/5c8s40jbe6bB68kV+8LSOizMsNOe1v4aiRfxnte7/27gewkNLEzyDC
8OBmGjoRb3oC15Qzg3tfk8S1mP6zblVLxM60oRJbW+YvkbkgF3W0d+e8oqtea4/9SB9o5mzE7BKd
yIvkyjpwlyxGsZmzew1TYBxaGLaWL1o2f+lH5zGaxscsF4QlvVuK+rM1Xjprjb5MgCLRnqmOLlc9
1e/x0m/jeXToVm8odBYM8YONm63U5i/8Xuej1dmbqmZUzjzSPAZhEGPqALlpl0knKpJ4c7nhhvel
WsiB1D3UT6eY+XVRtolbi5mmrQbVxf5QqAxKo9IoIVceNWjz86isihx4B/L/fzdUjmW2FblAZVu8
XLtvBv2jU6kXyykSFuTuU00gplPJGLYIH3XNvYHITJdODkZmUjSlytM4AiiqStiERG2mEsBAodI3
6OklpkneTQPRHEtldCqV1okScjujSvDkRHlCbLn7inBP4yQI/hyNFrGfxhzg9RAEWvr42uGLXjGz
cDUjLCTTQuJZwXxBjIiL+GNN6T7Fxw9C5YyqH4mjyv0ScVMDQ3o0+McFUqWTbGJKmrOINTOJ0r4x
d7YqzQTx5fNIvKkl5kSBYLSPcg1EDQmoggNuZRGKqlU6qiUmNdCxG3gmBe1SZaiQVd8VXn3mlK8I
WXHQ7bDhFdTcd49s4p4z4lht45lUow4vlkpqCUOKQFfprUXluJIfiS4wtbhqSHnlwkS1Tx9Kx9yx
6ayCMBOfZYYr1CcpZv+IjKnwmFlTztMaz6NzJ7vjEr7K5GTF5l2Jmojp6TnViqeE+JmjcmgOgTRD
JdNqlVHTU+dDcNBvBPG1MXH4aKtEm4aYzX6QlFuu8m4JLa9It+euzukKNfauSsaR+9osROVK2znF
KjuXRMOL22Nc1YnVNf0Nox21mEOyilwKQFT4DvJUsjMg5K7tNnkRJPRyFdUj3yzINLUXX8X4RsCA
W0CN6WoRprnqVNzPJvcnyf+xpdfWncP2aCWqiMrvmVl/j2H/wyPsfJFljzjM0sF2X9IKo33bJzh4
+maZb0SsU8HY8Xt2ZyzzkddDhMcGzfl1DPvFvwq8Wld90ZZ92PXWYXTjm7yNPY9m6HneLdMECKn2
1PrASdliUzZqi4sB8ZzT6OiEvHU8i9UByf5Aay3zmdQaJ8RITa7VaXvSrjeW1UV7OO0f5qx/hHP0
ziNH9V5P+1nXgsJzAwPxwOz5GbmwVwEEPNbLIPfsKN4ZOqN/HyJbsmt/hSIyMjFDfZAoD42gV9kw
lq0zaiyyyZ9HvNj1O8Z0YYX3GEL3mkbLWdLCu6ox6CZDIdY4fZ94+XmKi/yjntLjSLp2WzfTXds5
u9TrMMyYLpDNSc9QiXSYfjmRVtHI17In3z7lD7Y1B05uPxV+czs3KcrAkh2k5WypwccDKyCCVNNW
9PWjW1lfOVxvey706zzmLZA4zT3utC0HHNqrxdXeFx2WfwMVexH70kFJ8tPi6vrtDMoiHjaJn82b
dup5P8go5wq3sN9wOhItbF5gAnSrpDK+LB1p4FxKVuXgjPFM3DDkvrZtfaZM3F1XhbYRdFHTPfyZ
RwtlC8Z924wnPrl7l8IQnHfxU710yuGeX6TgUZuJcxL2pzCvXuxavMowUysF96Uzpks1YeySic8W
RVP5Yjt6LmacBELLD0tybK32MkXRlqbqLIBXdRfbWBaA0jyxMbssE6uaMnnPLeCbGRe9zpzPRHmG
PaJcvykn51II2KlOwUGoxTvdTpygsa19VhlnqS+noTXNdWSjmDiL85LKorg1Q30JInZHK01iSGdL
tKzGgTIR6nTBrRUl/IDOJfK4tPvOMqqg1dN3VzLDeNNw69adufNbtq10y3XnooGx0JjylKeEoiuM
WVkeaju/kCkzZ9jz4bJzkAyPTq8dHWT8HTTtg8+0paggJoL+MvrOv6r1/lHLzf95HYMY9X+rD6Uq
/IVC88uFjFsX8gc3FQp4lBDDhef3C5mggQfk0y+mpZ8XMueTYhVDcvppAPj9Puao+52qo3IEzlhV
IvA37mN04/5JorHpcsdthd0KkjuWgz/V23UDrhaqN7Qb1y5SBtHDqJIMZe5ANxR9tc3cGVCTZa7T
uLjTsRiQLOf6IJvsRc59FcDFPSwtj+CaLfGayxVHn5zDoGk8GSRd945081yl01utNxeeDwdg4d4Z
V1K7AWSwCmvzicqYXSFI8Ed9fo+mQrt4Y36FDL4eXcAlCofgA+lbgUOxMTy2L/rkfp+YTbaprB8K
I31yRQFaOEN1HzTAoJx/r9ZQDwHSf1BkTEVpVJOlrrRtyUVjxTm3k5mGhYf0yaobimNMpIbASVgh
lUpsDEE4WW91PmrzHXtvb9zmuHvxalZdXz0OtGjXuIYJugU+aR047P62FnR3jN1cbAwddmFDV+oI
b4lbaHo7pLQT+kjKRcWwO+jpt95FkgL2tgoTz16Z/U0+PhkdbfWQpP01K3WAP3P14E6wlURhvKU5
1ixqrI3NPIlx3VUjum7XHRu9fG8Msi4gI0m3bKitF2zSCsu4a7IIogD7uAB6+aMOPShzcUp0U6YH
cIlfS6t6Zv3MHXaZqjPn3rzWXH9TupiVInAoeXXTiW5XoPzmvnuc7PAVpZFDNTPnQ8VDF0uufhAD
wa+Yf/eGGcGAZ1uhj+XoP/w8L17UJ8dRWaIJQcuVp2zSoTSLa+jpj7mXg5OuObN8bNBWkfRwcWWT
PGcd4+umpbGVKV96l8WY7/QOy7Hu0GwPTcjbtLX+EI3zXdi0BOBa89pE/labDJiNzp2duocwX3bZ
CLBQx2c69tFj7xXXySfyNRk8vvRxbRX85hH94tQeDlaRvthuxWMx3knpPdNbwD277fbTED0Cmzi3
Mnloi+E16cVeTBjC0b/qtUNhC9BIczdxu93qgnl7cuczM51+4leeki1LP1IWzWPLz6bNkb0hJWnv
HQOO4cLee7HfYGdCxobr2Q/5ZYnCe5gO9WG2e8yCGjytQb6XGg/V7rEdaMX3G/8uitOgZqlb1sux
dcSz7qcST3S665J2T/yf9Q8GmaTL3ooB+IfmsjvuZ4KKTR3EdUT3EKM271D5xQ9FtdELFE9nASI+
XmPdezEMeao6DWfuhKPAfjdrnea2MH1YovgqhfXStKC2bPGcN7rY6Ma8bcqMASLTbkLd36VFCQoS
K0Dsl+8jgTf2xOHZj2a5ogTrlOf8NdKSsh96hMvi4EXDeezLE39z2UyTaQLztnvuWDI3toIWQB6m
BM3uYx3FGpJK9DlNjE1JXIgrgv590bp9loyfO19upT9u6Ifapab31nvlpRgoqoAcEED+XuMx37dR
/Tq7yv9RgA1jMjp7xnDviYbK+QludNuar8nQHmTXAo4aQ5K61p2ZRgc2l3cGC/71vIwXe8QxPdnl
LiyxHPhtvYfQsSML+pIa2TnSuye3rHXq8fT7PiYJWueXmL15pg8vWWE9tAm/i6Iev1oFHzW9vdDU
cZ3yYjhEMyI4MK19bjSnxjfueZMcq4ELSNz21y6ki8rlujfQNFIYTQCxOt+OnX5b5fIEePKksYdn
YNIO1oxu1lrbvm0OxSL3cgSDvmRn8EO7Pl/u+hHGqVs0wPLa01TzlvUIPxRd/sSq8i1Dt7Ia+9C3
1kdnsVSrnIMw4+exSx5sr3tkHZFj9AgR62Kajbz3DFadKHBQLkV1CA1aCvryWC4GnzAhyXdmJ/Jq
b1NuPviqRYUVE/eFRl+n3NytMdmWdX21gY0mrvf9n+XRD6nY+p/Lo99oluv8r1mWv6yPCOETChQM
EzZeZuaKX4YTgz9iKGBRiE9R6b6/q8XuJ1yJjkkk7DfHIzPDT7WYJBBGSINYkY7Gqyzaf2M6ITr0
5+nEUyOFjgfSJnRkqR/iV7XYFZHgTmpXV8MjnEt0G3e1nGfOCaKSxhQJ6DPZNueJVBYlGxW/jD8X
PK0K3lUeb3ZyhDfu0BxoqrwuGnYgsGRoSW51ztWjL03a55lnoefXRI27eV55Wr8ZeV46bUgpYA9m
6MdjtErdu4kLE5G7Ja31Te45OmKDLXWu6voNvXIjHzBr3MVhjBRtE68r9R4dVMCmS5mXRDQHwotY
uFc88GimIfsti0CDszvNioQ0Y0py8AUFsSoTGkf9aRQ9VTPzRhqgT3rfAhuj4ziiLeirw79zXSsZ
t/FDwLdjTkHbJPEllulXP/G9zRzSBTIgRSLkxIeFlOMhr1PS5MW0qUqW1Mi4+cm2NXmm75M5ZCxA
arTpE4bmbKXlJHNABl8rzEe2ck7JhdPEGR7bpMGqlTVP9D5da/JKK55oZ2tKmi1Jw4F5rhyCUoOu
Iy29WXNZ5HHbDJe6JqSczVW+Bca3QzY/2qVB88547+NXAq6S2kxeYu+aFNrNWfJtFOYlKpcbhD1E
KpdqvSFtX/OeCWJARsuS+jzEHuK7TgAHzgJ6IW7pKgvBVFapCQ0+RdkxnEPaO3dZOBPQpv2DkHe0
aazC20qt+toY3G4Nvbsx6C6wGm1HfozevOQq8uFkmtzjaBxGNuY9Ew7dbZM4/Yool1jrqCIbS2E7
S9qv0mHXNObFteNs2/vArAkTVbjOoQfV2q5NtdtsqrrLQlKA3x4Fc4Pn3BuOcfHhf23amaZ1q7BA
CmW0wZioh6vc6jssEbrLzTncdFH3ONG5tx3T8hJZ4dvcjPM217xd1JlOYPf6s9UQJUAnDwQbkrnp
HRhS0R12wrOYQE1F003T+d9aRzIPk0UiseQcoiZBIXbscz901wSsk3ZXVW6+fMwT9Gu3UITU+hnD
ZoMBlro96vUuJVyzY9r7n6uMh5vdki2ayQHg5liiLTkl5hJ59Htt2+rGqcrjm6SqjlOKkFChQJTQ
IAkYDf/P3nnttrFt6fpVFvq+jMqhgW6gmUQqW8GSfFOgJLpyzvX055sKy5JFu/c61AUb2NoXG1iy
iuTkTOMff4Ag1nQr0zV+jKbUgMl3mn4QNEQDwaJrx0vVHE+8osQOhtC+hRcYGIlpJq+rH+QxV3dc
/0RQJ6xI7bw07io4jsRIOtepo3DqEhOj4iiV1Maq8zUk2+N5M6pLFzU3kGrzlc2O7Kp6pmKsN8Fg
i9lXuOdaVR9jL5Jx8aiP8O64QOs4BRW6HPMeL4ISIp/fB+FELXHa0xNcjxxPQa0/xMFCw0qemDXc
mMiVBfnxbQyaoFxKDTMnzZWQUkqF2oGRPiZAt5ae/shK+TGxAaP1LP42ogwxCOamlZDroDyc8bKQ
f0HTubeFIAySxglQPduELJ8nQjTWCPkY1LuNJgRlMsqyRkjMErO/gG9MdCzqM5JQF4Uu3w6o0mzU
aY6QqSVCsGbrSNe4296kQswWoWrL7eGgReUm5+W5g+pN5oIP6tJSirmnoRDGYdG0xMwMZTKaObtx
Z7wymnpHv1KErM4XArtRSO3Arvp5IaknvZDhWejxDHR5OCYFFAVI9SyabaoQ7wVCxmeg5+OzAgtG
lT51ArxOhOivFvI/Ex2ggh7Qcx4C1IEVKsFIyAVVlqAqBIQ1SsKkVheykBa6QmSYC7lhK4SHXRse
+EKKGAhR4oA6MeBxtpArGoZ3GKNf9LmvTQgzbY90IW7kC0XmSBxcn3IfTHJ/hooRXNlOl86TONIu
vVWf9VNXmkW2duRDt8cYxPpOdQLzB2cHT+gsPb1fSH5xqSLANIUS0/PNZt4LdaaDTDNScf+UwHVK
oeBsiwK3e8oIVc0vG6M/hhoRTiWtOGhoeBhRftoJPWiOMNSr+wt5yOYESQ4Lg5opQ0IqEfdMZOzQ
LDrkpZHT9JPKgrOEYQxsIeqwf9+nnu9TdLx/33q/pFgKhqz5iPTo/N1r653LlK4Tvol0GvdkA2vk
n0iP9sVSuMcYIDfwbd603nUMmmUwGJlWKHJsqB5/X6ZwNHpquNt0ymVxPbP+yWVKeXJ2fMeN1CHU
W6gkIPaYvBWUdW8vU8S94gxYmtl5X8o4F7R6Bzyv45qvd0vfAvFtB5pyjdzJZ3wI+UiOE9x6wBGj
VYyF922QuNUJ0nGmmKYVlyGODEujb6rTLnLzx7wW8cxxGxz7sUWFw2IKyOqTOoTYuOucV2VSnxUh
GY6SbJKfTQyqTdalAkstddPTyMsdpBv+BaePceYpinSoen53MKKyu67twbiLW/TPnWo0J3XlWyvS
+bJiYjVStFCMIfumNXI98bVK3ZDZG9/iUpkuPaNyZjDWqnULQ2pOdRvMrdIBjA5hBzV+m3/tEKnG
1KscM14+a6lvqYKlVG8fsgq3uyMFb8OBhNksaogbFvbluueE/im1FwbnhVul5Znl48NjeUrvX/oh
2LP9ZI8+4u5gdac2agYToz0dETb8+862wMNbsnxnBvYs8EwlGowTZHnDfdiqBfgRaBKZy/2d2QkO
qGQZGcGGZrpgHzEOh8YcLusuG2m3GlAlUzWQUSTA4gs8ZA9u3nr3zKRgKqfjuHYrf9yYQX9bSsUi
9YJDyWKbThTMYjqDwlXKOw+Jr9IMBxGNULwk6uE4yvqcW4UT9QQGZ8BkQecFhE3WwMhchnAsioob
3QqQqTvKtYbzxTKXaJD5ctdODLsk5DOszEubZNBVLdXONdCfeYpiUJ4lqmBSqLWRXbmVnGDrEzv3
ktVJh1pcW5O8T87gEEmzsm77g1ZCEz/v4qKoZ70b5D8sKatWkHZT1Dp2hQHLaH73MJSgbW6F1z1+
OcdWqIcnxLCEd2R/Yzc8gsdUEaZ8Y9NLR0xebLQtKGOhV7q39ph01ymthnmT9cGlFPT5ud/GOACD
v8azVNfbCu9RXUE94GCpW/VGNfNKmrlTjz4bdCh8LQirRX5yaPWd9hWnAhv6emYqmzzLx0URyNXE
ySsTZAuc79978fNezMb5h724XqdBFaMh3bIb85d/78byFxiOFokPGOea7L5vdmM2auFtoXOhEwg6
G+Er7g4dnfg4FbEwBAzz6Vevpa31BY46MQ26Rp1M7+mfAe+aKF3f7caUttTXcC2B+CFF8dbf7saS
LWlR2cfZWYMl2HiCD7cRnipQM9R5XSfIloKixRA8Nk6NvDin1nnQ2Q/npZpctQr1Hoj5caGWd/GQ
HcZVehEkOLxLKnSZ0D2BLXKS97jBpVZ3gBTFm5VVdMwCvcFycuMEVQ+nSK1QxpnZV8ODdZno+N2Q
i9sQNztTdQLc4zo8Yb+b9JiCzEqtTZV7FX4FWKcXo+ihn7iSLa0MaOObNWbWCJ7GifzUYEqemk3u
U+PJbPOVJXpRheUcmk/tKe2pVeU+ta0ch132uAyD6i7sXMzbWi1RFy02sOO0bnDDROlFX8IxKlyG
SkOaOZVd4tWQWu04L0o01NAiTQfv3q6/b1BkT7o4vbFyA8SP48NuaS7kgbnOXTTYVkc7NbTjbgFv
/gRefjFV6S5PMGSfF6OLSA5vvcwFi5fdb1I5rmpLumgxMUrbDlAtnbVSfdx3xpkjuul2bk7LWMUl
LljnUnYUNxgWZHVz0ljEGFlSvrR9SCqlo1y0kNegxM1Ttzi1vfyHqpWTROqW4JuH+OQtPbeAuEaa
ttqfNll5Lw/VhePHSzU0r/E1m/mGtXQV78wEap8UcX4Z5yNCY9FWlg86o7ooazyZ+m6FrvomsThv
HHvt2BUp610ztRNNnYfOjxS0V4/NU61r5tiUHej5OFWoTN2gOof9dVdWI4ZL9gzOGH0A/xQd5plN
AY8HyGla6cuqV2/GLjtp1XCiA/PSasTXCyaQ75+GLv0CzTkaNWPR1PVhaIQHuSl/V41wYQf1Sa7V
915mh3PRpfQsfBFLMhkS5cA2+2OlrepJ48injQoPtghPS5MGBk4T9ShdG762ipGSTsh8h9qerCp8
+kmomzhuscGEAw+n+AZjxOtM9gFcpYWbG8eabi/UJsGhrsXUbVCOO72/h/VaT51UmUWpcuy24yEc
qWnp18eepWCv1B91vb/KKqBQeyg3paVCr+gvyiECH/Fa46tllAeB2fmnpqujBleTszImaTiJ4kJo
wjON7gh3KLh+xZlMYd0pTKlGqBdFzV2I6junDB8ox2XKcj3Rji3K9F7U6z2i1TaOrZlGKV+HA9OP
2j7P3QOM7wfclF2MU+mACxzATporxO5zTdKgGQqsgEhrqABP+IFAEiQfa7O8ldK56isnrq5f6AJ3
kPDImIQCi+A8Ow8BJyqdxp1AK3I/kqhKrHBR9MoJrt0HFP5TA4hD7rD+ZnbwbakoS1B7nmPAS10L
NKIKjMQfKhiHQMZudKwBoiiAKYmJV69AV7oiecgF3qKO0gzjexoVAosJAGVoVa8ygdKUAq9JBXLj
CgxHChvoelSpqg+5MgToSYIYxAfoh+vDbS2woEGgQlIynjbARD1wETq6EM4bZX6eQicNcMdNw/bC
BGSqHfNQMkhKlpp4AR05x7unOwEPHSatwKgSgVY5ArdSBYKFw2CxCJvhOBPolqkFZxFwV2s2JqSn
/sozCdTwlQBaWD1t7eiMsBFlilEQAlLgM0fgaI5A1HSBraEOjo98w4z+XYe9UKD/iGsDL9JwHz4e
/MZbTBsdGvxmhaJJB4h+p8bXvpiq9nLoU7m9nPq4ynJDcCxLgXShod184x7ifOG/yzTIiY2y5X+Y
d2PJvK/3pz7e/w7+1arD//FWfnEPoZHVm0VRJeepkuv6SaU2oJ9Dg5s+beChUx3M/5CUTWIrf+Cu
/X3McIXupfQSHhgQpnU/0Hya5423LAF+izyAu2ij9Gl061SusY5n9cRoeWg6uhkHh+EN/kLNzWZC
5+9UktwIep9fT9muz6qhfpSEOslwukedE2zuQ0RrHLiYmR0c9TrXAc0JTyTuH6WcGbPM18ZTvzax
gsdeB+ZW+ShlZIOUTXnfUkKNSTQcyKp9L/UQiLtamZBysbSs+jQF/JxEkTAUKLq7zpau43qIp2Gk
XGpGfevZIEiQyWw2D80886jF5zQDOBOMqITq6a0tVNwHldG2ExvlHTrSs0z4x+Hnd0nftZj4WMv1
qnyYyMZGr5MDaIDrSod4J7zoSokoEszpSqfmXzvLRC5vG8RaWY+VZyrs7Crz1gnvtQ4ADKc7jAUf
SrU6K8fgxsAJL9LtZKZqMHmoqs/JrAFAxDcv8QN4RjVMylFqvAWo9SXy2VPEH6fjk+2eHKjsVMjb
jcJOViHB7BNDGPV1sn4uGRDPC6HONySsuIjzOQp9rIWR/ZuLwqNlCOFzbuMCaFaUwh0yDwd/QDuD
jiY7yVk+6A7ulYW9KvNUxThc3HUwGCyDhtbAENsHkeWXs1AYEZqt28+NBnNCgG2MCAeVTmj3zcW/
MMbH0JSbMzlLu6kkOcVBiYNrr6r2BJORlYpub9ILQ0SyYjC6xyMxkQzCVFTJPWChudMOKoKMo6Iv
rBXJI7sPpfLCbI3zDu9FL8SE0VTDAx1XxqTWl47SwzsdzesaopuceN9w19qgNJWm0cjV1RAmj62w
e7Sb8RbCJG6kan5INMGN1GArEFfdtSTMIvlTHMeEgaQmnCQlFf6BatJmUbIfSSUhyMnyE31wziKd
Rm899MggsahsuLzOe+FaaXUJYUphadM4D+AtYG5JR5pTRiv7de3m4UyucjBO4YapReFNE82sOLjW
amhhtoNvJmttRn3I5aq26oO0QoWI70O+7BXVnWoQAEhNwEwU+mESoqkesefEk8XHvavgkoV1ZyBi
Mgbh5hnQhZ32GHy6GH1GPWUyc+1S1w6l4UckYzAjYQ6aWdUcznQ4831CDeBuyKb1QxaWorml/yhH
+c7Ba1Tu4tN8GEDQ0VBBnPbnJoTGyZBAn22qdaxj3RAMKzsbD/XGEcRr6KvMPcwnQV9Le/ihVuV3
T2qOuqz+Sv7yCfTHiPCkejbilKo59CoUYZ4KtUVFPB6J+w3WqmVd/8hFtkTcd8Knz1oHRfkdByWZ
bgzG1qowae072zyskZljqCDZtOFovCmwRs2hrPCtNx9qzFImiqkGkHDto0qYwXpV0yz8sT2Ea9lO
VRxjTb9fh8JCNhdmsnVREfEjDGYrnbjlBEKeH1A5+P1ljRJDaFrncY8bWREJ1kBqlCy6jCVhmydx
SXBP1runWayJPHmXmEbJu8Tb4yzLnUvH1ZdaP+BeglWvEDpCnsdrzVOKBYS++LbsICi7XXssUUuC
A4uFbYQ3lollstl2qFecTp96qn/fpyBAjR7AbkwP2dAvBj3DGJle3IwD4CsYHCEkhjFrUeYdQIwl
S6rSyKgyQUns9NB34YdHRXxc+e3XwNDRu2Jr6wYaQVhZyVXdi/nbtr00zNBejmlzTwcM/mZe4uiS
qv7UDAuJYCzph6MD6OEtFByASn1Nh+ze1FjbRUw6Apc0aRrDjhRpHumpjGvBpMyKW8VOhIUsDORk
gFquqej18dlHB8aebeSpvAjRBC/iOrtvnOAGGSlkdjddDAiw8dmHLsxxV047TYPf08veAsyTMYXd
vKJ1uHQ8Hfc+n+6mlhmUn3p77Q/R144zcVqHiIIDA1Yu1kdoAKSB6WZbUDdDYZcqsMZcGjvcCXBH
J7WCNqKF2kLusPKOzGtcqQ5EPIuRGecQwDY9vQRMl8JbPN+4mQKJAf6nx4rGZRXT3BPO/35iWelS
VpRVHeflVB/UZh4J7LOIw3hVjcW1prLw8Su4kQb9rA7qx66IF44bXnPYywSo4IzN+b+qAu+MCv4K
1sVSk6qOfJu2FxVMMxmAW13c+Kx0qKjCQWExniMZwrIegj6DeVxm3rQQ8NGQ2ReKmxRzw/D1STri
EpnnCVaVceOu5HJYm4Sy8n226iKK7Ks+xbrEdqXDwPPWZWjNvAjzkT7MD7Ii4++t/DyLWmUCBOcR
rmU85HCTKNaCO11GZBAW5rncmN8y3QRGjPvl6Gk/QpkAR62Fl6KqJSr4PvUXpsV1vDaJwpEzIiXT
EN8uJRicSTEqd2bVntKrDuYj1/5JSWLOzB+w8gktyjlTCtcymT1RAIOmDtyQVimpMwJy0+vyYBj1
Bl2XEcKRi5YhDY8pQeScdzV9mkJ102kmwDoiAB5JF8OR2vbKBY1iGRpx287Q+NAAxhl5kMybxAbY
9DzXmCaFdIWd1jV++Ag4A2eadfFxUyl0ahq7RpyT4Zyi+5e1SeANt/lV4+E1k8jONZbU514MIY/m
IDVNLmFgg2/vVCOyq/ekGIJ4upK4ObEgQxlJSXWfe8l5r3KeM1ocIeGyMAmKEw7mHc00KTd/mLJ0
JeF/OLMS+meRE/2wRF8Of9OHdiiPHE7yyWAZDxWOOoXdwOzzFLL3tBSCQatPezO68ZKkmhZ9qU5t
qhL0BAvPvZdt75iLAa4mOnEmShMe5gYldt6E4akawMspUHXQ/rrzJPqeYC9XSglNIW+kCyvB5lyF
u6M73U3PnQsvjhFXzjxL50VNEChtUzqsUcHH0bFKtbtSn2eZfmRj3GjbA01TizQi1t0PPBnwsO7o
SWLpv5Db5jZvWbp+qXyNvVQUi9qJZgawqQ00SHSTL3HONqaGRQIIyWXs02V60utluihN/VCx64cw
wYkSnOSm6JEOJ418TU7pYT/EVypxUrOuYku1ZOS6MATtDkmSU1vdDCnlcV6Vi1Tu7QloCoVrLpPO
ZoYbh7ux35pw1Pt0Mybl4ehgMkMWz0pV01tY6rMaNDlv6UJW3PKsiK0PvUAz9R28ajJa0rOisQ7k
vvxh+lzprKy/0xLufG1IjRyHt8A/KxdLFj9K164d3Yd1c6brBfaAtTLzkn7h4jU7wWVmORTWRe8r
895Ave8W2WVfOctcd3CdlnAjCDG10dDjUqkOGqZ7eGTh+HRc9tmqCfJpbMiteliFCqRwz1Kjr3E6
mrdDFpj2aSHB6v0aG3XezgbRpjRy6fDf+PMT/myAB/8ef75qoFVttpSg/NUr9oxRpYOHJbUk5Goh
qP2JPZMBZxDwZhP9IXwq33QCNfMLFyJRbAqRLOxvEOFX7Nn4IgxVaCmaoBuKSZPwH9CqVPtXWhUv
TKdR5j3Qb6QapRR+iz2DNsoFBhPN6YjyELSk+U5Tw6dAowcjt/FsKGORFgHdMXNPghImt6F0+CSl
7XlSZSsLh2bucCocWbJXKyk4wln8ZLAQIGZqcCnL0WPLJXEqZS3HitQlXJPUE/ycuLXIpjdNKmHt
LN909G/USr9FvgOa6jv6wsXna+JI4yLWJYm0Vh+qJpaXmCCVkyAPv0Gs+p4P2XXrU1plNbIQ1zS/
lSjQU7yha0e6IaWUaCKENVpw0kb+cZ0F36vM5trrWOelZjzEjmfPEz4YnsF4Mqpqdtgo2R0ykWGu
hxoWyuSkIqnslvhgXQ9qXhJp1y10fYQyEmodqZlBDK3bfix8aJVEnR5XdXzVUeJObRi+RmRfZIHz
WFTOOcwVLNjIhaH/F9Zzt6MdmLe4qqQPbp3duYV6RkDcA3CGM6U1680bRHvLCsUt3dCl8ODTQ+97
rNbtPI9tAudMxMhdnj10ioMpPMzWZEAvmYPDzQbopAt6BuWUVvJxXeG3orvH3A1nY5CX3CW6hVx2
h57jLD3VuIDIildZuLGS8koLPAI+xlsyvJKZLHqWfEmOjCFW10H4R+tUQLYrzK9mW534Tv8DOBb5
GyyyTHblaVOGmAXK6o3uGRd6DfmfBL0r3VN/NKrZroZA/LnBPV7XmttEapZV5ucTmi/cPYildZs6
PDDN+I5A2gisosE92JAxHLTiaSFUmDLeLSiZFrKFOpIW3kFR+wTNRjlU2JxvDQZIN1UNExCErJSC
hFMT4cGBW3G14PZ0CCxB/wPccWJ044UVGwddCkjNUYb5IXpcL4JWJ9c9jVB0f7O4YcYZ9CSn9sgk
Hiq+w0TNvXlXjpeZV/Kqqc2J2y5cubkcbe0w6ODuWComYFXhejMvhqPSNtFDnfW3NoAW2r38XlYy
7MIyd1p2PXwmOVhi3QA9WfKXciqFM8mK0qksZwfmIB8oMo4TWNM5S5oYA8Rpe0NK3TGVazvJqzCf
A2WsTG8YkJrjWM6hcp0VRPQK4hOzMQG3rO8roTOSS8UkNxYSFMiTeqSnqDx73Jq8Vaw6Pgl6UXej
2lHZzkup8oNvDINbn6m15XVzMzC0hekmcnplUd9kM73OUaM7ZVz5U+oC6xxQKjDRmgX+uVb03l3Q
5PMqZgpNhLHpaV5VACQmRTKZWzIYrG853qVfyJQjjtF/lWMJs8gi0Oa91WrobXHpm/U2PP9VY8ku
pUPQP3nBohyfVYMG+TOGpGb2Be61mnobdbIcnMRp3rDPxD625ab1IHvQ7mlsDSVmjjh3O9jZRrpR
IDBULe9Krq24ulPd1uOE1kYaDhRipvs9MgI0rTJ8fPLGnB7V6L+Py+fjktPj98flHRTbLYclf/N6
WEKb4cADdFUcziLd0H4elsJSTMWVHedmUyaj/F2jFtIMWamGYmsQzPQ3HGSbCANNOJHZVFqq4OH8
o8MSo5z3kC0RBCb2GEJ0hYPir0FgdQlFJFbD/gyGizTJbVi5bnlVqxgLhipb8IgxInnBSsyqSZLL
qnHLJenRzbIZXWWqwMjysBIjv1TXTjFPk+esT4JnrBDuHjyMWpVR7BbtvdN0+VU2ZNWcWr8/d1BJ
T5MktaZO42ZXetWelDLzvE4JLwp8gle8ArFol3oXigcdsTFUbe61OO9VinKdjEq8jGOyoUIHi0o0
LtpgX3lFUy56PVRndGWDszjokylnz3cYOVTiCF8g7QfXBc4JJ746pAuEuBBrhUuywhCcBQr+OWjd
nSWJPJB0OhViQ4JlQZdjEwO1n8trOtaUXRiuVZh96XlIxkeTHDcFBBNHuuuIYZjUGW46eHlODT8/
lBsdYZInz1WvPYxK6ajN7G+M5klGgiu7coaaxWywTo3870arr3sTMCbrshsPBZrIP5nnvoeOzAsu
ax1HMS2WAClSyJum5y2jsS2WkplsNI/ioU/NQ7OkK1UDktDVDMNFTWdo4bsdHqDGSEZlHOKkll9m
knuqw8ixkfJrwv5Wz7VHd6jOSb5qj8lLKidlPcrcUOxTMlyIoHDHUyPjK63zfkbn8jxKtHu6vPRL
owfJzfFb8DGRjPszswPIt7AXgBMOOwQh8MpQCTWLCXOe4b17BghEnHuiL83KPM76BDKppQGcK/5d
7o1fdV0nagwNi9SPEqkVNCeZH8CsGPraZ2iZQ+1ehtowrCwuAXMLV35Y5mMC1ldiBWqAtSEK20gV
sF4j8DZpWJgj3kSuExon3P4OW2jxE8ugKFIT5RglIqHUIm7JFZHonghHH0hJt0VcOpxT9LooCGmF
lWBopKoXKg4Jg48cPSAdao4D04ILIQd3NDLIIphdGoho9wzC2jsW+FRmpqI4u4hFoHsb6KteRLzT
6JWvUhH7TvtyqYggeLxWwFEcwuFVl5paJy5eIzd+AM4ORJB8ZBhXJcnyqoiYtyJtapE5r4vw+U43
TEreRoZ8aq4ku9TPrJqyFSVXPc1FgD15apetiLR3a+OY/iAdQRF3L5N7X0IPO1SG7KjQY2VVZFgW
eLWD29ttpbhnUuctYBn1GBcH5AKWAVZ8SXlQDfRV6L3M7CK+92NjYWc5S51lkue41qlJ8j3Hxo68
4XwVSSTMxsLjzhdud67wvcMGwTvEroEkYts9bQtK+tAx5yreq5M4paet0WiEbd9/HRTQpQHO7GEx
jPakEZ57SP6RFFeZfjB4Lo58Et58eZEeecKtbxC+fQTTjYdFqEgHOkqceVbkX03JKRcjhn+S7N0C
5mrnaogym92PWLqAboMP91viAuwJ50ATC8HCCr0fFaaCjs8y/mphNDiGwnIQ/hT2g/9Xzs8XJfRs
Xa/nKZDe8LXZlMPFpuLOU70eLeK35xlA+FX2//eP/vygvzZPr3w15Jv/+o/1I6kyiGfrMnioRdn5
9LvV43/9x0sTlf/27kR+emNP7/qPz4nXfLrmkVegFtU0WVE5l+WnHypYzH+9l19LCmWsikLZVsRx
zWu9GaPfjcKfP+DzcP753/zxzX8YBIre3QYB/i1RSCbsdcV5/vllELieQKVV4PwyUPwwSHs5FC9v
7KH/T2+T/T1R/9F84E4l7mCqaI2/mwjI2y2oco72MlP2dQwULoi7TQcN20RDVTVbB7oRP+Az74ZC
sb+gl2OchJ/tvkyHt7sDrrSwEP/xKPAxf24M1heu3bhVw2Z//ZDvB8H5Qm9RhUrxsmj2dU3svkeC
5Cmsf4qP7fNBFDaMlaKo+7ooBMT4j6cDA/dmPiBsAEQkKu43gwAUCstWBuvcz0EQb3vnQeAzgtji
MkzKkPhhr3m3KMRBAd0YO9Z9XQ07H5Z4fFMgY0ryu9XAjQFvbrIDLY6Q/Twmn68yux2TmLOo2GU+
nwCyWCtvr02clgCUDrsGKMN+DsLuq4F9EcxGcVQ+4/tPr+Jdg9pce+mw7N+lUX6em7tMAS7G4gtm
ITwfkB+mgBB82aBJQjq2l1PgZW7uMgjchAxOBYtO19ZbAhsi7jY2wN7eroNfUc1/XkOhJQHQdDTN
ej4Vfr0vMggoSmx628/H8B4uh+dvZ4eZALWWhCAqBDES4ufD0aizXoi4MgW4u5fLQdn9WDC+aNbT
RdHcvhw4G8VUwS/juUrZw5mwe/lkf8EBzQSFfp4I4tr1/nSgkhRtaTi0r3vGfs6H3RcF0W/ck2hO
PE8HmRn261AQ1OYIkdqeLgohV+Pb2WFnEHQHqAwGiP/LhPhlEMSF0Tb4n7KvB6XyXNLsMggqcx4T
LUgdz1Ph15mgGF/w5mGQAF/Ez34WUQZE413nA2gb9BZUGx+vjfoXBS8hmQLreabs6ZpQnk+wXaYD
9kmyyu3Zeqmmf90jgZhYLSailn29Mii736DBnimgVP0VZ/swCEBM/A5YZV93RyFH2m13FKuBUYDX
TOiC+OGjvj8i1C8O0BPk5L3dEna/QXMtYmck0vmljNhSS8GKUwi+2dcy4uVqv9ueAKRAyWy9FJR8
3+9nAumzJnUEgOu+bozPb2yXQYBQaemsBgx0n3621FLQLLkvCVR+L6+NgqGy254AxPbiPfCCLv16
WaCgtLAz0JkLezoIL0j4LjPB+aKIwxGx5vON6cNy0CgoEdloYsvcy5mg7nxX0izhwMiOQMDP08+v
g8Dd2TGJuycB8Xm97OtQ7H5lsr7A9ULma75cDj/sDBRbyMhoyhE8xM++HpcvjfRdloZgnYtYJf03
vTnQZ81WFQXh8b7Oh+c3tsMgADjx8QWz/eXixM3g1+MSg1q6FC+4zv5hLeruV2iBvwq1wMua+HB7
ZH9AwosbmLyvdwYRQbbjcWl+wf5HQNC/Oy6x3+e0xB1oX6FHUQrvOAjMBMyKdIqlp93vI9REaxKk
SeYo2dc9YfeLE7Md4RnOdy9X6A8XJwX8lYaM7uxrHaHufoW2sWZ+6tW/nA7bBkGoi/Cm2Os7g7b7
9YnbEYYfQNEv0OOH4hrnRfBXjBr3FXoUkrIddwaN24JswGt/3hjExejdQQlzg7gQGZRlX88Ibffb
I8nkWLpRPb/ckz/MBHGdEP+jfSN+9vX2+CGr5p+3K8EeDbq2QA1/r/9380HYm8qIEeA77ulJIcSU
Oy4Kg9MQcwxW//Oq+HVRCAIHCwZO194uit1vj+DtMBQQ1rzAbr+eFOwMlBkyp8meTgRCkXadCAJm
UOi7cEV++mGr+XU1GMCOIgdhTwfh5ezaoZbSnvAkQlwFT/Ddp2cGKKZmM0VeNot9HYPdJ4JFW0r4
flEtvV6L3g0FoJuukj1jC4dPdp/9qye13S/QIAuAr7rKJ336+XVH4GxQHTo2jvN8w97XY1LffXOE
3WbKwCj284XgY0Elf+GXeHnDbhI/+zoUL9N1l+3hCYVERPW6CXy4PFFbqtjbYiu0p0tD372W0MXy
F42H39MYMKRBJgLl7+lnX4fi+TvabT4I9QPNut9BscqXJ7tjYqP3dRB2Rp0E4U3jNFBfueCcCr+e
FyY8aQz/9/XioO9eVhFfaSGMkl9B2F/vD4L/Cf6IvGxfawn9+dvZYTnQwofrzi1J+90VUgWO56bN
XNnX5bB7QWXB1cAG3CAu7Olnyz1aFjFjmojL2Mvrk/58r9thJmgUE5qqogt4OSM+LAeQaEGY3l/8
0dj94gTRl2uRJv+ODi16Eg7wo/nCLdy/i7Sx8+kgVDIW5C7w9l+PBc4NC+kgTLd/fR38C0P0t0B5
6gfx45M0OdhU2xTMv/sHryzPj79/Izx+kha++5dCqvz84j+ly//9Xrn8VCu9+e1r7fT0Si9///IR
P774uxd7/Vyv/3EZbMp1+eAPT78YXt7o6TpB2/w/Mf/3uH4rjBSy6Wch2M9381Fm/Te09Oen47m8
+fXhohR4/W/bNdz/2sOT9WNWvj7op+BbFBk7v/MJtvzb3jg79s7Pnq7jdctXUr0+681756Dd/fn4
+VUfvlJGnW3rEx6e1uX6rynhzttegpW880vMNvFfp1m5dfy5HOz8/Hn81ywrmTyvz3oz/lRtOz9/
UW6qdNvDOel2fvhBvEnT1+e8eeOcyzs/e9kk91n8WL8+6ufjBaN558evknxTBuv49VFvHv8ZS3aF
Re+WR3/Gij3alFvGXHAmdh6UoyD1tmwEgjm887OP19GWPUwoCD7h0VW12TYmn7FAj7Pqr/9JvU28
2TYyn7FET9aPbMCv4/BmIn7GEj1Zk8yw5dmfsUTFs/Ns2+4uiHQ7f60nm/Qxewi27V6CrfgJzy8f
No+vD/o57kLvtvvDM97763PePPszlulJtnVMPmOV8uh6U26GLe/8M1bq6TrfMtFFlb3zgJ9u2vXH
u6MhC+Hezg8/K9dsAa8PevN1fsYSPY/XD5std0fRyNz5nZ/HTbLtcie4Gjs//CLg6lgFj1tGRtAg
dn7+5fqhpCRI6y1nqaAYfMILpH9NNhh9bnuBz1iq5L3zAmW6Lh+3bmTaZyxa8SKzYONt+xCfsWrF
8xesgIegetj2Gp+xfMVrHGbrotl2Wok+2ad818dNUP11dh9U+bbP8RmLWXyOk3W92fb8z1jPPL9e
/zVZl/frbXcG0Tb5jJHiNaa4aW/ZrEXH6LNeoWzG14f93FMFyL37C/jrrTWhAI93fzgYxtah+ZTF
/OdE4z+Yzf1LQMVlFq+33R4EdWj3geFikmybM5+yfv+3eNGdh0bALFvOYQEz7zw0Vxt/vW1ojM9Y
sH9OX9t1XP7oq7/7wwGIkm24nJBd7Dzs33hCs22tCth856f/wUJ513G5a+63LCRBn/pf3vU2WPZv
7stHsPbV3XHbn73HosW/eIg36/K//x8AAAD//w==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emf"/><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microsoft.com/office/2014/relationships/chartEx" Target="../charts/chartEx2.xml"/><Relationship Id="rId4" Type="http://schemas.openxmlformats.org/officeDocument/2006/relationships/chart" Target="../charts/chart2.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xdr:rowOff>
    </xdr:from>
    <xdr:to>
      <xdr:col>42</xdr:col>
      <xdr:colOff>1</xdr:colOff>
      <xdr:row>69</xdr:row>
      <xdr:rowOff>149412</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 y="1"/>
          <a:ext cx="25325294" cy="13036176"/>
        </a:xfrm>
        <a:prstGeom prst="rect">
          <a:avLst/>
        </a:prstGeom>
        <a:solidFill>
          <a:schemeClr val="accent2">
            <a:lumMod val="40000"/>
            <a:lumOff val="6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0</xdr:colOff>
      <xdr:row>1</xdr:row>
      <xdr:rowOff>130256</xdr:rowOff>
    </xdr:from>
    <xdr:to>
      <xdr:col>31</xdr:col>
      <xdr:colOff>162820</xdr:colOff>
      <xdr:row>27</xdr:row>
      <xdr:rowOff>130256</xdr:rowOff>
    </xdr:to>
    <xdr:sp macro="" textlink="">
      <xdr:nvSpPr>
        <xdr:cNvPr id="29" name="Rectangle 28">
          <a:extLst>
            <a:ext uri="{FF2B5EF4-FFF2-40B4-BE49-F238E27FC236}">
              <a16:creationId xmlns:a16="http://schemas.microsoft.com/office/drawing/2014/main" id="{00000000-0008-0000-0000-00001D000000}"/>
            </a:ext>
          </a:extLst>
        </xdr:cNvPr>
        <xdr:cNvSpPr/>
      </xdr:nvSpPr>
      <xdr:spPr>
        <a:xfrm>
          <a:off x="11283462" y="309359"/>
          <a:ext cx="7017563" cy="4656666"/>
        </a:xfrm>
        <a:prstGeom prst="rect">
          <a:avLst/>
        </a:prstGeom>
        <a:ln w="28575">
          <a:solidFill>
            <a:schemeClr val="accent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49068</xdr:colOff>
      <xdr:row>0</xdr:row>
      <xdr:rowOff>0</xdr:rowOff>
    </xdr:from>
    <xdr:to>
      <xdr:col>7</xdr:col>
      <xdr:colOff>49067</xdr:colOff>
      <xdr:row>70</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49068" y="0"/>
          <a:ext cx="4127499" cy="13073529"/>
        </a:xfrm>
        <a:prstGeom prst="rect">
          <a:avLst/>
        </a:prstGeom>
        <a:solidFill>
          <a:schemeClr val="accent2">
            <a:lumMod val="75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6</xdr:col>
      <xdr:colOff>412750</xdr:colOff>
      <xdr:row>6</xdr:row>
      <xdr:rowOff>48980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3683036" cy="1090551"/>
        </a:xfrm>
        <a:prstGeom prst="rect">
          <a:avLst/>
        </a:prstGeom>
      </xdr:spPr>
    </xdr:pic>
    <xdr:clientData/>
  </xdr:twoCellAnchor>
  <xdr:twoCellAnchor>
    <xdr:from>
      <xdr:col>1</xdr:col>
      <xdr:colOff>1078181</xdr:colOff>
      <xdr:row>11</xdr:row>
      <xdr:rowOff>99015</xdr:rowOff>
    </xdr:from>
    <xdr:to>
      <xdr:col>5</xdr:col>
      <xdr:colOff>0</xdr:colOff>
      <xdr:row>13</xdr:row>
      <xdr:rowOff>153443</xdr:rowOff>
    </xdr:to>
    <xdr:sp macro="" textlink="Pivots!G7">
      <xdr:nvSpPr>
        <xdr:cNvPr id="5" name="TextBox 4">
          <a:extLst>
            <a:ext uri="{FF2B5EF4-FFF2-40B4-BE49-F238E27FC236}">
              <a16:creationId xmlns:a16="http://schemas.microsoft.com/office/drawing/2014/main" id="{00000000-0008-0000-0000-000005000000}"/>
            </a:ext>
          </a:extLst>
        </xdr:cNvPr>
        <xdr:cNvSpPr txBox="1"/>
      </xdr:nvSpPr>
      <xdr:spPr>
        <a:xfrm>
          <a:off x="1316306" y="2194515"/>
          <a:ext cx="1557069" cy="435428"/>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62F587C1-CFAA-47A0-AE4F-CE8B50561E1D}" type="TxLink">
            <a:rPr lang="en-US" sz="32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2400.</a:t>
          </a:fld>
          <a:endParaRPr lang="en-US" sz="32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1078181</xdr:colOff>
      <xdr:row>31</xdr:row>
      <xdr:rowOff>185964</xdr:rowOff>
    </xdr:from>
    <xdr:to>
      <xdr:col>5</xdr:col>
      <xdr:colOff>0</xdr:colOff>
      <xdr:row>34</xdr:row>
      <xdr:rowOff>63500</xdr:rowOff>
    </xdr:to>
    <xdr:sp macro="" textlink="Pivots!K7">
      <xdr:nvSpPr>
        <xdr:cNvPr id="7" name="TextBox 6">
          <a:extLst>
            <a:ext uri="{FF2B5EF4-FFF2-40B4-BE49-F238E27FC236}">
              <a16:creationId xmlns:a16="http://schemas.microsoft.com/office/drawing/2014/main" id="{00000000-0008-0000-0000-000007000000}"/>
            </a:ext>
          </a:extLst>
        </xdr:cNvPr>
        <xdr:cNvSpPr txBox="1"/>
      </xdr:nvSpPr>
      <xdr:spPr>
        <a:xfrm>
          <a:off x="1316306" y="6091464"/>
          <a:ext cx="1557069" cy="44903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876F11B5-2E58-473C-868D-8EFB3A2C791E}" type="TxLink">
            <a:rPr lang="en-US" sz="32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2.3</a:t>
          </a:fld>
          <a:endParaRPr lang="en-US" sz="32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1078181</xdr:colOff>
      <xdr:row>26</xdr:row>
      <xdr:rowOff>150308</xdr:rowOff>
    </xdr:from>
    <xdr:to>
      <xdr:col>5</xdr:col>
      <xdr:colOff>0</xdr:colOff>
      <xdr:row>29</xdr:row>
      <xdr:rowOff>14236</xdr:rowOff>
    </xdr:to>
    <xdr:sp macro="" textlink="Pivots!J7">
      <xdr:nvSpPr>
        <xdr:cNvPr id="8" name="TextBox 7">
          <a:extLst>
            <a:ext uri="{FF2B5EF4-FFF2-40B4-BE49-F238E27FC236}">
              <a16:creationId xmlns:a16="http://schemas.microsoft.com/office/drawing/2014/main" id="{00000000-0008-0000-0000-000008000000}"/>
            </a:ext>
          </a:extLst>
        </xdr:cNvPr>
        <xdr:cNvSpPr txBox="1"/>
      </xdr:nvSpPr>
      <xdr:spPr>
        <a:xfrm>
          <a:off x="1316306" y="5103308"/>
          <a:ext cx="1557069" cy="435428"/>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B0E99537-036D-478C-868B-4D69149D3DF1}" type="TxLink">
            <a:rPr lang="en-US" sz="32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4.0</a:t>
          </a:fld>
          <a:endParaRPr lang="en-US" sz="32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1078181</xdr:colOff>
      <xdr:row>21</xdr:row>
      <xdr:rowOff>135684</xdr:rowOff>
    </xdr:from>
    <xdr:to>
      <xdr:col>5</xdr:col>
      <xdr:colOff>0</xdr:colOff>
      <xdr:row>23</xdr:row>
      <xdr:rowOff>186401</xdr:rowOff>
    </xdr:to>
    <xdr:sp macro="" textlink="Pivots!I7">
      <xdr:nvSpPr>
        <xdr:cNvPr id="9" name="TextBox 8">
          <a:extLst>
            <a:ext uri="{FF2B5EF4-FFF2-40B4-BE49-F238E27FC236}">
              <a16:creationId xmlns:a16="http://schemas.microsoft.com/office/drawing/2014/main" id="{00000000-0008-0000-0000-000009000000}"/>
            </a:ext>
          </a:extLst>
        </xdr:cNvPr>
        <xdr:cNvSpPr txBox="1"/>
      </xdr:nvSpPr>
      <xdr:spPr>
        <a:xfrm>
          <a:off x="1316306" y="4136184"/>
          <a:ext cx="1557069" cy="431717"/>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7457BCAF-1340-425A-A989-AC7BABFBE03A}" type="TxLink">
            <a:rPr lang="en-US" sz="3200" b="1" i="0" u="none" strike="noStrike">
              <a:gradFill>
                <a:gsLst>
                  <a:gs pos="97345">
                    <a:srgbClr val="FFFFCC"/>
                  </a:gs>
                  <a:gs pos="1770">
                    <a:srgbClr val="EDF20E"/>
                  </a:gs>
                  <a:gs pos="44000">
                    <a:srgbClr val="FFFFCC"/>
                  </a:gs>
                </a:gsLst>
                <a:lin ang="5400000" scaled="1"/>
              </a:gradFill>
              <a:effectLst>
                <a:outerShdw blurRad="50800" dist="38100" dir="2700000" algn="tl" rotWithShape="0">
                  <a:srgbClr val="FFFF00">
                    <a:alpha val="40000"/>
                  </a:srgbClr>
                </a:outerShdw>
              </a:effectLst>
              <a:latin typeface="Aptos Narrow"/>
              <a:ea typeface="+mn-ea"/>
              <a:cs typeface="+mn-cs"/>
            </a:rPr>
            <a:pPr marL="0" indent="0"/>
            <a:t>$649.0K</a:t>
          </a:fld>
          <a:endParaRPr lang="en-US" sz="3200" b="1" i="0" u="none" strike="noStrike">
            <a:gradFill>
              <a:gsLst>
                <a:gs pos="97345">
                  <a:srgbClr val="FFFFCC"/>
                </a:gs>
                <a:gs pos="1770">
                  <a:srgbClr val="EDF20E"/>
                </a:gs>
                <a:gs pos="44000">
                  <a:srgbClr val="FFFFCC"/>
                </a:gs>
              </a:gsLst>
              <a:lin ang="5400000" scaled="1"/>
            </a:gradFill>
            <a:effectLst>
              <a:outerShdw blurRad="50800" dist="38100" dir="2700000" algn="tl" rotWithShape="0">
                <a:srgbClr val="FFFF00">
                  <a:alpha val="40000"/>
                </a:srgbClr>
              </a:outerShdw>
            </a:effectLst>
            <a:latin typeface="Aptos Narrow"/>
            <a:ea typeface="+mn-ea"/>
            <a:cs typeface="+mn-cs"/>
          </a:endParaRPr>
        </a:p>
      </xdr:txBody>
    </xdr:sp>
    <xdr:clientData/>
  </xdr:twoCellAnchor>
  <xdr:twoCellAnchor>
    <xdr:from>
      <xdr:col>1</xdr:col>
      <xdr:colOff>1078181</xdr:colOff>
      <xdr:row>16</xdr:row>
      <xdr:rowOff>117350</xdr:rowOff>
    </xdr:from>
    <xdr:to>
      <xdr:col>5</xdr:col>
      <xdr:colOff>0</xdr:colOff>
      <xdr:row>18</xdr:row>
      <xdr:rowOff>171777</xdr:rowOff>
    </xdr:to>
    <xdr:sp macro="" textlink="Pivots!H7">
      <xdr:nvSpPr>
        <xdr:cNvPr id="10" name="TextBox 9">
          <a:extLst>
            <a:ext uri="{FF2B5EF4-FFF2-40B4-BE49-F238E27FC236}">
              <a16:creationId xmlns:a16="http://schemas.microsoft.com/office/drawing/2014/main" id="{00000000-0008-0000-0000-00000A000000}"/>
            </a:ext>
          </a:extLst>
        </xdr:cNvPr>
        <xdr:cNvSpPr txBox="1"/>
      </xdr:nvSpPr>
      <xdr:spPr>
        <a:xfrm>
          <a:off x="1316306" y="3165350"/>
          <a:ext cx="1557069" cy="435427"/>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fld id="{99C412FB-1B3C-475B-9CA6-EEB8CA9C96A3}" type="TxLink">
            <a:rPr lang="en-US" sz="32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11,997</a:t>
          </a:fld>
          <a:endParaRPr lang="en-US" sz="32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1078180</xdr:colOff>
      <xdr:row>29</xdr:row>
      <xdr:rowOff>154214</xdr:rowOff>
    </xdr:from>
    <xdr:to>
      <xdr:col>6</xdr:col>
      <xdr:colOff>408213</xdr:colOff>
      <xdr:row>32</xdr:row>
      <xdr:rowOff>11651</xdr:rowOff>
    </xdr:to>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1314037" y="5415643"/>
          <a:ext cx="2577605" cy="40172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r>
            <a:rPr lang="en-US" sz="20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📅Days to Deliver</a:t>
          </a:r>
        </a:p>
      </xdr:txBody>
    </xdr:sp>
    <xdr:clientData/>
  </xdr:twoCellAnchor>
  <xdr:twoCellAnchor>
    <xdr:from>
      <xdr:col>1</xdr:col>
      <xdr:colOff>1078180</xdr:colOff>
      <xdr:row>25</xdr:row>
      <xdr:rowOff>9072</xdr:rowOff>
    </xdr:from>
    <xdr:to>
      <xdr:col>6</xdr:col>
      <xdr:colOff>81641</xdr:colOff>
      <xdr:row>26</xdr:row>
      <xdr:rowOff>166499</xdr:rowOff>
    </xdr:to>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1314037" y="4544786"/>
          <a:ext cx="2251033" cy="33885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r>
            <a:rPr lang="en-US" sz="20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⭐Avg.Rating</a:t>
          </a:r>
        </a:p>
        <a:p>
          <a:pPr marL="0" indent="0"/>
          <a:endParaRPr lang="en-US" sz="20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1</xdr:col>
      <xdr:colOff>1078181</xdr:colOff>
      <xdr:row>19</xdr:row>
      <xdr:rowOff>169193</xdr:rowOff>
    </xdr:from>
    <xdr:to>
      <xdr:col>4</xdr:col>
      <xdr:colOff>552863</xdr:colOff>
      <xdr:row>21</xdr:row>
      <xdr:rowOff>151875</xdr:rowOff>
    </xdr:to>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1316306" y="3788693"/>
          <a:ext cx="1506682" cy="36368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r>
            <a:rPr lang="en-US" sz="20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💰Amount</a:t>
          </a:r>
        </a:p>
      </xdr:txBody>
    </xdr:sp>
    <xdr:clientData/>
  </xdr:twoCellAnchor>
  <xdr:twoCellAnchor>
    <xdr:from>
      <xdr:col>1</xdr:col>
      <xdr:colOff>1078181</xdr:colOff>
      <xdr:row>14</xdr:row>
      <xdr:rowOff>150860</xdr:rowOff>
    </xdr:from>
    <xdr:to>
      <xdr:col>4</xdr:col>
      <xdr:colOff>552863</xdr:colOff>
      <xdr:row>16</xdr:row>
      <xdr:rowOff>133541</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1316306" y="2817860"/>
          <a:ext cx="1506682" cy="36368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r>
            <a:rPr lang="en-US" sz="20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👕Quantity</a:t>
          </a:r>
        </a:p>
      </xdr:txBody>
    </xdr:sp>
    <xdr:clientData/>
  </xdr:twoCellAnchor>
  <xdr:twoCellAnchor>
    <xdr:from>
      <xdr:col>1</xdr:col>
      <xdr:colOff>1078181</xdr:colOff>
      <xdr:row>9</xdr:row>
      <xdr:rowOff>132525</xdr:rowOff>
    </xdr:from>
    <xdr:to>
      <xdr:col>4</xdr:col>
      <xdr:colOff>552863</xdr:colOff>
      <xdr:row>11</xdr:row>
      <xdr:rowOff>115206</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1316306" y="1847025"/>
          <a:ext cx="1506682" cy="36368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indent="0"/>
          <a:r>
            <a:rPr lang="en-US" sz="2000" b="1" i="0" u="none" strike="noStrike">
              <a:gradFill>
                <a:gsLst>
                  <a:gs pos="1770">
                    <a:schemeClr val="bg1"/>
                  </a:gs>
                  <a:gs pos="74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🛒Order</a:t>
          </a:r>
        </a:p>
      </xdr:txBody>
    </xdr:sp>
    <xdr:clientData/>
  </xdr:twoCellAnchor>
  <xdr:twoCellAnchor>
    <xdr:from>
      <xdr:col>8</xdr:col>
      <xdr:colOff>0</xdr:colOff>
      <xdr:row>1</xdr:row>
      <xdr:rowOff>127000</xdr:rowOff>
    </xdr:from>
    <xdr:to>
      <xdr:col>17</xdr:col>
      <xdr:colOff>613394</xdr:colOff>
      <xdr:row>27</xdr:row>
      <xdr:rowOff>127001</xdr:rowOff>
    </xdr:to>
    <xdr:graphicFrame macro="">
      <xdr:nvGraphicFramePr>
        <xdr:cNvPr id="26" name="Chart 25">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225320</xdr:colOff>
          <xdr:row>7</xdr:row>
          <xdr:rowOff>23959</xdr:rowOff>
        </xdr:from>
        <xdr:to>
          <xdr:col>30</xdr:col>
          <xdr:colOff>574755</xdr:colOff>
          <xdr:row>25</xdr:row>
          <xdr:rowOff>167779</xdr:rowOff>
        </xdr:to>
        <xdr:pic>
          <xdr:nvPicPr>
            <xdr:cNvPr id="28" name="Picture 27">
              <a:extLst>
                <a:ext uri="{FF2B5EF4-FFF2-40B4-BE49-F238E27FC236}">
                  <a16:creationId xmlns:a16="http://schemas.microsoft.com/office/drawing/2014/main" id="{00000000-0008-0000-0000-00001C000000}"/>
                </a:ext>
              </a:extLst>
            </xdr:cNvPr>
            <xdr:cNvPicPr>
              <a:picLocks noChangeAspect="1" noChangeArrowheads="1"/>
              <a:extLst>
                <a:ext uri="{84589F7E-364E-4C9E-8A38-B11213B215E9}">
                  <a14:cameraTool cellRange="Pivots_2!$H$6:$L$11" spid="_x0000_s1084"/>
                </a:ext>
              </a:extLst>
            </xdr:cNvPicPr>
          </xdr:nvPicPr>
          <xdr:blipFill>
            <a:blip xmlns:r="http://schemas.openxmlformats.org/officeDocument/2006/relationships" r:embed="rId3"/>
            <a:srcRect/>
            <a:stretch>
              <a:fillRect/>
            </a:stretch>
          </xdr:blipFill>
          <xdr:spPr bwMode="auto">
            <a:xfrm>
              <a:off x="11508782" y="1277677"/>
              <a:ext cx="6601742" cy="336766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32</xdr:col>
      <xdr:colOff>0</xdr:colOff>
      <xdr:row>2</xdr:row>
      <xdr:rowOff>96931</xdr:rowOff>
    </xdr:from>
    <xdr:to>
      <xdr:col>40</xdr:col>
      <xdr:colOff>0</xdr:colOff>
      <xdr:row>27</xdr:row>
      <xdr:rowOff>74706</xdr:rowOff>
    </xdr:to>
    <xdr:graphicFrame macro="">
      <xdr:nvGraphicFramePr>
        <xdr:cNvPr id="30" name="Chart 29">
          <a:extLst>
            <a:ext uri="{FF2B5EF4-FFF2-40B4-BE49-F238E27FC236}">
              <a16:creationId xmlns:a16="http://schemas.microsoft.com/office/drawing/2014/main" id="{00000000-0008-0000-00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92752</xdr:colOff>
      <xdr:row>30</xdr:row>
      <xdr:rowOff>0</xdr:rowOff>
    </xdr:from>
    <xdr:to>
      <xdr:col>16</xdr:col>
      <xdr:colOff>0</xdr:colOff>
      <xdr:row>61</xdr:row>
      <xdr:rowOff>95382</xdr:rowOff>
    </xdr:to>
    <xdr:graphicFrame macro="">
      <xdr:nvGraphicFramePr>
        <xdr:cNvPr id="19" name="Chart 18">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138544</xdr:colOff>
      <xdr:row>46</xdr:row>
      <xdr:rowOff>136173</xdr:rowOff>
    </xdr:from>
    <xdr:to>
      <xdr:col>13</xdr:col>
      <xdr:colOff>374377</xdr:colOff>
      <xdr:row>57</xdr:row>
      <xdr:rowOff>167070</xdr:rowOff>
    </xdr:to>
    <xdr:graphicFrame macro="">
      <xdr:nvGraphicFramePr>
        <xdr:cNvPr id="20" name="Chart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0</xdr:colOff>
      <xdr:row>29</xdr:row>
      <xdr:rowOff>156482</xdr:rowOff>
    </xdr:from>
    <xdr:to>
      <xdr:col>40</xdr:col>
      <xdr:colOff>-1</xdr:colOff>
      <xdr:row>44</xdr:row>
      <xdr:rowOff>127001</xdr:rowOff>
    </xdr:to>
    <xdr:graphicFrame macro="">
      <xdr:nvGraphicFramePr>
        <xdr:cNvPr id="21" name="Chart 20">
          <a:extLst>
            <a:ext uri="{FF2B5EF4-FFF2-40B4-BE49-F238E27FC236}">
              <a16:creationId xmlns:a16="http://schemas.microsoft.com/office/drawing/2014/main" id="{00000000-0008-0000-00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0</xdr:colOff>
      <xdr:row>46</xdr:row>
      <xdr:rowOff>18143</xdr:rowOff>
    </xdr:from>
    <xdr:to>
      <xdr:col>40</xdr:col>
      <xdr:colOff>0</xdr:colOff>
      <xdr:row>61</xdr:row>
      <xdr:rowOff>95249</xdr:rowOff>
    </xdr:to>
    <xdr:graphicFrame macro="">
      <xdr:nvGraphicFramePr>
        <xdr:cNvPr id="27" name="Chart 26">
          <a:extLst>
            <a:ext uri="{FF2B5EF4-FFF2-40B4-BE49-F238E27FC236}">
              <a16:creationId xmlns:a16="http://schemas.microsoft.com/office/drawing/2014/main" id="{00000000-0008-0000-00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224789</xdr:colOff>
      <xdr:row>37</xdr:row>
      <xdr:rowOff>82456</xdr:rowOff>
    </xdr:from>
    <xdr:to>
      <xdr:col>5</xdr:col>
      <xdr:colOff>539751</xdr:colOff>
      <xdr:row>46</xdr:row>
      <xdr:rowOff>142875</xdr:rowOff>
    </xdr:to>
    <mc:AlternateContent xmlns:mc="http://schemas.openxmlformats.org/markup-compatibility/2006" xmlns:a14="http://schemas.microsoft.com/office/drawing/2010/main">
      <mc:Choice Requires="a14">
        <xdr:graphicFrame macro="">
          <xdr:nvGraphicFramePr>
            <xdr:cNvPr id="31" name="Order Mode">
              <a:extLst>
                <a:ext uri="{FF2B5EF4-FFF2-40B4-BE49-F238E27FC236}">
                  <a16:creationId xmlns:a16="http://schemas.microsoft.com/office/drawing/2014/main" id="{00000000-0008-0000-0000-00001F00000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62914" y="7130956"/>
              <a:ext cx="2950212" cy="177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222250</xdr:colOff>
      <xdr:row>49</xdr:row>
      <xdr:rowOff>47820</xdr:rowOff>
    </xdr:from>
    <xdr:to>
      <xdr:col>5</xdr:col>
      <xdr:colOff>545291</xdr:colOff>
      <xdr:row>57</xdr:row>
      <xdr:rowOff>142876</xdr:rowOff>
    </xdr:to>
    <mc:AlternateContent xmlns:mc="http://schemas.openxmlformats.org/markup-compatibility/2006" xmlns:a14="http://schemas.microsoft.com/office/drawing/2010/main">
      <mc:Choice Requires="a14">
        <xdr:graphicFrame macro="">
          <xdr:nvGraphicFramePr>
            <xdr:cNvPr id="32" name="Gender Value">
              <a:extLst>
                <a:ext uri="{FF2B5EF4-FFF2-40B4-BE49-F238E27FC236}">
                  <a16:creationId xmlns:a16="http://schemas.microsoft.com/office/drawing/2014/main" id="{00000000-0008-0000-0000-00002000000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460375" y="9382320"/>
              <a:ext cx="2958291" cy="1619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201490</xdr:colOff>
      <xdr:row>2</xdr:row>
      <xdr:rowOff>112059</xdr:rowOff>
    </xdr:from>
    <xdr:to>
      <xdr:col>26</xdr:col>
      <xdr:colOff>354853</xdr:colOff>
      <xdr:row>5</xdr:row>
      <xdr:rowOff>51765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13573843" y="485588"/>
          <a:ext cx="2245128" cy="500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How they llike</a:t>
          </a:r>
          <a:r>
            <a:rPr lang="en-US" sz="1800" baseline="0"/>
            <a:t> to buy?</a:t>
          </a:r>
          <a:endParaRPr lang="en-US" sz="1800"/>
        </a:p>
      </xdr:txBody>
    </xdr:sp>
    <xdr:clientData/>
  </xdr:twoCellAnchor>
  <xdr:twoCellAnchor>
    <xdr:from>
      <xdr:col>17</xdr:col>
      <xdr:colOff>0</xdr:colOff>
      <xdr:row>29</xdr:row>
      <xdr:rowOff>94573</xdr:rowOff>
    </xdr:from>
    <xdr:to>
      <xdr:col>31</xdr:col>
      <xdr:colOff>182371</xdr:colOff>
      <xdr:row>61</xdr:row>
      <xdr:rowOff>30443</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3D829F86-9880-41E1-8500-F42326E2E8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185400" y="5434923"/>
              <a:ext cx="8342121" cy="58286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0</xdr:colOff>
      <xdr:row>36</xdr:row>
      <xdr:rowOff>0</xdr:rowOff>
    </xdr:from>
    <xdr:to>
      <xdr:col>30</xdr:col>
      <xdr:colOff>324413</xdr:colOff>
      <xdr:row>47</xdr:row>
      <xdr:rowOff>136457</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82246D6F-1C24-4962-9364-535E7F26B0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062200" y="6629400"/>
              <a:ext cx="2997763" cy="21621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 refreshedDate="46019.982037152775" createdVersion="5" refreshedVersion="5" minRefreshableVersion="3" recordCount="2400" xr:uid="{00000000-000A-0000-FFFF-FFFF00000000}">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5"/>
          <s v="Jan"/>
          <s v="Feb"/>
          <s v="Mar"/>
          <s v="Apr"/>
          <s v="May"/>
          <s v="Jun"/>
          <s v="Jul"/>
          <s v="Aug"/>
          <s v="Sep"/>
          <s v="Oct"/>
          <s v="Nov"/>
          <s v="Dec"/>
          <s v="&gt;30-03-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 refreshedDate="46021.788050694442" createdVersion="6" refreshedVersion="6" minRefreshableVersion="3" recordCount="2399" xr:uid="{00000000-000A-0000-FFFF-FFFF01000000}">
  <cacheSource type="worksheet">
    <worksheetSource ref="A1:O2400" sheet="Data"/>
  </cacheSource>
  <cacheFields count="15">
    <cacheField name="TX ID" numFmtId="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acheField>
    <cacheField name="Gender Valu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x v="0"/>
    <x v="0"/>
    <d v="2025-01-06T00:00:00"/>
    <s v=""/>
    <x v="0"/>
    <x v="0"/>
    <x v="0"/>
    <x v="0"/>
    <x v="0"/>
    <x v="0"/>
    <x v="0"/>
  </r>
  <r>
    <s v="TX500002"/>
    <x v="1"/>
    <x v="1"/>
    <n v="30.6"/>
    <x v="1"/>
    <x v="0"/>
    <d v="2025-01-03T00:00:00"/>
    <s v="M"/>
    <x v="0"/>
    <x v="0"/>
    <x v="0"/>
    <x v="1"/>
    <x v="1"/>
    <x v="0"/>
    <x v="1"/>
  </r>
  <r>
    <s v="TX500003"/>
    <x v="2"/>
    <x v="2"/>
    <n v="109.4"/>
    <x v="2"/>
    <x v="0"/>
    <d v="2025-01-04T00:00:00"/>
    <s v="F"/>
    <x v="0"/>
    <x v="1"/>
    <x v="0"/>
    <x v="2"/>
    <x v="2"/>
    <x v="0"/>
    <x v="2"/>
  </r>
  <r>
    <s v="TX500004"/>
    <x v="3"/>
    <x v="3"/>
    <n v="37.700000000000003"/>
    <x v="3"/>
    <x v="0"/>
    <d v="2025-01-02T00:00:00"/>
    <s v="F"/>
    <x v="0"/>
    <x v="0"/>
    <x v="0"/>
    <x v="2"/>
    <x v="3"/>
    <x v="0"/>
    <x v="2"/>
  </r>
  <r>
    <s v="TX500005"/>
    <x v="4"/>
    <x v="2"/>
    <n v="56.7"/>
    <x v="4"/>
    <x v="0"/>
    <d v="2025-01-04T00:00:00"/>
    <s v="F"/>
    <x v="0"/>
    <x v="2"/>
    <x v="0"/>
    <x v="3"/>
    <x v="2"/>
    <x v="0"/>
    <x v="2"/>
  </r>
  <r>
    <s v="TX500006"/>
    <x v="1"/>
    <x v="4"/>
    <n v="83.5"/>
    <x v="5"/>
    <x v="0"/>
    <d v="2025-01-04T00:00:00"/>
    <s v="M"/>
    <x v="1"/>
    <x v="0"/>
    <x v="0"/>
    <x v="3"/>
    <x v="2"/>
    <x v="0"/>
    <x v="1"/>
  </r>
  <r>
    <s v="TX500007"/>
    <x v="5"/>
    <x v="0"/>
    <n v="55.3"/>
    <x v="6"/>
    <x v="0"/>
    <d v="2025-01-02T00:00:00"/>
    <s v="F"/>
    <x v="0"/>
    <x v="0"/>
    <x v="0"/>
    <x v="3"/>
    <x v="3"/>
    <x v="0"/>
    <x v="2"/>
  </r>
  <r>
    <s v="TX500008"/>
    <x v="6"/>
    <x v="1"/>
    <n v="40.299999999999997"/>
    <x v="7"/>
    <x v="0"/>
    <d v="2025-01-02T00:00:00"/>
    <s v="M"/>
    <x v="2"/>
    <x v="2"/>
    <x v="0"/>
    <x v="3"/>
    <x v="3"/>
    <x v="0"/>
    <x v="1"/>
  </r>
  <r>
    <s v="TX500009"/>
    <x v="7"/>
    <x v="5"/>
    <n v="35.700000000000003"/>
    <x v="8"/>
    <x v="0"/>
    <d v="2025-01-02T00:00:00"/>
    <s v="F"/>
    <x v="0"/>
    <x v="0"/>
    <x v="0"/>
    <x v="3"/>
    <x v="3"/>
    <x v="0"/>
    <x v="2"/>
  </r>
  <r>
    <s v="TX500010"/>
    <x v="8"/>
    <x v="3"/>
    <n v="22.4"/>
    <x v="9"/>
    <x v="0"/>
    <d v="2025-01-04T00:00:00"/>
    <s v="M"/>
    <x v="0"/>
    <x v="1"/>
    <x v="0"/>
    <x v="3"/>
    <x v="2"/>
    <x v="0"/>
    <x v="1"/>
  </r>
  <r>
    <s v="TX500011"/>
    <x v="9"/>
    <x v="1"/>
    <n v="54.4"/>
    <x v="10"/>
    <x v="0"/>
    <d v="2025-01-07T00:00:00"/>
    <s v="F"/>
    <x v="0"/>
    <x v="0"/>
    <x v="0"/>
    <x v="3"/>
    <x v="4"/>
    <x v="0"/>
    <x v="2"/>
  </r>
  <r>
    <s v="TX500012"/>
    <x v="9"/>
    <x v="1"/>
    <n v="49"/>
    <x v="11"/>
    <x v="0"/>
    <d v="2025-01-03T00:00:00"/>
    <s v="F"/>
    <x v="2"/>
    <x v="1"/>
    <x v="0"/>
    <x v="3"/>
    <x v="1"/>
    <x v="0"/>
    <x v="2"/>
  </r>
  <r>
    <s v="TX500013"/>
    <x v="5"/>
    <x v="3"/>
    <n v="118.6"/>
    <x v="12"/>
    <x v="0"/>
    <d v="2025-01-05T00:00:00"/>
    <s v="F"/>
    <x v="1"/>
    <x v="0"/>
    <x v="0"/>
    <x v="4"/>
    <x v="5"/>
    <x v="0"/>
    <x v="2"/>
  </r>
  <r>
    <s v="TX500014"/>
    <x v="6"/>
    <x v="6"/>
    <n v="88.4"/>
    <x v="13"/>
    <x v="0"/>
    <d v="2025-01-08T00:00:00"/>
    <s v="M"/>
    <x v="3"/>
    <x v="0"/>
    <x v="0"/>
    <x v="5"/>
    <x v="6"/>
    <x v="0"/>
    <x v="1"/>
  </r>
  <r>
    <s v="TX500015"/>
    <x v="10"/>
    <x v="0"/>
    <n v="66.7"/>
    <x v="14"/>
    <x v="0"/>
    <d v="2025-01-04T00:00:00"/>
    <s v="M"/>
    <x v="0"/>
    <x v="0"/>
    <x v="0"/>
    <x v="6"/>
    <x v="2"/>
    <x v="0"/>
    <x v="1"/>
  </r>
  <r>
    <s v="TX500016"/>
    <x v="9"/>
    <x v="7"/>
    <n v="30.9"/>
    <x v="15"/>
    <x v="0"/>
    <d v="2025-01-02T00:00:00"/>
    <s v="M"/>
    <x v="1"/>
    <x v="2"/>
    <x v="0"/>
    <x v="6"/>
    <x v="3"/>
    <x v="0"/>
    <x v="1"/>
  </r>
  <r>
    <s v="TX500017"/>
    <x v="4"/>
    <x v="2"/>
    <n v="31.1"/>
    <x v="16"/>
    <x v="0"/>
    <d v="2025-01-02T00:00:00"/>
    <s v="F"/>
    <x v="0"/>
    <x v="1"/>
    <x v="0"/>
    <x v="6"/>
    <x v="3"/>
    <x v="0"/>
    <x v="2"/>
  </r>
  <r>
    <s v="TX500018"/>
    <x v="7"/>
    <x v="2"/>
    <n v="36.6"/>
    <x v="17"/>
    <x v="0"/>
    <d v="2025-01-04T00:00:00"/>
    <s v="F"/>
    <x v="0"/>
    <x v="0"/>
    <x v="0"/>
    <x v="7"/>
    <x v="2"/>
    <x v="0"/>
    <x v="2"/>
  </r>
  <r>
    <s v="TX500019"/>
    <x v="6"/>
    <x v="8"/>
    <n v="51.1"/>
    <x v="18"/>
    <x v="0"/>
    <d v="2025-01-04T00:00:00"/>
    <s v="F"/>
    <x v="2"/>
    <x v="3"/>
    <x v="0"/>
    <x v="7"/>
    <x v="2"/>
    <x v="0"/>
    <x v="2"/>
  </r>
  <r>
    <s v="TX500020"/>
    <x v="9"/>
    <x v="0"/>
    <n v="25.2"/>
    <x v="19"/>
    <x v="0"/>
    <d v="2025-01-02T00:00:00"/>
    <s v="F"/>
    <x v="1"/>
    <x v="2"/>
    <x v="0"/>
    <x v="8"/>
    <x v="3"/>
    <x v="0"/>
    <x v="2"/>
  </r>
  <r>
    <s v="TX500021"/>
    <x v="9"/>
    <x v="9"/>
    <n v="43.8"/>
    <x v="20"/>
    <x v="0"/>
    <d v="2025-01-04T00:00:00"/>
    <s v="F"/>
    <x v="2"/>
    <x v="0"/>
    <x v="0"/>
    <x v="8"/>
    <x v="2"/>
    <x v="0"/>
    <x v="2"/>
  </r>
  <r>
    <s v="TX500022"/>
    <x v="8"/>
    <x v="4"/>
    <n v="46.7"/>
    <x v="21"/>
    <x v="0"/>
    <d v="2025-01-02T00:00:00"/>
    <s v="F"/>
    <x v="1"/>
    <x v="1"/>
    <x v="0"/>
    <x v="8"/>
    <x v="3"/>
    <x v="0"/>
    <x v="2"/>
  </r>
  <r>
    <s v="TX500023"/>
    <x v="3"/>
    <x v="10"/>
    <n v="79.900000000000006"/>
    <x v="22"/>
    <x v="0"/>
    <d v="2025-01-02T00:00:00"/>
    <s v="M"/>
    <x v="0"/>
    <x v="2"/>
    <x v="0"/>
    <x v="8"/>
    <x v="3"/>
    <x v="0"/>
    <x v="1"/>
  </r>
  <r>
    <s v="TX500024"/>
    <x v="11"/>
    <x v="8"/>
    <n v="26.4"/>
    <x v="23"/>
    <x v="0"/>
    <d v="2025-01-02T00:00:00"/>
    <s v="F"/>
    <x v="3"/>
    <x v="0"/>
    <x v="0"/>
    <x v="8"/>
    <x v="3"/>
    <x v="0"/>
    <x v="2"/>
  </r>
  <r>
    <s v="TX500025"/>
    <x v="12"/>
    <x v="8"/>
    <n v="88.8"/>
    <x v="24"/>
    <x v="0"/>
    <d v="2025-01-02T00:00:00"/>
    <s v="F"/>
    <x v="4"/>
    <x v="0"/>
    <x v="0"/>
    <x v="8"/>
    <x v="3"/>
    <x v="0"/>
    <x v="2"/>
  </r>
  <r>
    <s v="TX500026"/>
    <x v="0"/>
    <x v="7"/>
    <n v="17.5"/>
    <x v="25"/>
    <x v="0"/>
    <d v="2025-01-02T00:00:00"/>
    <s v="F"/>
    <x v="2"/>
    <x v="0"/>
    <x v="0"/>
    <x v="9"/>
    <x v="3"/>
    <x v="0"/>
    <x v="2"/>
  </r>
  <r>
    <s v="TX500027"/>
    <x v="1"/>
    <x v="11"/>
    <n v="38.700000000000003"/>
    <x v="26"/>
    <x v="0"/>
    <d v="2025-01-04T00:00:00"/>
    <s v="M"/>
    <x v="1"/>
    <x v="0"/>
    <x v="0"/>
    <x v="10"/>
    <x v="2"/>
    <x v="0"/>
    <x v="1"/>
  </r>
  <r>
    <s v="TX500028"/>
    <x v="13"/>
    <x v="12"/>
    <n v="57.2"/>
    <x v="27"/>
    <x v="0"/>
    <d v="2025-01-03T00:00:00"/>
    <s v=""/>
    <x v="1"/>
    <x v="2"/>
    <x v="0"/>
    <x v="11"/>
    <x v="1"/>
    <x v="0"/>
    <x v="0"/>
  </r>
  <r>
    <s v="TX500029"/>
    <x v="6"/>
    <x v="9"/>
    <n v="50.9"/>
    <x v="28"/>
    <x v="0"/>
    <d v="2025-01-07T00:00:00"/>
    <s v=""/>
    <x v="1"/>
    <x v="2"/>
    <x v="0"/>
    <x v="12"/>
    <x v="4"/>
    <x v="0"/>
    <x v="0"/>
  </r>
  <r>
    <s v="TX500030"/>
    <x v="14"/>
    <x v="3"/>
    <n v="41"/>
    <x v="29"/>
    <x v="0"/>
    <d v="2025-01-05T00:00:00"/>
    <s v="F"/>
    <x v="1"/>
    <x v="0"/>
    <x v="0"/>
    <x v="13"/>
    <x v="5"/>
    <x v="0"/>
    <x v="2"/>
  </r>
  <r>
    <s v="TX500031"/>
    <x v="8"/>
    <x v="3"/>
    <n v="19.100000000000001"/>
    <x v="30"/>
    <x v="0"/>
    <d v="2025-01-05T00:00:00"/>
    <s v="M"/>
    <x v="0"/>
    <x v="2"/>
    <x v="0"/>
    <x v="14"/>
    <x v="5"/>
    <x v="0"/>
    <x v="1"/>
  </r>
  <r>
    <s v="TX500032"/>
    <x v="2"/>
    <x v="9"/>
    <n v="166.1"/>
    <x v="31"/>
    <x v="0"/>
    <d v="2025-01-04T00:00:00"/>
    <s v="M"/>
    <x v="0"/>
    <x v="0"/>
    <x v="0"/>
    <x v="15"/>
    <x v="2"/>
    <x v="0"/>
    <x v="1"/>
  </r>
  <r>
    <s v="TX500033"/>
    <x v="4"/>
    <x v="2"/>
    <n v="29.9"/>
    <x v="32"/>
    <x v="0"/>
    <d v="2025-01-02T00:00:00"/>
    <s v="M"/>
    <x v="3"/>
    <x v="0"/>
    <x v="0"/>
    <x v="3"/>
    <x v="3"/>
    <x v="0"/>
    <x v="1"/>
  </r>
  <r>
    <s v="TX500034"/>
    <x v="10"/>
    <x v="13"/>
    <n v="21.7"/>
    <x v="33"/>
    <x v="0"/>
    <d v="2025-01-03T00:00:00"/>
    <s v="O"/>
    <x v="2"/>
    <x v="2"/>
    <x v="0"/>
    <x v="3"/>
    <x v="1"/>
    <x v="0"/>
    <x v="3"/>
  </r>
  <r>
    <s v="TX500035"/>
    <x v="11"/>
    <x v="1"/>
    <n v="32"/>
    <x v="34"/>
    <x v="0"/>
    <d v="2025-01-04T00:00:00"/>
    <s v="M"/>
    <x v="0"/>
    <x v="2"/>
    <x v="0"/>
    <x v="3"/>
    <x v="2"/>
    <x v="0"/>
    <x v="1"/>
  </r>
  <r>
    <s v="TX500036"/>
    <x v="8"/>
    <x v="1"/>
    <n v="15.8"/>
    <x v="35"/>
    <x v="0"/>
    <d v="2025-01-02T00:00:00"/>
    <s v="M"/>
    <x v="4"/>
    <x v="2"/>
    <x v="0"/>
    <x v="3"/>
    <x v="3"/>
    <x v="0"/>
    <x v="1"/>
  </r>
  <r>
    <s v="TX500037"/>
    <x v="2"/>
    <x v="14"/>
    <n v="203.1"/>
    <x v="36"/>
    <x v="0"/>
    <d v="2025-01-05T00:00:00"/>
    <s v="M"/>
    <x v="3"/>
    <x v="1"/>
    <x v="0"/>
    <x v="3"/>
    <x v="5"/>
    <x v="0"/>
    <x v="1"/>
  </r>
  <r>
    <s v="TX500038"/>
    <x v="7"/>
    <x v="15"/>
    <n v="39"/>
    <x v="37"/>
    <x v="0"/>
    <d v="2025-01-07T00:00:00"/>
    <s v="M"/>
    <x v="0"/>
    <x v="2"/>
    <x v="0"/>
    <x v="3"/>
    <x v="4"/>
    <x v="0"/>
    <x v="1"/>
  </r>
  <r>
    <s v="TX500039"/>
    <x v="10"/>
    <x v="0"/>
    <n v="26.5"/>
    <x v="38"/>
    <x v="1"/>
    <d v="2025-01-03T00:00:00"/>
    <s v="M"/>
    <x v="2"/>
    <x v="0"/>
    <x v="0"/>
    <x v="3"/>
    <x v="3"/>
    <x v="0"/>
    <x v="1"/>
  </r>
  <r>
    <s v="TX500040"/>
    <x v="5"/>
    <x v="0"/>
    <n v="43.1"/>
    <x v="39"/>
    <x v="1"/>
    <d v="2025-01-03T00:00:00"/>
    <s v="F"/>
    <x v="2"/>
    <x v="1"/>
    <x v="0"/>
    <x v="3"/>
    <x v="3"/>
    <x v="0"/>
    <x v="2"/>
  </r>
  <r>
    <s v="TX500041"/>
    <x v="1"/>
    <x v="2"/>
    <n v="139"/>
    <x v="40"/>
    <x v="1"/>
    <d v="2025-01-03T00:00:00"/>
    <s v="F"/>
    <x v="4"/>
    <x v="2"/>
    <x v="0"/>
    <x v="3"/>
    <x v="3"/>
    <x v="0"/>
    <x v="2"/>
  </r>
  <r>
    <s v="TX500042"/>
    <x v="12"/>
    <x v="0"/>
    <n v="80.7"/>
    <x v="41"/>
    <x v="1"/>
    <d v="2025-01-03T00:00:00"/>
    <s v="M"/>
    <x v="0"/>
    <x v="2"/>
    <x v="0"/>
    <x v="16"/>
    <x v="3"/>
    <x v="0"/>
    <x v="1"/>
  </r>
  <r>
    <s v="TX500043"/>
    <x v="4"/>
    <x v="1"/>
    <n v="54.5"/>
    <x v="42"/>
    <x v="1"/>
    <d v="2025-01-04T00:00:00"/>
    <s v="M"/>
    <x v="1"/>
    <x v="1"/>
    <x v="0"/>
    <x v="6"/>
    <x v="1"/>
    <x v="0"/>
    <x v="1"/>
  </r>
  <r>
    <s v="TX500044"/>
    <x v="6"/>
    <x v="2"/>
    <n v="68.599999999999994"/>
    <x v="43"/>
    <x v="1"/>
    <d v="2025-01-02T00:00:00"/>
    <s v="F"/>
    <x v="0"/>
    <x v="1"/>
    <x v="0"/>
    <x v="8"/>
    <x v="7"/>
    <x v="0"/>
    <x v="2"/>
  </r>
  <r>
    <s v="TX500045"/>
    <x v="2"/>
    <x v="12"/>
    <n v="135.9"/>
    <x v="44"/>
    <x v="1"/>
    <d v="2025-01-03T00:00:00"/>
    <s v="F"/>
    <x v="2"/>
    <x v="2"/>
    <x v="0"/>
    <x v="8"/>
    <x v="3"/>
    <x v="0"/>
    <x v="2"/>
  </r>
  <r>
    <s v="TX500046"/>
    <x v="2"/>
    <x v="12"/>
    <n v="70.900000000000006"/>
    <x v="45"/>
    <x v="1"/>
    <d v="2025-01-03T00:00:00"/>
    <s v="F"/>
    <x v="0"/>
    <x v="0"/>
    <x v="0"/>
    <x v="17"/>
    <x v="3"/>
    <x v="0"/>
    <x v="2"/>
  </r>
  <r>
    <s v="TX500047"/>
    <x v="1"/>
    <x v="9"/>
    <n v="63.7"/>
    <x v="46"/>
    <x v="1"/>
    <d v="2025-01-03T00:00:00"/>
    <s v="M"/>
    <x v="1"/>
    <x v="1"/>
    <x v="0"/>
    <x v="9"/>
    <x v="3"/>
    <x v="0"/>
    <x v="1"/>
  </r>
  <r>
    <s v="TX500048"/>
    <x v="13"/>
    <x v="0"/>
    <n v="29.7"/>
    <x v="47"/>
    <x v="1"/>
    <d v="2025-01-04T00:00:00"/>
    <s v="F"/>
    <x v="1"/>
    <x v="0"/>
    <x v="0"/>
    <x v="11"/>
    <x v="1"/>
    <x v="0"/>
    <x v="2"/>
  </r>
  <r>
    <s v="TX500049"/>
    <x v="4"/>
    <x v="2"/>
    <n v="26.8"/>
    <x v="48"/>
    <x v="1"/>
    <d v="2025-01-11T00:00:00"/>
    <s v="F"/>
    <x v="1"/>
    <x v="2"/>
    <x v="0"/>
    <x v="11"/>
    <x v="8"/>
    <x v="0"/>
    <x v="2"/>
  </r>
  <r>
    <s v="TX500050"/>
    <x v="14"/>
    <x v="0"/>
    <n v="27"/>
    <x v="49"/>
    <x v="1"/>
    <d v="2025-01-04T00:00:00"/>
    <s v="F"/>
    <x v="0"/>
    <x v="0"/>
    <x v="0"/>
    <x v="18"/>
    <x v="1"/>
    <x v="0"/>
    <x v="2"/>
  </r>
  <r>
    <s v="TX500051"/>
    <x v="8"/>
    <x v="0"/>
    <n v="41.4"/>
    <x v="50"/>
    <x v="1"/>
    <d v="2025-01-03T00:00:00"/>
    <s v="M"/>
    <x v="1"/>
    <x v="2"/>
    <x v="0"/>
    <x v="19"/>
    <x v="3"/>
    <x v="0"/>
    <x v="1"/>
  </r>
  <r>
    <s v="TX500052"/>
    <x v="8"/>
    <x v="1"/>
    <n v="24.3"/>
    <x v="51"/>
    <x v="1"/>
    <d v="2025-01-05T00:00:00"/>
    <s v="F"/>
    <x v="1"/>
    <x v="0"/>
    <x v="0"/>
    <x v="19"/>
    <x v="2"/>
    <x v="0"/>
    <x v="2"/>
  </r>
  <r>
    <s v="TX500053"/>
    <x v="8"/>
    <x v="2"/>
    <n v="41.7"/>
    <x v="52"/>
    <x v="1"/>
    <d v="2025-01-04T00:00:00"/>
    <s v="M"/>
    <x v="0"/>
    <x v="2"/>
    <x v="0"/>
    <x v="20"/>
    <x v="1"/>
    <x v="0"/>
    <x v="1"/>
  </r>
  <r>
    <s v="TX500054"/>
    <x v="0"/>
    <x v="1"/>
    <n v="18"/>
    <x v="53"/>
    <x v="1"/>
    <d v="2025-01-03T00:00:00"/>
    <s v="F"/>
    <x v="0"/>
    <x v="2"/>
    <x v="0"/>
    <x v="21"/>
    <x v="3"/>
    <x v="0"/>
    <x v="2"/>
  </r>
  <r>
    <s v="TX500055"/>
    <x v="7"/>
    <x v="2"/>
    <n v="91.3"/>
    <x v="54"/>
    <x v="1"/>
    <d v="2025-01-05T00:00:00"/>
    <s v="M"/>
    <x v="2"/>
    <x v="2"/>
    <x v="0"/>
    <x v="3"/>
    <x v="2"/>
    <x v="0"/>
    <x v="1"/>
  </r>
  <r>
    <s v="TX500056"/>
    <x v="8"/>
    <x v="8"/>
    <n v="19.3"/>
    <x v="55"/>
    <x v="1"/>
    <d v="2025-01-03T00:00:00"/>
    <s v="M"/>
    <x v="0"/>
    <x v="0"/>
    <x v="0"/>
    <x v="3"/>
    <x v="3"/>
    <x v="0"/>
    <x v="1"/>
  </r>
  <r>
    <s v="TX500057"/>
    <x v="12"/>
    <x v="15"/>
    <n v="63.2"/>
    <x v="56"/>
    <x v="1"/>
    <d v="2025-01-03T00:00:00"/>
    <s v="F"/>
    <x v="0"/>
    <x v="0"/>
    <x v="0"/>
    <x v="3"/>
    <x v="3"/>
    <x v="0"/>
    <x v="2"/>
  </r>
  <r>
    <s v="TX500058"/>
    <x v="10"/>
    <x v="11"/>
    <n v="33.299999999999997"/>
    <x v="57"/>
    <x v="2"/>
    <d v="2025-01-11T00:00:00"/>
    <s v="F"/>
    <x v="0"/>
    <x v="2"/>
    <x v="0"/>
    <x v="3"/>
    <x v="9"/>
    <x v="0"/>
    <x v="2"/>
  </r>
  <r>
    <s v="TX500059"/>
    <x v="7"/>
    <x v="1"/>
    <n v="64.2"/>
    <x v="58"/>
    <x v="2"/>
    <d v="2025-01-04T00:00:00"/>
    <s v="M"/>
    <x v="0"/>
    <x v="2"/>
    <x v="0"/>
    <x v="3"/>
    <x v="3"/>
    <x v="0"/>
    <x v="1"/>
  </r>
  <r>
    <s v="TX500060"/>
    <x v="9"/>
    <x v="2"/>
    <n v="23.1"/>
    <x v="59"/>
    <x v="2"/>
    <d v="2025-01-06T00:00:00"/>
    <s v="F"/>
    <x v="1"/>
    <x v="2"/>
    <x v="0"/>
    <x v="3"/>
    <x v="2"/>
    <x v="0"/>
    <x v="2"/>
  </r>
  <r>
    <s v="TX500061"/>
    <x v="15"/>
    <x v="1"/>
    <n v="71.099999999999994"/>
    <x v="60"/>
    <x v="2"/>
    <d v="2025-01-05T00:00:00"/>
    <s v="F"/>
    <x v="3"/>
    <x v="1"/>
    <x v="0"/>
    <x v="3"/>
    <x v="1"/>
    <x v="0"/>
    <x v="2"/>
  </r>
  <r>
    <s v="TX500062"/>
    <x v="0"/>
    <x v="1"/>
    <n v="11.5"/>
    <x v="61"/>
    <x v="2"/>
    <d v="2025-01-04T00:00:00"/>
    <s v="F"/>
    <x v="0"/>
    <x v="0"/>
    <x v="0"/>
    <x v="3"/>
    <x v="3"/>
    <x v="0"/>
    <x v="2"/>
  </r>
  <r>
    <s v="TX500063"/>
    <x v="15"/>
    <x v="10"/>
    <n v="69.2"/>
    <x v="62"/>
    <x v="2"/>
    <d v="2025-01-08T00:00:00"/>
    <s v="F"/>
    <x v="0"/>
    <x v="0"/>
    <x v="0"/>
    <x v="3"/>
    <x v="0"/>
    <x v="0"/>
    <x v="2"/>
  </r>
  <r>
    <s v="TX500064"/>
    <x v="0"/>
    <x v="0"/>
    <n v="26.8"/>
    <x v="63"/>
    <x v="2"/>
    <d v="2025-01-04T00:00:00"/>
    <s v="M"/>
    <x v="2"/>
    <x v="4"/>
    <x v="0"/>
    <x v="3"/>
    <x v="3"/>
    <x v="0"/>
    <x v="1"/>
  </r>
  <r>
    <s v="TX500065"/>
    <x v="16"/>
    <x v="2"/>
    <n v="31.2"/>
    <x v="64"/>
    <x v="2"/>
    <d v="2025-01-06T00:00:00"/>
    <s v="F"/>
    <x v="0"/>
    <x v="0"/>
    <x v="0"/>
    <x v="3"/>
    <x v="2"/>
    <x v="0"/>
    <x v="2"/>
  </r>
  <r>
    <s v="TX500066"/>
    <x v="12"/>
    <x v="1"/>
    <n v="113.2"/>
    <x v="65"/>
    <x v="2"/>
    <d v="2025-01-04T00:00:00"/>
    <s v="F"/>
    <x v="4"/>
    <x v="0"/>
    <x v="0"/>
    <x v="3"/>
    <x v="3"/>
    <x v="0"/>
    <x v="2"/>
  </r>
  <r>
    <s v="TX500067"/>
    <x v="10"/>
    <x v="8"/>
    <n v="21"/>
    <x v="66"/>
    <x v="2"/>
    <d v="2025-01-04T00:00:00"/>
    <s v="M"/>
    <x v="0"/>
    <x v="0"/>
    <x v="0"/>
    <x v="6"/>
    <x v="3"/>
    <x v="0"/>
    <x v="1"/>
  </r>
  <r>
    <s v="TX500068"/>
    <x v="1"/>
    <x v="1"/>
    <n v="89.1"/>
    <x v="67"/>
    <x v="2"/>
    <d v="2025-01-04T00:00:00"/>
    <s v="F"/>
    <x v="2"/>
    <x v="2"/>
    <x v="0"/>
    <x v="6"/>
    <x v="3"/>
    <x v="0"/>
    <x v="2"/>
  </r>
  <r>
    <s v="TX500069"/>
    <x v="1"/>
    <x v="0"/>
    <n v="97.7"/>
    <x v="68"/>
    <x v="2"/>
    <d v="2025-01-05T00:00:00"/>
    <s v="F"/>
    <x v="0"/>
    <x v="1"/>
    <x v="0"/>
    <x v="6"/>
    <x v="1"/>
    <x v="0"/>
    <x v="2"/>
  </r>
  <r>
    <s v="TX500070"/>
    <x v="15"/>
    <x v="12"/>
    <n v="97.7"/>
    <x v="69"/>
    <x v="2"/>
    <d v="2025-01-05T00:00:00"/>
    <s v="M"/>
    <x v="3"/>
    <x v="0"/>
    <x v="0"/>
    <x v="6"/>
    <x v="1"/>
    <x v="0"/>
    <x v="1"/>
  </r>
  <r>
    <s v="TX500071"/>
    <x v="17"/>
    <x v="2"/>
    <n v="47.4"/>
    <x v="60"/>
    <x v="2"/>
    <d v="2025-01-06T00:00:00"/>
    <s v="M"/>
    <x v="3"/>
    <x v="2"/>
    <x v="0"/>
    <x v="8"/>
    <x v="2"/>
    <x v="0"/>
    <x v="1"/>
  </r>
  <r>
    <s v="TX500072"/>
    <x v="7"/>
    <x v="0"/>
    <n v="89.6"/>
    <x v="70"/>
    <x v="2"/>
    <d v="2025-01-06T00:00:00"/>
    <s v="F"/>
    <x v="0"/>
    <x v="2"/>
    <x v="0"/>
    <x v="8"/>
    <x v="2"/>
    <x v="0"/>
    <x v="2"/>
  </r>
  <r>
    <s v="TX500073"/>
    <x v="10"/>
    <x v="16"/>
    <n v="28.4"/>
    <x v="71"/>
    <x v="2"/>
    <d v="2025-01-06T00:00:00"/>
    <s v="F"/>
    <x v="3"/>
    <x v="2"/>
    <x v="0"/>
    <x v="17"/>
    <x v="2"/>
    <x v="0"/>
    <x v="2"/>
  </r>
  <r>
    <s v="TX500074"/>
    <x v="0"/>
    <x v="1"/>
    <n v="17.899999999999999"/>
    <x v="72"/>
    <x v="2"/>
    <d v="2025-01-04T00:00:00"/>
    <s v="F"/>
    <x v="0"/>
    <x v="2"/>
    <x v="0"/>
    <x v="9"/>
    <x v="3"/>
    <x v="0"/>
    <x v="2"/>
  </r>
  <r>
    <s v="TX500075"/>
    <x v="9"/>
    <x v="1"/>
    <n v="48.4"/>
    <x v="73"/>
    <x v="2"/>
    <d v="2025-01-06T00:00:00"/>
    <s v="M"/>
    <x v="1"/>
    <x v="0"/>
    <x v="0"/>
    <x v="9"/>
    <x v="2"/>
    <x v="0"/>
    <x v="1"/>
  </r>
  <r>
    <s v="TX500076"/>
    <x v="12"/>
    <x v="12"/>
    <n v="44.4"/>
    <x v="74"/>
    <x v="2"/>
    <d v="2025-01-04T00:00:00"/>
    <s v="O"/>
    <x v="1"/>
    <x v="1"/>
    <x v="0"/>
    <x v="11"/>
    <x v="3"/>
    <x v="0"/>
    <x v="3"/>
  </r>
  <r>
    <s v="TX500077"/>
    <x v="2"/>
    <x v="8"/>
    <n v="103.7"/>
    <x v="75"/>
    <x v="2"/>
    <d v="2025-01-04T00:00:00"/>
    <s v="F"/>
    <x v="0"/>
    <x v="1"/>
    <x v="0"/>
    <x v="19"/>
    <x v="3"/>
    <x v="0"/>
    <x v="2"/>
  </r>
  <r>
    <s v="TX500078"/>
    <x v="5"/>
    <x v="12"/>
    <n v="58.6"/>
    <x v="76"/>
    <x v="2"/>
    <d v="2025-01-05T00:00:00"/>
    <s v="M"/>
    <x v="3"/>
    <x v="0"/>
    <x v="0"/>
    <x v="19"/>
    <x v="1"/>
    <x v="0"/>
    <x v="1"/>
  </r>
  <r>
    <s v="TX500079"/>
    <x v="9"/>
    <x v="12"/>
    <n v="54.8"/>
    <x v="77"/>
    <x v="2"/>
    <d v="2025-01-07T00:00:00"/>
    <s v="F"/>
    <x v="2"/>
    <x v="1"/>
    <x v="0"/>
    <x v="13"/>
    <x v="5"/>
    <x v="0"/>
    <x v="2"/>
  </r>
  <r>
    <s v="TX500080"/>
    <x v="12"/>
    <x v="2"/>
    <n v="78.8"/>
    <x v="78"/>
    <x v="2"/>
    <d v="2025-01-09T00:00:00"/>
    <s v="F"/>
    <x v="4"/>
    <x v="1"/>
    <x v="0"/>
    <x v="21"/>
    <x v="4"/>
    <x v="0"/>
    <x v="2"/>
  </r>
  <r>
    <s v="TX500081"/>
    <x v="18"/>
    <x v="9"/>
    <n v="36.799999999999997"/>
    <x v="79"/>
    <x v="2"/>
    <d v="2025-01-06T00:00:00"/>
    <s v="M"/>
    <x v="4"/>
    <x v="1"/>
    <x v="0"/>
    <x v="22"/>
    <x v="2"/>
    <x v="0"/>
    <x v="1"/>
  </r>
  <r>
    <s v="TX500082"/>
    <x v="6"/>
    <x v="13"/>
    <n v="50.6"/>
    <x v="80"/>
    <x v="2"/>
    <d v="2025-01-05T00:00:00"/>
    <s v="F"/>
    <x v="3"/>
    <x v="0"/>
    <x v="0"/>
    <x v="3"/>
    <x v="1"/>
    <x v="0"/>
    <x v="2"/>
  </r>
  <r>
    <s v="TX500083"/>
    <x v="15"/>
    <x v="2"/>
    <n v="36.799999999999997"/>
    <x v="81"/>
    <x v="2"/>
    <d v="2025-01-03T00:00:00"/>
    <s v="M"/>
    <x v="2"/>
    <x v="1"/>
    <x v="0"/>
    <x v="3"/>
    <x v="7"/>
    <x v="0"/>
    <x v="1"/>
  </r>
  <r>
    <s v="TX500084"/>
    <x v="8"/>
    <x v="11"/>
    <n v="41.8"/>
    <x v="82"/>
    <x v="3"/>
    <d v="2025-01-10T00:00:00"/>
    <s v="F"/>
    <x v="3"/>
    <x v="0"/>
    <x v="0"/>
    <x v="3"/>
    <x v="4"/>
    <x v="0"/>
    <x v="2"/>
  </r>
  <r>
    <s v="TX500085"/>
    <x v="18"/>
    <x v="0"/>
    <n v="77.3"/>
    <x v="83"/>
    <x v="3"/>
    <d v="2025-01-05T00:00:00"/>
    <s v="M"/>
    <x v="4"/>
    <x v="4"/>
    <x v="0"/>
    <x v="3"/>
    <x v="3"/>
    <x v="0"/>
    <x v="1"/>
  </r>
  <r>
    <s v="TX500086"/>
    <x v="8"/>
    <x v="12"/>
    <n v="19.8"/>
    <x v="84"/>
    <x v="3"/>
    <d v="2025-01-10T00:00:00"/>
    <s v="M"/>
    <x v="1"/>
    <x v="2"/>
    <x v="0"/>
    <x v="3"/>
    <x v="4"/>
    <x v="0"/>
    <x v="1"/>
  </r>
  <r>
    <s v="TX500087"/>
    <x v="13"/>
    <x v="12"/>
    <n v="15.5"/>
    <x v="85"/>
    <x v="3"/>
    <d v="2025-01-05T00:00:00"/>
    <s v="F"/>
    <x v="1"/>
    <x v="2"/>
    <x v="0"/>
    <x v="3"/>
    <x v="3"/>
    <x v="0"/>
    <x v="2"/>
  </r>
  <r>
    <s v="TX500088"/>
    <x v="12"/>
    <x v="0"/>
    <n v="46.8"/>
    <x v="86"/>
    <x v="3"/>
    <d v="2025-01-08T00:00:00"/>
    <s v="M"/>
    <x v="0"/>
    <x v="2"/>
    <x v="0"/>
    <x v="3"/>
    <x v="5"/>
    <x v="0"/>
    <x v="1"/>
  </r>
  <r>
    <s v="TX500089"/>
    <x v="9"/>
    <x v="11"/>
    <n v="28.6"/>
    <x v="87"/>
    <x v="3"/>
    <d v="2025-01-08T00:00:00"/>
    <s v="M"/>
    <x v="0"/>
    <x v="2"/>
    <x v="0"/>
    <x v="3"/>
    <x v="5"/>
    <x v="0"/>
    <x v="1"/>
  </r>
  <r>
    <s v="TX500090"/>
    <x v="2"/>
    <x v="0"/>
    <n v="97.7"/>
    <x v="68"/>
    <x v="3"/>
    <d v="2025-01-07T00:00:00"/>
    <s v="F"/>
    <x v="1"/>
    <x v="0"/>
    <x v="0"/>
    <x v="3"/>
    <x v="2"/>
    <x v="0"/>
    <x v="2"/>
  </r>
  <r>
    <s v="TX500091"/>
    <x v="9"/>
    <x v="9"/>
    <n v="54.7"/>
    <x v="88"/>
    <x v="3"/>
    <d v="2025-01-07T00:00:00"/>
    <s v=""/>
    <x v="0"/>
    <x v="2"/>
    <x v="0"/>
    <x v="23"/>
    <x v="2"/>
    <x v="0"/>
    <x v="0"/>
  </r>
  <r>
    <s v="TX500092"/>
    <x v="2"/>
    <x v="13"/>
    <n v="130.5"/>
    <x v="89"/>
    <x v="3"/>
    <d v="2025-01-06T00:00:00"/>
    <s v="F"/>
    <x v="0"/>
    <x v="1"/>
    <x v="0"/>
    <x v="23"/>
    <x v="1"/>
    <x v="0"/>
    <x v="2"/>
  </r>
  <r>
    <s v="TX500093"/>
    <x v="11"/>
    <x v="1"/>
    <n v="50.4"/>
    <x v="90"/>
    <x v="3"/>
    <d v="2025-01-06T00:00:00"/>
    <s v="M"/>
    <x v="2"/>
    <x v="2"/>
    <x v="0"/>
    <x v="6"/>
    <x v="1"/>
    <x v="0"/>
    <x v="1"/>
  </r>
  <r>
    <s v="TX500094"/>
    <x v="6"/>
    <x v="15"/>
    <n v="61.5"/>
    <x v="91"/>
    <x v="3"/>
    <d v="2025-01-05T00:00:00"/>
    <s v=""/>
    <x v="3"/>
    <x v="1"/>
    <x v="0"/>
    <x v="11"/>
    <x v="3"/>
    <x v="0"/>
    <x v="0"/>
  </r>
  <r>
    <s v="TX500095"/>
    <x v="9"/>
    <x v="12"/>
    <n v="30.1"/>
    <x v="92"/>
    <x v="3"/>
    <d v="2025-01-05T00:00:00"/>
    <s v="F"/>
    <x v="0"/>
    <x v="2"/>
    <x v="0"/>
    <x v="21"/>
    <x v="3"/>
    <x v="0"/>
    <x v="2"/>
  </r>
  <r>
    <s v="TX500096"/>
    <x v="2"/>
    <x v="9"/>
    <n v="74.8"/>
    <x v="93"/>
    <x v="3"/>
    <d v="2025-01-05T00:00:00"/>
    <s v="F"/>
    <x v="1"/>
    <x v="0"/>
    <x v="0"/>
    <x v="1"/>
    <x v="3"/>
    <x v="0"/>
    <x v="2"/>
  </r>
  <r>
    <s v="TX500097"/>
    <x v="16"/>
    <x v="2"/>
    <n v="64.900000000000006"/>
    <x v="94"/>
    <x v="3"/>
    <d v="2025-01-11T00:00:00"/>
    <s v="M"/>
    <x v="0"/>
    <x v="0"/>
    <x v="0"/>
    <x v="2"/>
    <x v="6"/>
    <x v="0"/>
    <x v="1"/>
  </r>
  <r>
    <s v="TX500098"/>
    <x v="9"/>
    <x v="1"/>
    <n v="50.5"/>
    <x v="95"/>
    <x v="3"/>
    <d v="2025-01-06T00:00:00"/>
    <s v="M"/>
    <x v="1"/>
    <x v="0"/>
    <x v="0"/>
    <x v="22"/>
    <x v="1"/>
    <x v="0"/>
    <x v="1"/>
  </r>
  <r>
    <s v="TX500099"/>
    <x v="11"/>
    <x v="3"/>
    <n v="63"/>
    <x v="96"/>
    <x v="3"/>
    <d v="2025-01-07T00:00:00"/>
    <s v="M"/>
    <x v="3"/>
    <x v="2"/>
    <x v="0"/>
    <x v="3"/>
    <x v="2"/>
    <x v="0"/>
    <x v="1"/>
  </r>
  <r>
    <s v="TX500100"/>
    <x v="2"/>
    <x v="2"/>
    <n v="93.6"/>
    <x v="97"/>
    <x v="3"/>
    <d v="2025-01-17T00:00:00"/>
    <s v="F"/>
    <x v="0"/>
    <x v="2"/>
    <x v="0"/>
    <x v="3"/>
    <x v="10"/>
    <x v="0"/>
    <x v="2"/>
  </r>
  <r>
    <s v="TX500101"/>
    <x v="5"/>
    <x v="17"/>
    <n v="41.4"/>
    <x v="98"/>
    <x v="3"/>
    <d v="2025-01-08T00:00:00"/>
    <s v="M"/>
    <x v="2"/>
    <x v="2"/>
    <x v="0"/>
    <x v="3"/>
    <x v="5"/>
    <x v="0"/>
    <x v="1"/>
  </r>
  <r>
    <s v="TX500102"/>
    <x v="2"/>
    <x v="1"/>
    <n v="160"/>
    <x v="99"/>
    <x v="4"/>
    <d v="2025-01-06T00:00:00"/>
    <s v="M"/>
    <x v="2"/>
    <x v="2"/>
    <x v="0"/>
    <x v="5"/>
    <x v="3"/>
    <x v="1"/>
    <x v="1"/>
  </r>
  <r>
    <s v="TX500103"/>
    <x v="19"/>
    <x v="5"/>
    <n v="10.5"/>
    <x v="100"/>
    <x v="4"/>
    <d v="2025-01-08T00:00:00"/>
    <s v="F"/>
    <x v="4"/>
    <x v="0"/>
    <x v="0"/>
    <x v="8"/>
    <x v="2"/>
    <x v="1"/>
    <x v="2"/>
  </r>
  <r>
    <s v="TX500104"/>
    <x v="10"/>
    <x v="1"/>
    <n v="53"/>
    <x v="101"/>
    <x v="4"/>
    <d v="2025-01-05T00:00:00"/>
    <s v="M"/>
    <x v="2"/>
    <x v="4"/>
    <x v="0"/>
    <x v="17"/>
    <x v="7"/>
    <x v="1"/>
    <x v="1"/>
  </r>
  <r>
    <s v="TX500105"/>
    <x v="8"/>
    <x v="2"/>
    <n v="18.5"/>
    <x v="102"/>
    <x v="4"/>
    <d v="2025-01-10T00:00:00"/>
    <s v="F"/>
    <x v="1"/>
    <x v="2"/>
    <x v="0"/>
    <x v="11"/>
    <x v="0"/>
    <x v="1"/>
    <x v="2"/>
  </r>
  <r>
    <s v="TX500106"/>
    <x v="16"/>
    <x v="2"/>
    <n v="84.5"/>
    <x v="103"/>
    <x v="4"/>
    <d v="2025-01-07T00:00:00"/>
    <s v="F"/>
    <x v="4"/>
    <x v="1"/>
    <x v="0"/>
    <x v="13"/>
    <x v="1"/>
    <x v="1"/>
    <x v="2"/>
  </r>
  <r>
    <s v="TX500107"/>
    <x v="15"/>
    <x v="3"/>
    <n v="31.2"/>
    <x v="104"/>
    <x v="4"/>
    <d v="2025-01-05T00:00:00"/>
    <s v="F"/>
    <x v="2"/>
    <x v="2"/>
    <x v="0"/>
    <x v="3"/>
    <x v="7"/>
    <x v="1"/>
    <x v="2"/>
  </r>
  <r>
    <s v="TX500108"/>
    <x v="8"/>
    <x v="16"/>
    <n v="32.6"/>
    <x v="105"/>
    <x v="4"/>
    <d v="2025-01-06T00:00:00"/>
    <s v="M"/>
    <x v="1"/>
    <x v="1"/>
    <x v="0"/>
    <x v="3"/>
    <x v="3"/>
    <x v="1"/>
    <x v="1"/>
  </r>
  <r>
    <s v="TX500109"/>
    <x v="10"/>
    <x v="12"/>
    <n v="45.4"/>
    <x v="106"/>
    <x v="4"/>
    <d v="2025-01-07T00:00:00"/>
    <s v="M"/>
    <x v="1"/>
    <x v="0"/>
    <x v="0"/>
    <x v="3"/>
    <x v="1"/>
    <x v="1"/>
    <x v="1"/>
  </r>
  <r>
    <s v="TX500110"/>
    <x v="2"/>
    <x v="4"/>
    <n v="120"/>
    <x v="107"/>
    <x v="4"/>
    <d v="2025-01-06T00:00:00"/>
    <s v="F"/>
    <x v="2"/>
    <x v="4"/>
    <x v="0"/>
    <x v="3"/>
    <x v="3"/>
    <x v="1"/>
    <x v="2"/>
  </r>
  <r>
    <s v="TX500111"/>
    <x v="0"/>
    <x v="12"/>
    <n v="18.899999999999999"/>
    <x v="108"/>
    <x v="4"/>
    <d v="2025-01-07T00:00:00"/>
    <s v="M"/>
    <x v="0"/>
    <x v="2"/>
    <x v="0"/>
    <x v="3"/>
    <x v="1"/>
    <x v="1"/>
    <x v="1"/>
  </r>
  <r>
    <s v="TX500112"/>
    <x v="4"/>
    <x v="0"/>
    <n v="32"/>
    <x v="109"/>
    <x v="4"/>
    <d v="2025-01-07T00:00:00"/>
    <s v="F"/>
    <x v="4"/>
    <x v="0"/>
    <x v="0"/>
    <x v="3"/>
    <x v="1"/>
    <x v="1"/>
    <x v="2"/>
  </r>
  <r>
    <s v="TX500113"/>
    <x v="7"/>
    <x v="1"/>
    <n v="37.299999999999997"/>
    <x v="110"/>
    <x v="4"/>
    <d v="2025-01-06T00:00:00"/>
    <s v="M"/>
    <x v="2"/>
    <x v="0"/>
    <x v="0"/>
    <x v="3"/>
    <x v="3"/>
    <x v="1"/>
    <x v="1"/>
  </r>
  <r>
    <s v="TX500114"/>
    <x v="18"/>
    <x v="0"/>
    <n v="119.8"/>
    <x v="111"/>
    <x v="4"/>
    <d v="2025-01-06T00:00:00"/>
    <s v="M"/>
    <x v="1"/>
    <x v="1"/>
    <x v="0"/>
    <x v="3"/>
    <x v="3"/>
    <x v="1"/>
    <x v="1"/>
  </r>
  <r>
    <s v="TX500115"/>
    <x v="10"/>
    <x v="1"/>
    <n v="26.4"/>
    <x v="112"/>
    <x v="4"/>
    <d v="2025-01-08T00:00:00"/>
    <s v="M"/>
    <x v="2"/>
    <x v="0"/>
    <x v="0"/>
    <x v="3"/>
    <x v="2"/>
    <x v="1"/>
    <x v="1"/>
  </r>
  <r>
    <s v="TX500116"/>
    <x v="6"/>
    <x v="13"/>
    <n v="76.5"/>
    <x v="113"/>
    <x v="4"/>
    <d v="2025-01-06T00:00:00"/>
    <s v="F"/>
    <x v="1"/>
    <x v="1"/>
    <x v="0"/>
    <x v="3"/>
    <x v="3"/>
    <x v="1"/>
    <x v="2"/>
  </r>
  <r>
    <s v="TX500117"/>
    <x v="4"/>
    <x v="7"/>
    <n v="45.7"/>
    <x v="114"/>
    <x v="4"/>
    <d v="2025-01-06T00:00:00"/>
    <s v="F"/>
    <x v="2"/>
    <x v="0"/>
    <x v="0"/>
    <x v="24"/>
    <x v="3"/>
    <x v="1"/>
    <x v="2"/>
  </r>
  <r>
    <s v="TX500118"/>
    <x v="1"/>
    <x v="4"/>
    <n v="92.6"/>
    <x v="115"/>
    <x v="4"/>
    <d v="2025-01-07T00:00:00"/>
    <s v="F"/>
    <x v="2"/>
    <x v="0"/>
    <x v="0"/>
    <x v="25"/>
    <x v="1"/>
    <x v="1"/>
    <x v="2"/>
  </r>
  <r>
    <s v="TX500119"/>
    <x v="6"/>
    <x v="13"/>
    <n v="60.1"/>
    <x v="116"/>
    <x v="4"/>
    <d v="2025-01-06T00:00:00"/>
    <s v="M"/>
    <x v="1"/>
    <x v="0"/>
    <x v="0"/>
    <x v="23"/>
    <x v="3"/>
    <x v="1"/>
    <x v="1"/>
  </r>
  <r>
    <s v="TX500120"/>
    <x v="1"/>
    <x v="2"/>
    <n v="73"/>
    <x v="20"/>
    <x v="4"/>
    <d v="2025-01-06T00:00:00"/>
    <s v="F"/>
    <x v="3"/>
    <x v="1"/>
    <x v="0"/>
    <x v="6"/>
    <x v="3"/>
    <x v="1"/>
    <x v="2"/>
  </r>
  <r>
    <s v="TX500121"/>
    <x v="6"/>
    <x v="2"/>
    <n v="44.3"/>
    <x v="117"/>
    <x v="4"/>
    <d v="2025-01-09T00:00:00"/>
    <s v=""/>
    <x v="2"/>
    <x v="2"/>
    <x v="0"/>
    <x v="6"/>
    <x v="5"/>
    <x v="1"/>
    <x v="0"/>
  </r>
  <r>
    <s v="TX500122"/>
    <x v="6"/>
    <x v="2"/>
    <n v="63.3"/>
    <x v="118"/>
    <x v="4"/>
    <d v="2025-01-06T00:00:00"/>
    <s v="M"/>
    <x v="2"/>
    <x v="0"/>
    <x v="0"/>
    <x v="6"/>
    <x v="3"/>
    <x v="1"/>
    <x v="1"/>
  </r>
  <r>
    <s v="TX500123"/>
    <x v="12"/>
    <x v="0"/>
    <n v="66.8"/>
    <x v="119"/>
    <x v="4"/>
    <d v="2025-01-06T00:00:00"/>
    <s v="F"/>
    <x v="1"/>
    <x v="0"/>
    <x v="0"/>
    <x v="6"/>
    <x v="3"/>
    <x v="1"/>
    <x v="2"/>
  </r>
  <r>
    <s v="TX500124"/>
    <x v="2"/>
    <x v="1"/>
    <n v="59.7"/>
    <x v="120"/>
    <x v="4"/>
    <d v="2025-01-06T00:00:00"/>
    <s v="F"/>
    <x v="0"/>
    <x v="0"/>
    <x v="0"/>
    <x v="7"/>
    <x v="3"/>
    <x v="1"/>
    <x v="2"/>
  </r>
  <r>
    <s v="TX500125"/>
    <x v="1"/>
    <x v="13"/>
    <n v="92"/>
    <x v="121"/>
    <x v="4"/>
    <d v="2025-01-07T00:00:00"/>
    <s v="M"/>
    <x v="0"/>
    <x v="4"/>
    <x v="0"/>
    <x v="7"/>
    <x v="1"/>
    <x v="1"/>
    <x v="1"/>
  </r>
  <r>
    <s v="TX500126"/>
    <x v="7"/>
    <x v="1"/>
    <n v="87.6"/>
    <x v="122"/>
    <x v="4"/>
    <d v="2025-01-07T00:00:00"/>
    <s v="M"/>
    <x v="1"/>
    <x v="1"/>
    <x v="0"/>
    <x v="8"/>
    <x v="1"/>
    <x v="1"/>
    <x v="1"/>
  </r>
  <r>
    <s v="TX500127"/>
    <x v="6"/>
    <x v="2"/>
    <n v="84.5"/>
    <x v="103"/>
    <x v="4"/>
    <d v="2025-01-06T00:00:00"/>
    <s v="F"/>
    <x v="1"/>
    <x v="1"/>
    <x v="0"/>
    <x v="8"/>
    <x v="3"/>
    <x v="1"/>
    <x v="2"/>
  </r>
  <r>
    <s v="TX500128"/>
    <x v="1"/>
    <x v="1"/>
    <n v="116.3"/>
    <x v="123"/>
    <x v="5"/>
    <d v="2025-01-08T00:00:00"/>
    <s v="M"/>
    <x v="2"/>
    <x v="2"/>
    <x v="0"/>
    <x v="8"/>
    <x v="1"/>
    <x v="1"/>
    <x v="1"/>
  </r>
  <r>
    <s v="TX500129"/>
    <x v="6"/>
    <x v="9"/>
    <n v="52.7"/>
    <x v="124"/>
    <x v="5"/>
    <d v="2025-01-10T00:00:00"/>
    <s v="M"/>
    <x v="0"/>
    <x v="0"/>
    <x v="0"/>
    <x v="8"/>
    <x v="5"/>
    <x v="1"/>
    <x v="1"/>
  </r>
  <r>
    <s v="TX500130"/>
    <x v="16"/>
    <x v="2"/>
    <n v="34.200000000000003"/>
    <x v="125"/>
    <x v="5"/>
    <d v="2025-01-07T00:00:00"/>
    <s v="M"/>
    <x v="0"/>
    <x v="2"/>
    <x v="0"/>
    <x v="26"/>
    <x v="3"/>
    <x v="1"/>
    <x v="1"/>
  </r>
  <r>
    <s v="TX500131"/>
    <x v="9"/>
    <x v="0"/>
    <n v="23.3"/>
    <x v="126"/>
    <x v="5"/>
    <d v="2025-01-15T00:00:00"/>
    <s v="O"/>
    <x v="2"/>
    <x v="2"/>
    <x v="0"/>
    <x v="9"/>
    <x v="8"/>
    <x v="1"/>
    <x v="3"/>
  </r>
  <r>
    <s v="TX500132"/>
    <x v="0"/>
    <x v="18"/>
    <n v="25.9"/>
    <x v="127"/>
    <x v="5"/>
    <d v="2025-01-09T00:00:00"/>
    <s v="F"/>
    <x v="4"/>
    <x v="1"/>
    <x v="0"/>
    <x v="9"/>
    <x v="2"/>
    <x v="1"/>
    <x v="2"/>
  </r>
  <r>
    <s v="TX500133"/>
    <x v="6"/>
    <x v="19"/>
    <n v="54.9"/>
    <x v="128"/>
    <x v="5"/>
    <d v="2025-01-07T00:00:00"/>
    <s v="M"/>
    <x v="1"/>
    <x v="2"/>
    <x v="0"/>
    <x v="9"/>
    <x v="3"/>
    <x v="1"/>
    <x v="1"/>
  </r>
  <r>
    <s v="TX500134"/>
    <x v="5"/>
    <x v="2"/>
    <n v="75.8"/>
    <x v="129"/>
    <x v="5"/>
    <d v="2025-01-11T00:00:00"/>
    <s v="O"/>
    <x v="1"/>
    <x v="0"/>
    <x v="0"/>
    <x v="18"/>
    <x v="0"/>
    <x v="1"/>
    <x v="3"/>
  </r>
  <r>
    <s v="TX500135"/>
    <x v="1"/>
    <x v="11"/>
    <n v="44.9"/>
    <x v="130"/>
    <x v="5"/>
    <d v="2025-01-09T00:00:00"/>
    <s v="F"/>
    <x v="2"/>
    <x v="2"/>
    <x v="0"/>
    <x v="2"/>
    <x v="2"/>
    <x v="1"/>
    <x v="2"/>
  </r>
  <r>
    <s v="TX500136"/>
    <x v="11"/>
    <x v="1"/>
    <n v="48.8"/>
    <x v="131"/>
    <x v="5"/>
    <d v="2025-01-08T00:00:00"/>
    <s v="F"/>
    <x v="3"/>
    <x v="0"/>
    <x v="0"/>
    <x v="27"/>
    <x v="1"/>
    <x v="1"/>
    <x v="2"/>
  </r>
  <r>
    <s v="TX500137"/>
    <x v="15"/>
    <x v="0"/>
    <n v="20.3"/>
    <x v="132"/>
    <x v="5"/>
    <d v="2025-01-07T00:00:00"/>
    <s v="F"/>
    <x v="0"/>
    <x v="2"/>
    <x v="0"/>
    <x v="22"/>
    <x v="3"/>
    <x v="1"/>
    <x v="2"/>
  </r>
  <r>
    <s v="TX500138"/>
    <x v="5"/>
    <x v="3"/>
    <n v="36.4"/>
    <x v="133"/>
    <x v="5"/>
    <d v="2025-01-09T00:00:00"/>
    <s v="F"/>
    <x v="0"/>
    <x v="1"/>
    <x v="0"/>
    <x v="3"/>
    <x v="2"/>
    <x v="1"/>
    <x v="2"/>
  </r>
  <r>
    <s v="TX500139"/>
    <x v="0"/>
    <x v="0"/>
    <n v="19"/>
    <x v="134"/>
    <x v="5"/>
    <d v="2025-01-11T00:00:00"/>
    <s v="F"/>
    <x v="1"/>
    <x v="2"/>
    <x v="0"/>
    <x v="3"/>
    <x v="0"/>
    <x v="1"/>
    <x v="2"/>
  </r>
  <r>
    <s v="TX500140"/>
    <x v="8"/>
    <x v="0"/>
    <n v="17.8"/>
    <x v="135"/>
    <x v="5"/>
    <d v="2025-01-06T00:00:00"/>
    <s v="M"/>
    <x v="0"/>
    <x v="0"/>
    <x v="0"/>
    <x v="3"/>
    <x v="7"/>
    <x v="1"/>
    <x v="1"/>
  </r>
  <r>
    <s v="TX500141"/>
    <x v="2"/>
    <x v="13"/>
    <n v="139.6"/>
    <x v="136"/>
    <x v="5"/>
    <d v="2025-01-09T00:00:00"/>
    <s v="M"/>
    <x v="0"/>
    <x v="0"/>
    <x v="0"/>
    <x v="3"/>
    <x v="2"/>
    <x v="1"/>
    <x v="1"/>
  </r>
  <r>
    <s v="TX500142"/>
    <x v="9"/>
    <x v="0"/>
    <n v="31.7"/>
    <x v="137"/>
    <x v="5"/>
    <d v="2025-01-06T00:00:00"/>
    <s v=""/>
    <x v="0"/>
    <x v="0"/>
    <x v="0"/>
    <x v="3"/>
    <x v="7"/>
    <x v="1"/>
    <x v="0"/>
  </r>
  <r>
    <s v="TX500143"/>
    <x v="8"/>
    <x v="8"/>
    <n v="26.3"/>
    <x v="138"/>
    <x v="5"/>
    <d v="2025-01-09T00:00:00"/>
    <s v="F"/>
    <x v="4"/>
    <x v="4"/>
    <x v="0"/>
    <x v="3"/>
    <x v="2"/>
    <x v="1"/>
    <x v="2"/>
  </r>
  <r>
    <s v="TX500144"/>
    <x v="4"/>
    <x v="1"/>
    <n v="47.8"/>
    <x v="139"/>
    <x v="5"/>
    <d v="2025-01-07T00:00:00"/>
    <s v=""/>
    <x v="0"/>
    <x v="0"/>
    <x v="0"/>
    <x v="3"/>
    <x v="3"/>
    <x v="1"/>
    <x v="0"/>
  </r>
  <r>
    <s v="TX500145"/>
    <x v="9"/>
    <x v="2"/>
    <n v="69.400000000000006"/>
    <x v="140"/>
    <x v="5"/>
    <d v="2025-01-10T00:00:00"/>
    <s v="F"/>
    <x v="0"/>
    <x v="0"/>
    <x v="0"/>
    <x v="3"/>
    <x v="5"/>
    <x v="1"/>
    <x v="2"/>
  </r>
  <r>
    <s v="TX500146"/>
    <x v="18"/>
    <x v="4"/>
    <n v="25.8"/>
    <x v="141"/>
    <x v="5"/>
    <d v="2025-01-07T00:00:00"/>
    <s v="M"/>
    <x v="4"/>
    <x v="4"/>
    <x v="0"/>
    <x v="3"/>
    <x v="3"/>
    <x v="1"/>
    <x v="1"/>
  </r>
  <r>
    <s v="TX500147"/>
    <x v="0"/>
    <x v="12"/>
    <n v="26.4"/>
    <x v="142"/>
    <x v="5"/>
    <d v="2025-01-07T00:00:00"/>
    <s v="M"/>
    <x v="1"/>
    <x v="2"/>
    <x v="0"/>
    <x v="3"/>
    <x v="3"/>
    <x v="1"/>
    <x v="1"/>
  </r>
  <r>
    <s v="TX500148"/>
    <x v="8"/>
    <x v="12"/>
    <n v="15.7"/>
    <x v="143"/>
    <x v="5"/>
    <d v="2025-01-07T00:00:00"/>
    <s v="M"/>
    <x v="2"/>
    <x v="0"/>
    <x v="0"/>
    <x v="3"/>
    <x v="3"/>
    <x v="1"/>
    <x v="1"/>
  </r>
  <r>
    <s v="TX500149"/>
    <x v="8"/>
    <x v="0"/>
    <n v="39.700000000000003"/>
    <x v="144"/>
    <x v="5"/>
    <d v="2025-01-10T00:00:00"/>
    <s v="M"/>
    <x v="0"/>
    <x v="0"/>
    <x v="0"/>
    <x v="3"/>
    <x v="5"/>
    <x v="1"/>
    <x v="1"/>
  </r>
  <r>
    <s v="TX500150"/>
    <x v="10"/>
    <x v="12"/>
    <n v="31.1"/>
    <x v="145"/>
    <x v="5"/>
    <d v="2025-01-08T00:00:00"/>
    <s v="F"/>
    <x v="2"/>
    <x v="1"/>
    <x v="0"/>
    <x v="3"/>
    <x v="1"/>
    <x v="1"/>
    <x v="2"/>
  </r>
  <r>
    <s v="TX500151"/>
    <x v="13"/>
    <x v="20"/>
    <n v="23.4"/>
    <x v="146"/>
    <x v="5"/>
    <d v="2025-01-15T00:00:00"/>
    <s v="M"/>
    <x v="0"/>
    <x v="0"/>
    <x v="0"/>
    <x v="3"/>
    <x v="8"/>
    <x v="1"/>
    <x v="1"/>
  </r>
  <r>
    <s v="TX500152"/>
    <x v="1"/>
    <x v="12"/>
    <n v="57.1"/>
    <x v="147"/>
    <x v="6"/>
    <d v="2025-01-08T00:00:00"/>
    <s v="M"/>
    <x v="2"/>
    <x v="0"/>
    <x v="0"/>
    <x v="25"/>
    <x v="3"/>
    <x v="1"/>
    <x v="1"/>
  </r>
  <r>
    <s v="TX500153"/>
    <x v="2"/>
    <x v="9"/>
    <n v="89.9"/>
    <x v="148"/>
    <x v="6"/>
    <d v="2025-01-07T00:00:00"/>
    <s v="F"/>
    <x v="0"/>
    <x v="3"/>
    <x v="0"/>
    <x v="23"/>
    <x v="7"/>
    <x v="1"/>
    <x v="2"/>
  </r>
  <r>
    <s v="TX500154"/>
    <x v="10"/>
    <x v="3"/>
    <n v="48.1"/>
    <x v="149"/>
    <x v="6"/>
    <d v="2025-01-09T00:00:00"/>
    <s v="F"/>
    <x v="1"/>
    <x v="2"/>
    <x v="0"/>
    <x v="6"/>
    <x v="1"/>
    <x v="1"/>
    <x v="2"/>
  </r>
  <r>
    <s v="TX500155"/>
    <x v="8"/>
    <x v="1"/>
    <n v="29.3"/>
    <x v="150"/>
    <x v="6"/>
    <d v="2025-01-07T00:00:00"/>
    <s v="F"/>
    <x v="1"/>
    <x v="1"/>
    <x v="0"/>
    <x v="6"/>
    <x v="7"/>
    <x v="1"/>
    <x v="2"/>
  </r>
  <r>
    <s v="TX500156"/>
    <x v="8"/>
    <x v="12"/>
    <n v="28.8"/>
    <x v="151"/>
    <x v="6"/>
    <d v="2025-01-08T00:00:00"/>
    <s v="F"/>
    <x v="0"/>
    <x v="4"/>
    <x v="0"/>
    <x v="6"/>
    <x v="3"/>
    <x v="1"/>
    <x v="2"/>
  </r>
  <r>
    <s v="TX500157"/>
    <x v="10"/>
    <x v="9"/>
    <n v="40.5"/>
    <x v="152"/>
    <x v="6"/>
    <d v="2025-01-11T00:00:00"/>
    <s v="F"/>
    <x v="3"/>
    <x v="0"/>
    <x v="0"/>
    <x v="6"/>
    <x v="5"/>
    <x v="1"/>
    <x v="2"/>
  </r>
  <r>
    <s v="TX500158"/>
    <x v="18"/>
    <x v="21"/>
    <n v="65.099999999999994"/>
    <x v="153"/>
    <x v="6"/>
    <d v="2025-01-08T00:00:00"/>
    <s v="F"/>
    <x v="4"/>
    <x v="0"/>
    <x v="0"/>
    <x v="7"/>
    <x v="3"/>
    <x v="1"/>
    <x v="2"/>
  </r>
  <r>
    <s v="TX500159"/>
    <x v="8"/>
    <x v="12"/>
    <n v="40.299999999999997"/>
    <x v="154"/>
    <x v="6"/>
    <d v="2025-01-12T00:00:00"/>
    <s v="F"/>
    <x v="2"/>
    <x v="0"/>
    <x v="0"/>
    <x v="7"/>
    <x v="0"/>
    <x v="1"/>
    <x v="2"/>
  </r>
  <r>
    <s v="TX500160"/>
    <x v="6"/>
    <x v="9"/>
    <n v="51.8"/>
    <x v="155"/>
    <x v="6"/>
    <d v="2025-01-08T00:00:00"/>
    <s v="M"/>
    <x v="2"/>
    <x v="2"/>
    <x v="0"/>
    <x v="8"/>
    <x v="3"/>
    <x v="1"/>
    <x v="1"/>
  </r>
  <r>
    <s v="TX500161"/>
    <x v="6"/>
    <x v="2"/>
    <n v="61.3"/>
    <x v="156"/>
    <x v="6"/>
    <d v="2025-01-08T00:00:00"/>
    <s v="F"/>
    <x v="3"/>
    <x v="0"/>
    <x v="0"/>
    <x v="8"/>
    <x v="3"/>
    <x v="1"/>
    <x v="2"/>
  </r>
  <r>
    <s v="TX500162"/>
    <x v="2"/>
    <x v="12"/>
    <n v="122.5"/>
    <x v="157"/>
    <x v="6"/>
    <d v="2025-01-08T00:00:00"/>
    <s v="M"/>
    <x v="0"/>
    <x v="0"/>
    <x v="0"/>
    <x v="8"/>
    <x v="3"/>
    <x v="1"/>
    <x v="1"/>
  </r>
  <r>
    <s v="TX500163"/>
    <x v="0"/>
    <x v="11"/>
    <n v="12.5"/>
    <x v="158"/>
    <x v="6"/>
    <d v="2025-01-08T00:00:00"/>
    <s v=""/>
    <x v="1"/>
    <x v="2"/>
    <x v="0"/>
    <x v="8"/>
    <x v="3"/>
    <x v="1"/>
    <x v="0"/>
  </r>
  <r>
    <s v="TX500164"/>
    <x v="15"/>
    <x v="8"/>
    <n v="37.5"/>
    <x v="159"/>
    <x v="6"/>
    <d v="2025-01-08T00:00:00"/>
    <s v="F"/>
    <x v="0"/>
    <x v="0"/>
    <x v="0"/>
    <x v="9"/>
    <x v="3"/>
    <x v="1"/>
    <x v="2"/>
  </r>
  <r>
    <s v="TX500165"/>
    <x v="6"/>
    <x v="2"/>
    <n v="40"/>
    <x v="160"/>
    <x v="6"/>
    <d v="2025-01-10T00:00:00"/>
    <s v="M"/>
    <x v="0"/>
    <x v="4"/>
    <x v="0"/>
    <x v="11"/>
    <x v="2"/>
    <x v="1"/>
    <x v="1"/>
  </r>
  <r>
    <s v="TX500166"/>
    <x v="17"/>
    <x v="8"/>
    <n v="38.5"/>
    <x v="161"/>
    <x v="6"/>
    <d v="2025-01-12T00:00:00"/>
    <s v="F"/>
    <x v="2"/>
    <x v="1"/>
    <x v="0"/>
    <x v="11"/>
    <x v="0"/>
    <x v="1"/>
    <x v="2"/>
  </r>
  <r>
    <s v="TX500167"/>
    <x v="2"/>
    <x v="1"/>
    <n v="86.4"/>
    <x v="162"/>
    <x v="6"/>
    <d v="2025-01-09T00:00:00"/>
    <s v="F"/>
    <x v="0"/>
    <x v="0"/>
    <x v="0"/>
    <x v="18"/>
    <x v="1"/>
    <x v="1"/>
    <x v="2"/>
  </r>
  <r>
    <s v="TX500168"/>
    <x v="10"/>
    <x v="0"/>
    <n v="50.7"/>
    <x v="163"/>
    <x v="6"/>
    <d v="2025-01-11T00:00:00"/>
    <s v="F"/>
    <x v="1"/>
    <x v="0"/>
    <x v="0"/>
    <x v="18"/>
    <x v="5"/>
    <x v="1"/>
    <x v="2"/>
  </r>
  <r>
    <s v="TX500169"/>
    <x v="10"/>
    <x v="1"/>
    <n v="61"/>
    <x v="164"/>
    <x v="6"/>
    <d v="2025-01-18T00:00:00"/>
    <s v="F"/>
    <x v="4"/>
    <x v="1"/>
    <x v="0"/>
    <x v="18"/>
    <x v="11"/>
    <x v="1"/>
    <x v="2"/>
  </r>
  <r>
    <s v="TX500170"/>
    <x v="4"/>
    <x v="1"/>
    <n v="19.899999999999999"/>
    <x v="165"/>
    <x v="6"/>
    <d v="2025-01-10T00:00:00"/>
    <s v="F"/>
    <x v="1"/>
    <x v="0"/>
    <x v="0"/>
    <x v="28"/>
    <x v="2"/>
    <x v="1"/>
    <x v="2"/>
  </r>
  <r>
    <s v="TX500171"/>
    <x v="5"/>
    <x v="0"/>
    <n v="78.3"/>
    <x v="166"/>
    <x v="6"/>
    <d v="2025-01-07T00:00:00"/>
    <s v="F"/>
    <x v="0"/>
    <x v="2"/>
    <x v="0"/>
    <x v="1"/>
    <x v="7"/>
    <x v="1"/>
    <x v="2"/>
  </r>
  <r>
    <s v="TX500172"/>
    <x v="0"/>
    <x v="10"/>
    <n v="10.4"/>
    <x v="167"/>
    <x v="6"/>
    <d v="2025-01-09T00:00:00"/>
    <s v="M"/>
    <x v="0"/>
    <x v="2"/>
    <x v="0"/>
    <x v="2"/>
    <x v="1"/>
    <x v="1"/>
    <x v="1"/>
  </r>
  <r>
    <s v="TX500173"/>
    <x v="10"/>
    <x v="0"/>
    <n v="36.1"/>
    <x v="168"/>
    <x v="6"/>
    <d v="2025-01-10T00:00:00"/>
    <s v="M"/>
    <x v="3"/>
    <x v="2"/>
    <x v="0"/>
    <x v="3"/>
    <x v="2"/>
    <x v="1"/>
    <x v="1"/>
  </r>
  <r>
    <s v="TX500174"/>
    <x v="14"/>
    <x v="1"/>
    <n v="17.3"/>
    <x v="169"/>
    <x v="6"/>
    <d v="2025-01-09T00:00:00"/>
    <s v="F"/>
    <x v="1"/>
    <x v="2"/>
    <x v="0"/>
    <x v="3"/>
    <x v="1"/>
    <x v="1"/>
    <x v="2"/>
  </r>
  <r>
    <s v="TX500175"/>
    <x v="10"/>
    <x v="1"/>
    <n v="30.5"/>
    <x v="170"/>
    <x v="6"/>
    <d v="2025-01-08T00:00:00"/>
    <s v="F"/>
    <x v="1"/>
    <x v="2"/>
    <x v="0"/>
    <x v="3"/>
    <x v="3"/>
    <x v="1"/>
    <x v="2"/>
  </r>
  <r>
    <s v="TX500176"/>
    <x v="18"/>
    <x v="22"/>
    <n v="70.099999999999994"/>
    <x v="171"/>
    <x v="6"/>
    <d v="2025-01-07T00:00:00"/>
    <s v="F"/>
    <x v="2"/>
    <x v="0"/>
    <x v="0"/>
    <x v="3"/>
    <x v="7"/>
    <x v="1"/>
    <x v="2"/>
  </r>
  <r>
    <s v="TX500177"/>
    <x v="3"/>
    <x v="0"/>
    <n v="76.099999999999994"/>
    <x v="172"/>
    <x v="6"/>
    <d v="2025-01-07T00:00:00"/>
    <s v="F"/>
    <x v="2"/>
    <x v="1"/>
    <x v="0"/>
    <x v="3"/>
    <x v="7"/>
    <x v="1"/>
    <x v="2"/>
  </r>
  <r>
    <s v="TX500178"/>
    <x v="15"/>
    <x v="15"/>
    <n v="34.200000000000003"/>
    <x v="173"/>
    <x v="6"/>
    <d v="2025-01-08T00:00:00"/>
    <s v="M"/>
    <x v="0"/>
    <x v="0"/>
    <x v="0"/>
    <x v="3"/>
    <x v="3"/>
    <x v="1"/>
    <x v="1"/>
  </r>
  <r>
    <s v="TX500179"/>
    <x v="8"/>
    <x v="9"/>
    <n v="30.3"/>
    <x v="174"/>
    <x v="6"/>
    <d v="2025-01-12T00:00:00"/>
    <s v="F"/>
    <x v="4"/>
    <x v="0"/>
    <x v="0"/>
    <x v="3"/>
    <x v="0"/>
    <x v="1"/>
    <x v="2"/>
  </r>
  <r>
    <s v="TX500180"/>
    <x v="6"/>
    <x v="9"/>
    <n v="52.5"/>
    <x v="175"/>
    <x v="6"/>
    <d v="2025-01-11T00:00:00"/>
    <s v=""/>
    <x v="3"/>
    <x v="0"/>
    <x v="0"/>
    <x v="3"/>
    <x v="5"/>
    <x v="1"/>
    <x v="0"/>
  </r>
  <r>
    <s v="TX500181"/>
    <x v="9"/>
    <x v="5"/>
    <n v="28.7"/>
    <x v="176"/>
    <x v="6"/>
    <d v="2025-01-08T00:00:00"/>
    <s v="F"/>
    <x v="2"/>
    <x v="0"/>
    <x v="0"/>
    <x v="3"/>
    <x v="3"/>
    <x v="1"/>
    <x v="2"/>
  </r>
  <r>
    <s v="TX500182"/>
    <x v="7"/>
    <x v="3"/>
    <n v="52"/>
    <x v="177"/>
    <x v="6"/>
    <d v="2025-01-08T00:00:00"/>
    <s v="M"/>
    <x v="1"/>
    <x v="4"/>
    <x v="0"/>
    <x v="3"/>
    <x v="3"/>
    <x v="1"/>
    <x v="1"/>
  </r>
  <r>
    <s v="TX500183"/>
    <x v="0"/>
    <x v="0"/>
    <n v="13.3"/>
    <x v="178"/>
    <x v="7"/>
    <d v="2025-01-12T00:00:00"/>
    <s v="F"/>
    <x v="2"/>
    <x v="1"/>
    <x v="0"/>
    <x v="3"/>
    <x v="5"/>
    <x v="1"/>
    <x v="2"/>
  </r>
  <r>
    <s v="TX500184"/>
    <x v="0"/>
    <x v="2"/>
    <n v="15.7"/>
    <x v="179"/>
    <x v="7"/>
    <d v="2025-01-09T00:00:00"/>
    <s v="F"/>
    <x v="1"/>
    <x v="0"/>
    <x v="0"/>
    <x v="29"/>
    <x v="3"/>
    <x v="1"/>
    <x v="2"/>
  </r>
  <r>
    <s v="TX500185"/>
    <x v="8"/>
    <x v="1"/>
    <n v="25.6"/>
    <x v="180"/>
    <x v="7"/>
    <d v="2025-01-09T00:00:00"/>
    <s v="M"/>
    <x v="0"/>
    <x v="2"/>
    <x v="0"/>
    <x v="23"/>
    <x v="3"/>
    <x v="1"/>
    <x v="1"/>
  </r>
  <r>
    <s v="TX500186"/>
    <x v="8"/>
    <x v="0"/>
    <n v="43.4"/>
    <x v="181"/>
    <x v="7"/>
    <d v="2025-01-13T00:00:00"/>
    <s v="M"/>
    <x v="0"/>
    <x v="0"/>
    <x v="0"/>
    <x v="6"/>
    <x v="0"/>
    <x v="1"/>
    <x v="1"/>
  </r>
  <r>
    <s v="TX500187"/>
    <x v="11"/>
    <x v="11"/>
    <n v="33.4"/>
    <x v="182"/>
    <x v="7"/>
    <d v="2025-01-08T00:00:00"/>
    <s v="F"/>
    <x v="0"/>
    <x v="0"/>
    <x v="0"/>
    <x v="8"/>
    <x v="7"/>
    <x v="1"/>
    <x v="2"/>
  </r>
  <r>
    <s v="TX500188"/>
    <x v="8"/>
    <x v="10"/>
    <n v="55"/>
    <x v="183"/>
    <x v="7"/>
    <d v="2025-01-09T00:00:00"/>
    <s v="F"/>
    <x v="1"/>
    <x v="2"/>
    <x v="0"/>
    <x v="8"/>
    <x v="3"/>
    <x v="1"/>
    <x v="2"/>
  </r>
  <r>
    <s v="TX500189"/>
    <x v="8"/>
    <x v="2"/>
    <n v="23.6"/>
    <x v="184"/>
    <x v="7"/>
    <d v="2025-01-09T00:00:00"/>
    <s v="M"/>
    <x v="0"/>
    <x v="2"/>
    <x v="0"/>
    <x v="8"/>
    <x v="3"/>
    <x v="1"/>
    <x v="1"/>
  </r>
  <r>
    <s v="TX500190"/>
    <x v="12"/>
    <x v="11"/>
    <n v="104"/>
    <x v="185"/>
    <x v="7"/>
    <d v="2025-01-10T00:00:00"/>
    <s v="F"/>
    <x v="2"/>
    <x v="2"/>
    <x v="0"/>
    <x v="17"/>
    <x v="1"/>
    <x v="1"/>
    <x v="2"/>
  </r>
  <r>
    <s v="TX500191"/>
    <x v="6"/>
    <x v="1"/>
    <n v="51.8"/>
    <x v="186"/>
    <x v="7"/>
    <d v="2025-01-12T00:00:00"/>
    <s v=""/>
    <x v="0"/>
    <x v="2"/>
    <x v="0"/>
    <x v="10"/>
    <x v="5"/>
    <x v="1"/>
    <x v="0"/>
  </r>
  <r>
    <s v="TX500192"/>
    <x v="10"/>
    <x v="9"/>
    <n v="34.5"/>
    <x v="187"/>
    <x v="7"/>
    <d v="2025-01-10T00:00:00"/>
    <s v=""/>
    <x v="2"/>
    <x v="2"/>
    <x v="0"/>
    <x v="11"/>
    <x v="1"/>
    <x v="1"/>
    <x v="0"/>
  </r>
  <r>
    <s v="TX500193"/>
    <x v="6"/>
    <x v="1"/>
    <n v="51.8"/>
    <x v="186"/>
    <x v="7"/>
    <d v="2025-01-10T00:00:00"/>
    <s v="M"/>
    <x v="1"/>
    <x v="2"/>
    <x v="0"/>
    <x v="30"/>
    <x v="1"/>
    <x v="1"/>
    <x v="1"/>
  </r>
  <r>
    <s v="TX500194"/>
    <x v="18"/>
    <x v="23"/>
    <n v="131.5"/>
    <x v="188"/>
    <x v="7"/>
    <d v="2025-01-09T00:00:00"/>
    <s v="F"/>
    <x v="0"/>
    <x v="2"/>
    <x v="0"/>
    <x v="18"/>
    <x v="3"/>
    <x v="1"/>
    <x v="2"/>
  </r>
  <r>
    <s v="TX500195"/>
    <x v="8"/>
    <x v="3"/>
    <n v="47.8"/>
    <x v="189"/>
    <x v="7"/>
    <d v="2025-01-08T00:00:00"/>
    <s v="F"/>
    <x v="0"/>
    <x v="0"/>
    <x v="0"/>
    <x v="19"/>
    <x v="7"/>
    <x v="1"/>
    <x v="2"/>
  </r>
  <r>
    <s v="TX500196"/>
    <x v="0"/>
    <x v="1"/>
    <n v="10.199999999999999"/>
    <x v="190"/>
    <x v="7"/>
    <d v="2025-01-10T00:00:00"/>
    <s v="F"/>
    <x v="0"/>
    <x v="0"/>
    <x v="0"/>
    <x v="19"/>
    <x v="1"/>
    <x v="1"/>
    <x v="2"/>
  </r>
  <r>
    <s v="TX500197"/>
    <x v="8"/>
    <x v="8"/>
    <n v="41"/>
    <x v="191"/>
    <x v="7"/>
    <d v="2025-01-08T00:00:00"/>
    <s v="F"/>
    <x v="1"/>
    <x v="2"/>
    <x v="0"/>
    <x v="19"/>
    <x v="7"/>
    <x v="1"/>
    <x v="2"/>
  </r>
  <r>
    <s v="TX500198"/>
    <x v="10"/>
    <x v="3"/>
    <n v="50.8"/>
    <x v="192"/>
    <x v="7"/>
    <d v="2025-01-11T00:00:00"/>
    <s v="F"/>
    <x v="1"/>
    <x v="0"/>
    <x v="0"/>
    <x v="21"/>
    <x v="2"/>
    <x v="1"/>
    <x v="2"/>
  </r>
  <r>
    <s v="TX500199"/>
    <x v="18"/>
    <x v="2"/>
    <n v="39.6"/>
    <x v="193"/>
    <x v="7"/>
    <d v="2025-01-09T00:00:00"/>
    <s v="M"/>
    <x v="2"/>
    <x v="2"/>
    <x v="0"/>
    <x v="1"/>
    <x v="3"/>
    <x v="1"/>
    <x v="1"/>
  </r>
  <r>
    <s v="TX500200"/>
    <x v="5"/>
    <x v="1"/>
    <n v="69.5"/>
    <x v="194"/>
    <x v="7"/>
    <d v="2025-01-10T00:00:00"/>
    <s v="M"/>
    <x v="0"/>
    <x v="2"/>
    <x v="0"/>
    <x v="2"/>
    <x v="1"/>
    <x v="1"/>
    <x v="1"/>
  </r>
  <r>
    <s v="TX500201"/>
    <x v="8"/>
    <x v="8"/>
    <n v="32.6"/>
    <x v="195"/>
    <x v="7"/>
    <d v="2025-01-11T00:00:00"/>
    <s v="M"/>
    <x v="1"/>
    <x v="0"/>
    <x v="0"/>
    <x v="3"/>
    <x v="2"/>
    <x v="1"/>
    <x v="1"/>
  </r>
  <r>
    <s v="TX500202"/>
    <x v="7"/>
    <x v="1"/>
    <n v="49.1"/>
    <x v="196"/>
    <x v="7"/>
    <d v="2025-01-16T00:00:00"/>
    <s v="M"/>
    <x v="3"/>
    <x v="2"/>
    <x v="0"/>
    <x v="3"/>
    <x v="9"/>
    <x v="1"/>
    <x v="1"/>
  </r>
  <r>
    <s v="TX500203"/>
    <x v="6"/>
    <x v="1"/>
    <n v="49.4"/>
    <x v="197"/>
    <x v="8"/>
    <d v="2025-01-10T00:00:00"/>
    <s v="F"/>
    <x v="2"/>
    <x v="0"/>
    <x v="0"/>
    <x v="3"/>
    <x v="3"/>
    <x v="1"/>
    <x v="2"/>
  </r>
  <r>
    <s v="TX500204"/>
    <x v="7"/>
    <x v="3"/>
    <n v="65.099999999999994"/>
    <x v="198"/>
    <x v="8"/>
    <d v="2025-01-12T00:00:00"/>
    <s v="F"/>
    <x v="2"/>
    <x v="2"/>
    <x v="0"/>
    <x v="3"/>
    <x v="2"/>
    <x v="1"/>
    <x v="2"/>
  </r>
  <r>
    <s v="TX500205"/>
    <x v="3"/>
    <x v="1"/>
    <n v="52.1"/>
    <x v="199"/>
    <x v="8"/>
    <d v="2025-01-13T00:00:00"/>
    <s v="F"/>
    <x v="2"/>
    <x v="0"/>
    <x v="0"/>
    <x v="3"/>
    <x v="5"/>
    <x v="1"/>
    <x v="2"/>
  </r>
  <r>
    <s v="TX500206"/>
    <x v="2"/>
    <x v="12"/>
    <n v="129.19999999999999"/>
    <x v="200"/>
    <x v="8"/>
    <d v="2025-01-10T00:00:00"/>
    <s v="F"/>
    <x v="1"/>
    <x v="0"/>
    <x v="0"/>
    <x v="3"/>
    <x v="3"/>
    <x v="1"/>
    <x v="2"/>
  </r>
  <r>
    <s v="TX500207"/>
    <x v="1"/>
    <x v="10"/>
    <n v="81.8"/>
    <x v="201"/>
    <x v="8"/>
    <d v="2025-01-09T00:00:00"/>
    <s v="F"/>
    <x v="1"/>
    <x v="1"/>
    <x v="0"/>
    <x v="3"/>
    <x v="7"/>
    <x v="1"/>
    <x v="2"/>
  </r>
  <r>
    <s v="TX500208"/>
    <x v="17"/>
    <x v="0"/>
    <n v="24.9"/>
    <x v="202"/>
    <x v="8"/>
    <d v="2025-01-13T00:00:00"/>
    <s v="F"/>
    <x v="1"/>
    <x v="0"/>
    <x v="0"/>
    <x v="3"/>
    <x v="5"/>
    <x v="1"/>
    <x v="2"/>
  </r>
  <r>
    <s v="TX500209"/>
    <x v="0"/>
    <x v="2"/>
    <n v="49.4"/>
    <x v="203"/>
    <x v="8"/>
    <d v="2025-01-12T00:00:00"/>
    <s v="F"/>
    <x v="4"/>
    <x v="4"/>
    <x v="0"/>
    <x v="3"/>
    <x v="2"/>
    <x v="1"/>
    <x v="2"/>
  </r>
  <r>
    <s v="TX500210"/>
    <x v="8"/>
    <x v="1"/>
    <n v="22.7"/>
    <x v="204"/>
    <x v="8"/>
    <d v="2025-01-10T00:00:00"/>
    <s v="M"/>
    <x v="3"/>
    <x v="2"/>
    <x v="0"/>
    <x v="3"/>
    <x v="3"/>
    <x v="1"/>
    <x v="1"/>
  </r>
  <r>
    <s v="TX500211"/>
    <x v="1"/>
    <x v="0"/>
    <n v="77.3"/>
    <x v="83"/>
    <x v="8"/>
    <d v="2025-01-09T00:00:00"/>
    <s v="F"/>
    <x v="0"/>
    <x v="2"/>
    <x v="0"/>
    <x v="6"/>
    <x v="7"/>
    <x v="1"/>
    <x v="2"/>
  </r>
  <r>
    <s v="TX500212"/>
    <x v="1"/>
    <x v="9"/>
    <n v="109.1"/>
    <x v="205"/>
    <x v="8"/>
    <d v="2025-01-12T00:00:00"/>
    <s v="F"/>
    <x v="0"/>
    <x v="0"/>
    <x v="0"/>
    <x v="6"/>
    <x v="2"/>
    <x v="1"/>
    <x v="2"/>
  </r>
  <r>
    <s v="TX500213"/>
    <x v="2"/>
    <x v="12"/>
    <n v="53.9"/>
    <x v="206"/>
    <x v="8"/>
    <d v="2025-01-10T00:00:00"/>
    <s v="M"/>
    <x v="0"/>
    <x v="1"/>
    <x v="0"/>
    <x v="8"/>
    <x v="3"/>
    <x v="1"/>
    <x v="1"/>
  </r>
  <r>
    <s v="TX500214"/>
    <x v="9"/>
    <x v="18"/>
    <n v="21.2"/>
    <x v="207"/>
    <x v="8"/>
    <d v="2025-01-09T00:00:00"/>
    <s v="F"/>
    <x v="0"/>
    <x v="0"/>
    <x v="0"/>
    <x v="9"/>
    <x v="7"/>
    <x v="1"/>
    <x v="2"/>
  </r>
  <r>
    <s v="TX500215"/>
    <x v="16"/>
    <x v="12"/>
    <n v="69"/>
    <x v="208"/>
    <x v="8"/>
    <d v="2025-01-11T00:00:00"/>
    <s v="F"/>
    <x v="1"/>
    <x v="1"/>
    <x v="0"/>
    <x v="18"/>
    <x v="1"/>
    <x v="1"/>
    <x v="2"/>
  </r>
  <r>
    <s v="TX500216"/>
    <x v="6"/>
    <x v="2"/>
    <n v="46.2"/>
    <x v="209"/>
    <x v="8"/>
    <d v="2025-01-11T00:00:00"/>
    <s v="F"/>
    <x v="0"/>
    <x v="2"/>
    <x v="0"/>
    <x v="31"/>
    <x v="1"/>
    <x v="1"/>
    <x v="2"/>
  </r>
  <r>
    <s v="TX500217"/>
    <x v="1"/>
    <x v="9"/>
    <n v="97.4"/>
    <x v="210"/>
    <x v="8"/>
    <d v="2025-01-13T00:00:00"/>
    <s v="F"/>
    <x v="4"/>
    <x v="2"/>
    <x v="0"/>
    <x v="21"/>
    <x v="5"/>
    <x v="1"/>
    <x v="2"/>
  </r>
  <r>
    <s v="TX500218"/>
    <x v="8"/>
    <x v="9"/>
    <n v="21"/>
    <x v="211"/>
    <x v="8"/>
    <d v="2025-01-10T00:00:00"/>
    <s v="M"/>
    <x v="0"/>
    <x v="1"/>
    <x v="0"/>
    <x v="21"/>
    <x v="3"/>
    <x v="1"/>
    <x v="1"/>
  </r>
  <r>
    <s v="TX500219"/>
    <x v="5"/>
    <x v="1"/>
    <n v="32.700000000000003"/>
    <x v="212"/>
    <x v="9"/>
    <d v="2025-01-13T00:00:00"/>
    <s v="F"/>
    <x v="1"/>
    <x v="0"/>
    <x v="0"/>
    <x v="2"/>
    <x v="2"/>
    <x v="1"/>
    <x v="2"/>
  </r>
  <r>
    <s v="TX500220"/>
    <x v="6"/>
    <x v="12"/>
    <n v="48"/>
    <x v="213"/>
    <x v="9"/>
    <d v="2025-01-11T00:00:00"/>
    <s v="M"/>
    <x v="3"/>
    <x v="0"/>
    <x v="0"/>
    <x v="3"/>
    <x v="3"/>
    <x v="1"/>
    <x v="1"/>
  </r>
  <r>
    <s v="TX500221"/>
    <x v="6"/>
    <x v="2"/>
    <n v="68.2"/>
    <x v="214"/>
    <x v="9"/>
    <d v="2025-01-14T00:00:00"/>
    <s v=""/>
    <x v="0"/>
    <x v="2"/>
    <x v="0"/>
    <x v="3"/>
    <x v="5"/>
    <x v="1"/>
    <x v="0"/>
  </r>
  <r>
    <s v="TX500222"/>
    <x v="5"/>
    <x v="0"/>
    <n v="45.4"/>
    <x v="204"/>
    <x v="9"/>
    <d v="2025-01-12T00:00:00"/>
    <s v="M"/>
    <x v="1"/>
    <x v="0"/>
    <x v="0"/>
    <x v="3"/>
    <x v="1"/>
    <x v="1"/>
    <x v="1"/>
  </r>
  <r>
    <s v="TX500223"/>
    <x v="12"/>
    <x v="1"/>
    <n v="53.9"/>
    <x v="215"/>
    <x v="9"/>
    <d v="2025-01-11T00:00:00"/>
    <s v="F"/>
    <x v="2"/>
    <x v="0"/>
    <x v="0"/>
    <x v="3"/>
    <x v="3"/>
    <x v="1"/>
    <x v="2"/>
  </r>
  <r>
    <s v="TX500224"/>
    <x v="2"/>
    <x v="12"/>
    <n v="62.1"/>
    <x v="216"/>
    <x v="9"/>
    <d v="2025-01-14T00:00:00"/>
    <s v="F"/>
    <x v="0"/>
    <x v="0"/>
    <x v="0"/>
    <x v="4"/>
    <x v="5"/>
    <x v="1"/>
    <x v="2"/>
  </r>
  <r>
    <s v="TX500225"/>
    <x v="13"/>
    <x v="3"/>
    <n v="33.1"/>
    <x v="217"/>
    <x v="9"/>
    <d v="2025-01-15T00:00:00"/>
    <s v="M"/>
    <x v="1"/>
    <x v="0"/>
    <x v="0"/>
    <x v="6"/>
    <x v="0"/>
    <x v="1"/>
    <x v="1"/>
  </r>
  <r>
    <s v="TX500226"/>
    <x v="18"/>
    <x v="9"/>
    <n v="35.200000000000003"/>
    <x v="218"/>
    <x v="9"/>
    <d v="2025-01-10T00:00:00"/>
    <s v="F"/>
    <x v="1"/>
    <x v="0"/>
    <x v="0"/>
    <x v="6"/>
    <x v="7"/>
    <x v="1"/>
    <x v="2"/>
  </r>
  <r>
    <s v="TX500227"/>
    <x v="9"/>
    <x v="2"/>
    <n v="32.1"/>
    <x v="219"/>
    <x v="9"/>
    <d v="2025-01-15T00:00:00"/>
    <s v="M"/>
    <x v="3"/>
    <x v="0"/>
    <x v="0"/>
    <x v="8"/>
    <x v="0"/>
    <x v="1"/>
    <x v="1"/>
  </r>
  <r>
    <s v="TX500228"/>
    <x v="11"/>
    <x v="0"/>
    <n v="38.1"/>
    <x v="220"/>
    <x v="9"/>
    <d v="2025-01-15T00:00:00"/>
    <s v="F"/>
    <x v="0"/>
    <x v="2"/>
    <x v="0"/>
    <x v="8"/>
    <x v="0"/>
    <x v="1"/>
    <x v="2"/>
  </r>
  <r>
    <s v="TX500229"/>
    <x v="8"/>
    <x v="0"/>
    <n v="65.2"/>
    <x v="221"/>
    <x v="9"/>
    <d v="2025-01-15T00:00:00"/>
    <s v="F"/>
    <x v="3"/>
    <x v="1"/>
    <x v="0"/>
    <x v="8"/>
    <x v="0"/>
    <x v="1"/>
    <x v="2"/>
  </r>
  <r>
    <s v="TX500230"/>
    <x v="10"/>
    <x v="3"/>
    <n v="55.2"/>
    <x v="222"/>
    <x v="9"/>
    <d v="2025-01-11T00:00:00"/>
    <s v="M"/>
    <x v="2"/>
    <x v="0"/>
    <x v="0"/>
    <x v="11"/>
    <x v="3"/>
    <x v="1"/>
    <x v="1"/>
  </r>
  <r>
    <s v="TX500231"/>
    <x v="6"/>
    <x v="0"/>
    <n v="62"/>
    <x v="85"/>
    <x v="9"/>
    <d v="2025-01-14T00:00:00"/>
    <s v="F"/>
    <x v="0"/>
    <x v="0"/>
    <x v="0"/>
    <x v="11"/>
    <x v="5"/>
    <x v="1"/>
    <x v="2"/>
  </r>
  <r>
    <s v="TX500232"/>
    <x v="7"/>
    <x v="2"/>
    <n v="45.9"/>
    <x v="223"/>
    <x v="9"/>
    <d v="2025-01-11T00:00:00"/>
    <s v="F"/>
    <x v="2"/>
    <x v="0"/>
    <x v="0"/>
    <x v="32"/>
    <x v="3"/>
    <x v="1"/>
    <x v="2"/>
  </r>
  <r>
    <s v="TX500233"/>
    <x v="18"/>
    <x v="2"/>
    <n v="58.3"/>
    <x v="224"/>
    <x v="9"/>
    <d v="2025-01-10T00:00:00"/>
    <s v="M"/>
    <x v="1"/>
    <x v="1"/>
    <x v="0"/>
    <x v="18"/>
    <x v="7"/>
    <x v="1"/>
    <x v="1"/>
  </r>
  <r>
    <s v="TX500234"/>
    <x v="8"/>
    <x v="1"/>
    <n v="22.3"/>
    <x v="225"/>
    <x v="9"/>
    <d v="2025-01-13T00:00:00"/>
    <s v="F"/>
    <x v="0"/>
    <x v="2"/>
    <x v="0"/>
    <x v="20"/>
    <x v="2"/>
    <x v="1"/>
    <x v="2"/>
  </r>
  <r>
    <s v="TX500235"/>
    <x v="19"/>
    <x v="9"/>
    <n v="24"/>
    <x v="160"/>
    <x v="9"/>
    <d v="2025-01-11T00:00:00"/>
    <s v="M"/>
    <x v="4"/>
    <x v="0"/>
    <x v="0"/>
    <x v="1"/>
    <x v="3"/>
    <x v="1"/>
    <x v="1"/>
  </r>
  <r>
    <s v="TX500236"/>
    <x v="0"/>
    <x v="7"/>
    <n v="21.3"/>
    <x v="226"/>
    <x v="9"/>
    <d v="2025-01-10T00:00:00"/>
    <s v="F"/>
    <x v="1"/>
    <x v="2"/>
    <x v="0"/>
    <x v="22"/>
    <x v="7"/>
    <x v="1"/>
    <x v="2"/>
  </r>
  <r>
    <s v="TX500237"/>
    <x v="6"/>
    <x v="24"/>
    <n v="57.8"/>
    <x v="227"/>
    <x v="9"/>
    <d v="2025-01-12T00:00:00"/>
    <s v="F"/>
    <x v="0"/>
    <x v="2"/>
    <x v="0"/>
    <x v="3"/>
    <x v="1"/>
    <x v="1"/>
    <x v="2"/>
  </r>
  <r>
    <s v="TX500238"/>
    <x v="10"/>
    <x v="2"/>
    <n v="67.599999999999994"/>
    <x v="228"/>
    <x v="9"/>
    <d v="2025-01-11T00:00:00"/>
    <s v="F"/>
    <x v="0"/>
    <x v="0"/>
    <x v="0"/>
    <x v="3"/>
    <x v="3"/>
    <x v="1"/>
    <x v="2"/>
  </r>
  <r>
    <s v="TX500239"/>
    <x v="6"/>
    <x v="13"/>
    <n v="66.7"/>
    <x v="229"/>
    <x v="9"/>
    <d v="2025-01-14T00:00:00"/>
    <s v="M"/>
    <x v="4"/>
    <x v="1"/>
    <x v="0"/>
    <x v="3"/>
    <x v="5"/>
    <x v="1"/>
    <x v="1"/>
  </r>
  <r>
    <s v="TX500240"/>
    <x v="1"/>
    <x v="12"/>
    <n v="53.1"/>
    <x v="230"/>
    <x v="9"/>
    <d v="2025-01-12T00:00:00"/>
    <s v="F"/>
    <x v="1"/>
    <x v="0"/>
    <x v="0"/>
    <x v="3"/>
    <x v="1"/>
    <x v="1"/>
    <x v="2"/>
  </r>
  <r>
    <s v="TX500241"/>
    <x v="12"/>
    <x v="2"/>
    <n v="57.4"/>
    <x v="231"/>
    <x v="9"/>
    <d v="2025-01-13T00:00:00"/>
    <s v="F"/>
    <x v="0"/>
    <x v="2"/>
    <x v="0"/>
    <x v="29"/>
    <x v="2"/>
    <x v="1"/>
    <x v="2"/>
  </r>
  <r>
    <s v="TX500242"/>
    <x v="2"/>
    <x v="9"/>
    <n v="58.1"/>
    <x v="232"/>
    <x v="9"/>
    <d v="2025-01-10T00:00:00"/>
    <s v="M"/>
    <x v="2"/>
    <x v="2"/>
    <x v="0"/>
    <x v="6"/>
    <x v="7"/>
    <x v="1"/>
    <x v="1"/>
  </r>
  <r>
    <s v="TX500243"/>
    <x v="5"/>
    <x v="2"/>
    <n v="31.8"/>
    <x v="233"/>
    <x v="10"/>
    <d v="2025-01-13T00:00:00"/>
    <s v="M"/>
    <x v="3"/>
    <x v="0"/>
    <x v="0"/>
    <x v="6"/>
    <x v="1"/>
    <x v="1"/>
    <x v="1"/>
  </r>
  <r>
    <s v="TX500244"/>
    <x v="4"/>
    <x v="2"/>
    <n v="31.5"/>
    <x v="234"/>
    <x v="10"/>
    <d v="2025-01-14T00:00:00"/>
    <s v="M"/>
    <x v="0"/>
    <x v="1"/>
    <x v="0"/>
    <x v="8"/>
    <x v="2"/>
    <x v="1"/>
    <x v="1"/>
  </r>
  <r>
    <s v="TX500245"/>
    <x v="6"/>
    <x v="3"/>
    <n v="55.9"/>
    <x v="235"/>
    <x v="10"/>
    <d v="2025-01-15T00:00:00"/>
    <s v="F"/>
    <x v="1"/>
    <x v="2"/>
    <x v="0"/>
    <x v="8"/>
    <x v="5"/>
    <x v="1"/>
    <x v="2"/>
  </r>
  <r>
    <s v="TX500246"/>
    <x v="8"/>
    <x v="1"/>
    <n v="36.4"/>
    <x v="236"/>
    <x v="10"/>
    <d v="2025-01-12T00:00:00"/>
    <s v="M"/>
    <x v="1"/>
    <x v="1"/>
    <x v="0"/>
    <x v="9"/>
    <x v="3"/>
    <x v="1"/>
    <x v="1"/>
  </r>
  <r>
    <s v="TX500247"/>
    <x v="1"/>
    <x v="9"/>
    <n v="47.3"/>
    <x v="237"/>
    <x v="10"/>
    <d v="2025-01-14T00:00:00"/>
    <s v="M"/>
    <x v="2"/>
    <x v="0"/>
    <x v="0"/>
    <x v="10"/>
    <x v="2"/>
    <x v="1"/>
    <x v="1"/>
  </r>
  <r>
    <s v="TX500248"/>
    <x v="6"/>
    <x v="2"/>
    <n v="82.5"/>
    <x v="238"/>
    <x v="10"/>
    <d v="2025-01-12T00:00:00"/>
    <s v="M"/>
    <x v="0"/>
    <x v="0"/>
    <x v="0"/>
    <x v="11"/>
    <x v="3"/>
    <x v="1"/>
    <x v="1"/>
  </r>
  <r>
    <s v="TX500249"/>
    <x v="0"/>
    <x v="0"/>
    <n v="14.3"/>
    <x v="239"/>
    <x v="10"/>
    <d v="2025-01-12T00:00:00"/>
    <s v="F"/>
    <x v="0"/>
    <x v="0"/>
    <x v="0"/>
    <x v="21"/>
    <x v="3"/>
    <x v="1"/>
    <x v="2"/>
  </r>
  <r>
    <s v="TX500250"/>
    <x v="2"/>
    <x v="13"/>
    <n v="57.6"/>
    <x v="240"/>
    <x v="10"/>
    <d v="2025-01-25T00:00:00"/>
    <s v="F"/>
    <x v="0"/>
    <x v="0"/>
    <x v="0"/>
    <x v="21"/>
    <x v="12"/>
    <x v="1"/>
    <x v="2"/>
  </r>
  <r>
    <s v="TX500251"/>
    <x v="2"/>
    <x v="2"/>
    <n v="142.4"/>
    <x v="241"/>
    <x v="10"/>
    <d v="2025-01-13T00:00:00"/>
    <s v="M"/>
    <x v="4"/>
    <x v="1"/>
    <x v="0"/>
    <x v="21"/>
    <x v="1"/>
    <x v="1"/>
    <x v="1"/>
  </r>
  <r>
    <s v="TX500252"/>
    <x v="12"/>
    <x v="0"/>
    <n v="30.2"/>
    <x v="242"/>
    <x v="10"/>
    <d v="2025-01-15T00:00:00"/>
    <s v="M"/>
    <x v="1"/>
    <x v="2"/>
    <x v="0"/>
    <x v="2"/>
    <x v="5"/>
    <x v="1"/>
    <x v="1"/>
  </r>
  <r>
    <s v="TX500253"/>
    <x v="18"/>
    <x v="2"/>
    <n v="65.3"/>
    <x v="243"/>
    <x v="10"/>
    <d v="2025-01-12T00:00:00"/>
    <s v="O"/>
    <x v="1"/>
    <x v="0"/>
    <x v="0"/>
    <x v="33"/>
    <x v="3"/>
    <x v="1"/>
    <x v="3"/>
  </r>
  <r>
    <s v="TX500254"/>
    <x v="0"/>
    <x v="1"/>
    <n v="33.4"/>
    <x v="119"/>
    <x v="10"/>
    <d v="2025-01-12T00:00:00"/>
    <s v="M"/>
    <x v="1"/>
    <x v="1"/>
    <x v="0"/>
    <x v="22"/>
    <x v="3"/>
    <x v="1"/>
    <x v="1"/>
  </r>
  <r>
    <s v="TX500255"/>
    <x v="7"/>
    <x v="1"/>
    <n v="45.1"/>
    <x v="244"/>
    <x v="10"/>
    <d v="2025-01-19T00:00:00"/>
    <s v="M"/>
    <x v="0"/>
    <x v="0"/>
    <x v="0"/>
    <x v="34"/>
    <x v="9"/>
    <x v="1"/>
    <x v="1"/>
  </r>
  <r>
    <s v="TX500256"/>
    <x v="2"/>
    <x v="3"/>
    <n v="61.7"/>
    <x v="245"/>
    <x v="10"/>
    <d v="2025-01-13T00:00:00"/>
    <s v="F"/>
    <x v="4"/>
    <x v="0"/>
    <x v="0"/>
    <x v="3"/>
    <x v="1"/>
    <x v="1"/>
    <x v="2"/>
  </r>
  <r>
    <s v="TX500257"/>
    <x v="9"/>
    <x v="2"/>
    <n v="45.1"/>
    <x v="246"/>
    <x v="11"/>
    <d v="2025-01-13T00:00:00"/>
    <s v="M"/>
    <x v="4"/>
    <x v="1"/>
    <x v="0"/>
    <x v="3"/>
    <x v="3"/>
    <x v="2"/>
    <x v="1"/>
  </r>
  <r>
    <s v="TX500258"/>
    <x v="15"/>
    <x v="9"/>
    <n v="22.7"/>
    <x v="247"/>
    <x v="11"/>
    <d v="2025-01-17T00:00:00"/>
    <s v="M"/>
    <x v="0"/>
    <x v="2"/>
    <x v="0"/>
    <x v="35"/>
    <x v="0"/>
    <x v="2"/>
    <x v="1"/>
  </r>
  <r>
    <s v="TX500259"/>
    <x v="8"/>
    <x v="0"/>
    <n v="17.600000000000001"/>
    <x v="248"/>
    <x v="11"/>
    <d v="2025-01-13T00:00:00"/>
    <s v="F"/>
    <x v="0"/>
    <x v="2"/>
    <x v="0"/>
    <x v="23"/>
    <x v="3"/>
    <x v="2"/>
    <x v="2"/>
  </r>
  <r>
    <s v="TX500260"/>
    <x v="14"/>
    <x v="1"/>
    <n v="11.3"/>
    <x v="249"/>
    <x v="11"/>
    <d v="2025-01-15T00:00:00"/>
    <s v="F"/>
    <x v="3"/>
    <x v="2"/>
    <x v="0"/>
    <x v="23"/>
    <x v="2"/>
    <x v="2"/>
    <x v="2"/>
  </r>
  <r>
    <s v="TX500261"/>
    <x v="6"/>
    <x v="2"/>
    <n v="53.4"/>
    <x v="250"/>
    <x v="11"/>
    <d v="2025-01-15T00:00:00"/>
    <s v="M"/>
    <x v="3"/>
    <x v="2"/>
    <x v="0"/>
    <x v="36"/>
    <x v="2"/>
    <x v="2"/>
    <x v="1"/>
  </r>
  <r>
    <s v="TX500262"/>
    <x v="6"/>
    <x v="5"/>
    <n v="51.1"/>
    <x v="251"/>
    <x v="11"/>
    <d v="2025-01-14T00:00:00"/>
    <s v="F"/>
    <x v="2"/>
    <x v="2"/>
    <x v="0"/>
    <x v="8"/>
    <x v="1"/>
    <x v="2"/>
    <x v="2"/>
  </r>
  <r>
    <s v="TX500263"/>
    <x v="8"/>
    <x v="1"/>
    <n v="27.5"/>
    <x v="252"/>
    <x v="11"/>
    <d v="2025-01-13T00:00:00"/>
    <s v="M"/>
    <x v="4"/>
    <x v="1"/>
    <x v="0"/>
    <x v="8"/>
    <x v="3"/>
    <x v="2"/>
    <x v="1"/>
  </r>
  <r>
    <s v="TX500264"/>
    <x v="9"/>
    <x v="0"/>
    <n v="33.5"/>
    <x v="253"/>
    <x v="11"/>
    <d v="2025-01-14T00:00:00"/>
    <s v="F"/>
    <x v="0"/>
    <x v="4"/>
    <x v="0"/>
    <x v="8"/>
    <x v="1"/>
    <x v="2"/>
    <x v="2"/>
  </r>
  <r>
    <s v="TX500265"/>
    <x v="4"/>
    <x v="0"/>
    <n v="59.5"/>
    <x v="254"/>
    <x v="11"/>
    <d v="2025-01-12T00:00:00"/>
    <s v="M"/>
    <x v="0"/>
    <x v="2"/>
    <x v="0"/>
    <x v="18"/>
    <x v="7"/>
    <x v="2"/>
    <x v="1"/>
  </r>
  <r>
    <s v="TX500266"/>
    <x v="17"/>
    <x v="12"/>
    <n v="23.5"/>
    <x v="255"/>
    <x v="11"/>
    <d v="2025-01-13T00:00:00"/>
    <s v="F"/>
    <x v="3"/>
    <x v="3"/>
    <x v="0"/>
    <x v="19"/>
    <x v="3"/>
    <x v="2"/>
    <x v="2"/>
  </r>
  <r>
    <s v="TX500267"/>
    <x v="6"/>
    <x v="0"/>
    <n v="49.7"/>
    <x v="256"/>
    <x v="11"/>
    <d v="2025-01-13T00:00:00"/>
    <s v=""/>
    <x v="1"/>
    <x v="2"/>
    <x v="0"/>
    <x v="20"/>
    <x v="3"/>
    <x v="2"/>
    <x v="0"/>
  </r>
  <r>
    <s v="TX500268"/>
    <x v="6"/>
    <x v="12"/>
    <n v="44.2"/>
    <x v="257"/>
    <x v="11"/>
    <d v="2025-01-15T00:00:00"/>
    <s v="F"/>
    <x v="0"/>
    <x v="2"/>
    <x v="0"/>
    <x v="21"/>
    <x v="2"/>
    <x v="2"/>
    <x v="2"/>
  </r>
  <r>
    <s v="TX500269"/>
    <x v="8"/>
    <x v="0"/>
    <n v="22.1"/>
    <x v="258"/>
    <x v="11"/>
    <d v="2025-01-16T00:00:00"/>
    <s v="F"/>
    <x v="1"/>
    <x v="1"/>
    <x v="0"/>
    <x v="33"/>
    <x v="5"/>
    <x v="2"/>
    <x v="2"/>
  </r>
  <r>
    <s v="TX500270"/>
    <x v="6"/>
    <x v="2"/>
    <n v="90.9"/>
    <x v="259"/>
    <x v="11"/>
    <d v="2025-01-13T00:00:00"/>
    <s v="F"/>
    <x v="2"/>
    <x v="4"/>
    <x v="0"/>
    <x v="3"/>
    <x v="3"/>
    <x v="2"/>
    <x v="2"/>
  </r>
  <r>
    <s v="TX500271"/>
    <x v="8"/>
    <x v="2"/>
    <n v="44.5"/>
    <x v="260"/>
    <x v="11"/>
    <d v="2025-01-13T00:00:00"/>
    <s v="F"/>
    <x v="1"/>
    <x v="0"/>
    <x v="0"/>
    <x v="3"/>
    <x v="3"/>
    <x v="2"/>
    <x v="2"/>
  </r>
  <r>
    <s v="TX500272"/>
    <x v="9"/>
    <x v="13"/>
    <n v="32.299999999999997"/>
    <x v="261"/>
    <x v="11"/>
    <d v="2025-01-16T00:00:00"/>
    <s v="F"/>
    <x v="0"/>
    <x v="0"/>
    <x v="0"/>
    <x v="3"/>
    <x v="5"/>
    <x v="2"/>
    <x v="2"/>
  </r>
  <r>
    <s v="TX500273"/>
    <x v="17"/>
    <x v="2"/>
    <n v="87.5"/>
    <x v="175"/>
    <x v="11"/>
    <d v="2025-01-13T00:00:00"/>
    <s v="F"/>
    <x v="1"/>
    <x v="1"/>
    <x v="0"/>
    <x v="3"/>
    <x v="3"/>
    <x v="2"/>
    <x v="2"/>
  </r>
  <r>
    <s v="TX500274"/>
    <x v="16"/>
    <x v="9"/>
    <n v="48.7"/>
    <x v="262"/>
    <x v="11"/>
    <d v="2025-01-13T00:00:00"/>
    <s v="M"/>
    <x v="2"/>
    <x v="0"/>
    <x v="0"/>
    <x v="3"/>
    <x v="3"/>
    <x v="2"/>
    <x v="1"/>
  </r>
  <r>
    <s v="TX500275"/>
    <x v="0"/>
    <x v="9"/>
    <n v="22.5"/>
    <x v="158"/>
    <x v="11"/>
    <d v="2025-01-13T00:00:00"/>
    <s v="M"/>
    <x v="0"/>
    <x v="0"/>
    <x v="0"/>
    <x v="3"/>
    <x v="3"/>
    <x v="2"/>
    <x v="1"/>
  </r>
  <r>
    <s v="TX500276"/>
    <x v="1"/>
    <x v="8"/>
    <n v="65.900000000000006"/>
    <x v="263"/>
    <x v="11"/>
    <d v="2025-01-15T00:00:00"/>
    <s v="F"/>
    <x v="1"/>
    <x v="2"/>
    <x v="0"/>
    <x v="3"/>
    <x v="2"/>
    <x v="2"/>
    <x v="2"/>
  </r>
  <r>
    <s v="TX500277"/>
    <x v="6"/>
    <x v="9"/>
    <n v="41.9"/>
    <x v="264"/>
    <x v="11"/>
    <d v="2025-01-19T00:00:00"/>
    <s v=""/>
    <x v="0"/>
    <x v="0"/>
    <x v="0"/>
    <x v="3"/>
    <x v="6"/>
    <x v="2"/>
    <x v="0"/>
  </r>
  <r>
    <s v="TX500278"/>
    <x v="1"/>
    <x v="9"/>
    <n v="67.5"/>
    <x v="265"/>
    <x v="11"/>
    <d v="2025-01-13T00:00:00"/>
    <s v="F"/>
    <x v="0"/>
    <x v="2"/>
    <x v="0"/>
    <x v="3"/>
    <x v="3"/>
    <x v="2"/>
    <x v="2"/>
  </r>
  <r>
    <s v="TX500279"/>
    <x v="9"/>
    <x v="0"/>
    <n v="60.4"/>
    <x v="266"/>
    <x v="12"/>
    <d v="2025-01-15T00:00:00"/>
    <s v="F"/>
    <x v="1"/>
    <x v="1"/>
    <x v="0"/>
    <x v="3"/>
    <x v="1"/>
    <x v="2"/>
    <x v="2"/>
  </r>
  <r>
    <s v="TX500280"/>
    <x v="1"/>
    <x v="3"/>
    <n v="30.4"/>
    <x v="267"/>
    <x v="12"/>
    <d v="2025-01-16T00:00:00"/>
    <s v="F"/>
    <x v="4"/>
    <x v="0"/>
    <x v="0"/>
    <x v="3"/>
    <x v="2"/>
    <x v="2"/>
    <x v="2"/>
  </r>
  <r>
    <s v="TX500281"/>
    <x v="14"/>
    <x v="1"/>
    <n v="24.5"/>
    <x v="268"/>
    <x v="12"/>
    <d v="2025-01-14T00:00:00"/>
    <s v="M"/>
    <x v="3"/>
    <x v="2"/>
    <x v="0"/>
    <x v="3"/>
    <x v="3"/>
    <x v="2"/>
    <x v="1"/>
  </r>
  <r>
    <s v="TX500282"/>
    <x v="2"/>
    <x v="2"/>
    <n v="105.9"/>
    <x v="269"/>
    <x v="12"/>
    <d v="2025-01-18T00:00:00"/>
    <s v="M"/>
    <x v="0"/>
    <x v="0"/>
    <x v="0"/>
    <x v="37"/>
    <x v="0"/>
    <x v="2"/>
    <x v="1"/>
  </r>
  <r>
    <s v="TX500283"/>
    <x v="10"/>
    <x v="25"/>
    <n v="25.9"/>
    <x v="270"/>
    <x v="12"/>
    <d v="2025-01-14T00:00:00"/>
    <s v="F"/>
    <x v="4"/>
    <x v="0"/>
    <x v="0"/>
    <x v="23"/>
    <x v="3"/>
    <x v="2"/>
    <x v="2"/>
  </r>
  <r>
    <s v="TX500284"/>
    <x v="6"/>
    <x v="2"/>
    <n v="66.8"/>
    <x v="271"/>
    <x v="12"/>
    <d v="2025-01-13T00:00:00"/>
    <s v="M"/>
    <x v="0"/>
    <x v="0"/>
    <x v="0"/>
    <x v="23"/>
    <x v="7"/>
    <x v="2"/>
    <x v="1"/>
  </r>
  <r>
    <s v="TX500285"/>
    <x v="6"/>
    <x v="2"/>
    <n v="112.3"/>
    <x v="272"/>
    <x v="12"/>
    <d v="2025-01-14T00:00:00"/>
    <s v="M"/>
    <x v="2"/>
    <x v="4"/>
    <x v="0"/>
    <x v="6"/>
    <x v="3"/>
    <x v="2"/>
    <x v="1"/>
  </r>
  <r>
    <s v="TX500286"/>
    <x v="1"/>
    <x v="13"/>
    <n v="94.1"/>
    <x v="273"/>
    <x v="12"/>
    <d v="2025-01-14T00:00:00"/>
    <s v="F"/>
    <x v="0"/>
    <x v="4"/>
    <x v="0"/>
    <x v="6"/>
    <x v="3"/>
    <x v="2"/>
    <x v="2"/>
  </r>
  <r>
    <s v="TX500287"/>
    <x v="5"/>
    <x v="0"/>
    <n v="40.700000000000003"/>
    <x v="274"/>
    <x v="12"/>
    <d v="2025-01-16T00:00:00"/>
    <s v="F"/>
    <x v="2"/>
    <x v="0"/>
    <x v="0"/>
    <x v="6"/>
    <x v="2"/>
    <x v="2"/>
    <x v="2"/>
  </r>
  <r>
    <s v="TX500288"/>
    <x v="3"/>
    <x v="1"/>
    <n v="71.400000000000006"/>
    <x v="275"/>
    <x v="12"/>
    <d v="2025-01-14T00:00:00"/>
    <s v="M"/>
    <x v="0"/>
    <x v="0"/>
    <x v="0"/>
    <x v="7"/>
    <x v="3"/>
    <x v="2"/>
    <x v="1"/>
  </r>
  <r>
    <s v="TX500289"/>
    <x v="0"/>
    <x v="16"/>
    <n v="15.6"/>
    <x v="276"/>
    <x v="12"/>
    <d v="2025-01-14T00:00:00"/>
    <s v="M"/>
    <x v="1"/>
    <x v="3"/>
    <x v="0"/>
    <x v="8"/>
    <x v="3"/>
    <x v="2"/>
    <x v="1"/>
  </r>
  <r>
    <s v="TX500290"/>
    <x v="10"/>
    <x v="12"/>
    <n v="37.799999999999997"/>
    <x v="277"/>
    <x v="12"/>
    <d v="2025-01-14T00:00:00"/>
    <s v="M"/>
    <x v="2"/>
    <x v="2"/>
    <x v="0"/>
    <x v="8"/>
    <x v="3"/>
    <x v="2"/>
    <x v="1"/>
  </r>
  <r>
    <s v="TX500291"/>
    <x v="4"/>
    <x v="2"/>
    <n v="28.1"/>
    <x v="278"/>
    <x v="12"/>
    <d v="2025-01-17T00:00:00"/>
    <s v="M"/>
    <x v="0"/>
    <x v="0"/>
    <x v="0"/>
    <x v="8"/>
    <x v="5"/>
    <x v="2"/>
    <x v="1"/>
  </r>
  <r>
    <s v="TX500292"/>
    <x v="7"/>
    <x v="13"/>
    <n v="51.4"/>
    <x v="279"/>
    <x v="12"/>
    <d v="2025-01-17T00:00:00"/>
    <s v="M"/>
    <x v="0"/>
    <x v="0"/>
    <x v="0"/>
    <x v="8"/>
    <x v="5"/>
    <x v="2"/>
    <x v="1"/>
  </r>
  <r>
    <s v="TX500293"/>
    <x v="7"/>
    <x v="1"/>
    <n v="97.7"/>
    <x v="280"/>
    <x v="12"/>
    <d v="2025-01-15T00:00:00"/>
    <s v="F"/>
    <x v="4"/>
    <x v="2"/>
    <x v="0"/>
    <x v="17"/>
    <x v="1"/>
    <x v="2"/>
    <x v="2"/>
  </r>
  <r>
    <s v="TX500294"/>
    <x v="1"/>
    <x v="12"/>
    <n v="63.8"/>
    <x v="281"/>
    <x v="12"/>
    <d v="2025-01-14T00:00:00"/>
    <s v="M"/>
    <x v="2"/>
    <x v="0"/>
    <x v="0"/>
    <x v="38"/>
    <x v="3"/>
    <x v="2"/>
    <x v="1"/>
  </r>
  <r>
    <s v="TX500295"/>
    <x v="13"/>
    <x v="1"/>
    <n v="20.100000000000001"/>
    <x v="282"/>
    <x v="12"/>
    <d v="2025-01-15T00:00:00"/>
    <s v="M"/>
    <x v="0"/>
    <x v="2"/>
    <x v="0"/>
    <x v="20"/>
    <x v="1"/>
    <x v="2"/>
    <x v="1"/>
  </r>
  <r>
    <s v="TX500296"/>
    <x v="11"/>
    <x v="2"/>
    <n v="50.4"/>
    <x v="277"/>
    <x v="12"/>
    <d v="2025-01-16T00:00:00"/>
    <s v="F"/>
    <x v="3"/>
    <x v="0"/>
    <x v="0"/>
    <x v="13"/>
    <x v="2"/>
    <x v="2"/>
    <x v="2"/>
  </r>
  <r>
    <s v="TX500297"/>
    <x v="0"/>
    <x v="0"/>
    <n v="16.2"/>
    <x v="283"/>
    <x v="12"/>
    <d v="2025-01-26T00:00:00"/>
    <s v="F"/>
    <x v="1"/>
    <x v="0"/>
    <x v="0"/>
    <x v="1"/>
    <x v="10"/>
    <x v="2"/>
    <x v="2"/>
  </r>
  <r>
    <s v="TX500298"/>
    <x v="6"/>
    <x v="3"/>
    <n v="80.900000000000006"/>
    <x v="284"/>
    <x v="12"/>
    <d v="2025-01-15T00:00:00"/>
    <s v="M"/>
    <x v="4"/>
    <x v="4"/>
    <x v="0"/>
    <x v="2"/>
    <x v="1"/>
    <x v="2"/>
    <x v="1"/>
  </r>
  <r>
    <s v="TX500299"/>
    <x v="9"/>
    <x v="13"/>
    <n v="95.2"/>
    <x v="285"/>
    <x v="12"/>
    <d v="2025-01-15T00:00:00"/>
    <s v="F"/>
    <x v="0"/>
    <x v="2"/>
    <x v="0"/>
    <x v="2"/>
    <x v="1"/>
    <x v="2"/>
    <x v="2"/>
  </r>
  <r>
    <s v="TX500300"/>
    <x v="5"/>
    <x v="8"/>
    <n v="70.400000000000006"/>
    <x v="286"/>
    <x v="12"/>
    <d v="2025-01-14T00:00:00"/>
    <s v="M"/>
    <x v="1"/>
    <x v="1"/>
    <x v="0"/>
    <x v="3"/>
    <x v="3"/>
    <x v="2"/>
    <x v="1"/>
  </r>
  <r>
    <s v="TX500301"/>
    <x v="0"/>
    <x v="9"/>
    <n v="10.7"/>
    <x v="287"/>
    <x v="12"/>
    <d v="2025-01-17T00:00:00"/>
    <s v="F"/>
    <x v="2"/>
    <x v="0"/>
    <x v="0"/>
    <x v="3"/>
    <x v="5"/>
    <x v="2"/>
    <x v="2"/>
  </r>
  <r>
    <s v="TX500302"/>
    <x v="8"/>
    <x v="9"/>
    <n v="19.600000000000001"/>
    <x v="11"/>
    <x v="12"/>
    <d v="2025-01-15T00:00:00"/>
    <s v="F"/>
    <x v="0"/>
    <x v="3"/>
    <x v="0"/>
    <x v="3"/>
    <x v="1"/>
    <x v="2"/>
    <x v="2"/>
  </r>
  <r>
    <s v="TX500303"/>
    <x v="8"/>
    <x v="5"/>
    <n v="34.700000000000003"/>
    <x v="288"/>
    <x v="12"/>
    <d v="2025-01-15T00:00:00"/>
    <s v="F"/>
    <x v="0"/>
    <x v="2"/>
    <x v="0"/>
    <x v="3"/>
    <x v="1"/>
    <x v="2"/>
    <x v="2"/>
  </r>
  <r>
    <s v="TX500304"/>
    <x v="10"/>
    <x v="11"/>
    <n v="34.1"/>
    <x v="289"/>
    <x v="12"/>
    <d v="2025-01-14T00:00:00"/>
    <s v="F"/>
    <x v="4"/>
    <x v="1"/>
    <x v="0"/>
    <x v="3"/>
    <x v="3"/>
    <x v="2"/>
    <x v="2"/>
  </r>
  <r>
    <s v="TX500305"/>
    <x v="0"/>
    <x v="26"/>
    <n v="29.3"/>
    <x v="290"/>
    <x v="12"/>
    <d v="2025-01-13T00:00:00"/>
    <s v="M"/>
    <x v="0"/>
    <x v="1"/>
    <x v="0"/>
    <x v="3"/>
    <x v="7"/>
    <x v="2"/>
    <x v="1"/>
  </r>
  <r>
    <s v="TX500306"/>
    <x v="1"/>
    <x v="0"/>
    <n v="55.2"/>
    <x v="291"/>
    <x v="12"/>
    <d v="2025-01-14T00:00:00"/>
    <s v="F"/>
    <x v="0"/>
    <x v="1"/>
    <x v="0"/>
    <x v="3"/>
    <x v="3"/>
    <x v="2"/>
    <x v="2"/>
  </r>
  <r>
    <s v="TX500307"/>
    <x v="18"/>
    <x v="2"/>
    <n v="26"/>
    <x v="292"/>
    <x v="12"/>
    <d v="2025-01-16T00:00:00"/>
    <s v="F"/>
    <x v="0"/>
    <x v="2"/>
    <x v="0"/>
    <x v="3"/>
    <x v="2"/>
    <x v="2"/>
    <x v="2"/>
  </r>
  <r>
    <s v="TX500308"/>
    <x v="14"/>
    <x v="1"/>
    <n v="14.2"/>
    <x v="293"/>
    <x v="12"/>
    <d v="2025-01-18T00:00:00"/>
    <s v="F"/>
    <x v="3"/>
    <x v="0"/>
    <x v="0"/>
    <x v="39"/>
    <x v="0"/>
    <x v="2"/>
    <x v="2"/>
  </r>
  <r>
    <s v="TX500309"/>
    <x v="8"/>
    <x v="11"/>
    <n v="22.7"/>
    <x v="294"/>
    <x v="13"/>
    <d v="2025-01-15T00:00:00"/>
    <s v="M"/>
    <x v="1"/>
    <x v="0"/>
    <x v="0"/>
    <x v="6"/>
    <x v="3"/>
    <x v="2"/>
    <x v="1"/>
  </r>
  <r>
    <s v="TX500310"/>
    <x v="0"/>
    <x v="20"/>
    <n v="19.8"/>
    <x v="295"/>
    <x v="13"/>
    <d v="2025-01-14T00:00:00"/>
    <s v="F"/>
    <x v="0"/>
    <x v="2"/>
    <x v="0"/>
    <x v="6"/>
    <x v="7"/>
    <x v="2"/>
    <x v="2"/>
  </r>
  <r>
    <s v="TX500311"/>
    <x v="0"/>
    <x v="2"/>
    <n v="31.7"/>
    <x v="296"/>
    <x v="13"/>
    <d v="2025-01-15T00:00:00"/>
    <s v="M"/>
    <x v="2"/>
    <x v="0"/>
    <x v="0"/>
    <x v="6"/>
    <x v="3"/>
    <x v="2"/>
    <x v="1"/>
  </r>
  <r>
    <s v="TX500312"/>
    <x v="8"/>
    <x v="12"/>
    <n v="30.4"/>
    <x v="297"/>
    <x v="13"/>
    <d v="2025-01-18T00:00:00"/>
    <s v="M"/>
    <x v="0"/>
    <x v="0"/>
    <x v="0"/>
    <x v="6"/>
    <x v="5"/>
    <x v="2"/>
    <x v="1"/>
  </r>
  <r>
    <s v="TX500313"/>
    <x v="0"/>
    <x v="12"/>
    <n v="25.6"/>
    <x v="298"/>
    <x v="13"/>
    <d v="2025-01-15T00:00:00"/>
    <s v="M"/>
    <x v="3"/>
    <x v="0"/>
    <x v="0"/>
    <x v="8"/>
    <x v="3"/>
    <x v="2"/>
    <x v="1"/>
  </r>
  <r>
    <s v="TX500314"/>
    <x v="5"/>
    <x v="1"/>
    <n v="34.9"/>
    <x v="299"/>
    <x v="13"/>
    <d v="2025-01-15T00:00:00"/>
    <s v="F"/>
    <x v="2"/>
    <x v="0"/>
    <x v="0"/>
    <x v="9"/>
    <x v="3"/>
    <x v="2"/>
    <x v="2"/>
  </r>
  <r>
    <s v="TX500315"/>
    <x v="7"/>
    <x v="13"/>
    <n v="42.7"/>
    <x v="300"/>
    <x v="13"/>
    <d v="2025-01-17T00:00:00"/>
    <s v="M"/>
    <x v="2"/>
    <x v="1"/>
    <x v="0"/>
    <x v="11"/>
    <x v="2"/>
    <x v="2"/>
    <x v="1"/>
  </r>
  <r>
    <s v="TX500316"/>
    <x v="8"/>
    <x v="0"/>
    <n v="23.9"/>
    <x v="301"/>
    <x v="13"/>
    <d v="2025-01-16T00:00:00"/>
    <s v="F"/>
    <x v="3"/>
    <x v="0"/>
    <x v="0"/>
    <x v="11"/>
    <x v="1"/>
    <x v="2"/>
    <x v="2"/>
  </r>
  <r>
    <s v="TX500317"/>
    <x v="6"/>
    <x v="0"/>
    <n v="124.3"/>
    <x v="302"/>
    <x v="13"/>
    <d v="2025-01-15T00:00:00"/>
    <s v=""/>
    <x v="2"/>
    <x v="1"/>
    <x v="0"/>
    <x v="21"/>
    <x v="3"/>
    <x v="2"/>
    <x v="0"/>
  </r>
  <r>
    <s v="TX500318"/>
    <x v="8"/>
    <x v="13"/>
    <n v="35.9"/>
    <x v="303"/>
    <x v="13"/>
    <d v="2025-01-15T00:00:00"/>
    <s v="F"/>
    <x v="0"/>
    <x v="1"/>
    <x v="0"/>
    <x v="1"/>
    <x v="3"/>
    <x v="2"/>
    <x v="2"/>
  </r>
  <r>
    <s v="TX500319"/>
    <x v="2"/>
    <x v="1"/>
    <n v="69.099999999999994"/>
    <x v="304"/>
    <x v="13"/>
    <d v="2025-01-17T00:00:00"/>
    <s v="F"/>
    <x v="0"/>
    <x v="2"/>
    <x v="0"/>
    <x v="22"/>
    <x v="2"/>
    <x v="2"/>
    <x v="2"/>
  </r>
  <r>
    <s v="TX500320"/>
    <x v="7"/>
    <x v="0"/>
    <n v="58.4"/>
    <x v="305"/>
    <x v="13"/>
    <d v="2025-01-18T00:00:00"/>
    <s v="M"/>
    <x v="0"/>
    <x v="0"/>
    <x v="0"/>
    <x v="22"/>
    <x v="5"/>
    <x v="2"/>
    <x v="1"/>
  </r>
  <r>
    <s v="TX500321"/>
    <x v="5"/>
    <x v="0"/>
    <n v="65.2"/>
    <x v="221"/>
    <x v="13"/>
    <d v="2025-01-16T00:00:00"/>
    <s v="O"/>
    <x v="4"/>
    <x v="4"/>
    <x v="0"/>
    <x v="3"/>
    <x v="1"/>
    <x v="2"/>
    <x v="3"/>
  </r>
  <r>
    <s v="TX500322"/>
    <x v="8"/>
    <x v="14"/>
    <n v="32.700000000000003"/>
    <x v="306"/>
    <x v="13"/>
    <d v="2025-01-21T00:00:00"/>
    <s v=""/>
    <x v="4"/>
    <x v="0"/>
    <x v="0"/>
    <x v="3"/>
    <x v="6"/>
    <x v="2"/>
    <x v="0"/>
  </r>
  <r>
    <s v="TX500323"/>
    <x v="10"/>
    <x v="3"/>
    <n v="24.4"/>
    <x v="307"/>
    <x v="13"/>
    <d v="2025-01-15T00:00:00"/>
    <s v="F"/>
    <x v="0"/>
    <x v="0"/>
    <x v="0"/>
    <x v="3"/>
    <x v="3"/>
    <x v="2"/>
    <x v="2"/>
  </r>
  <r>
    <s v="TX500324"/>
    <x v="14"/>
    <x v="1"/>
    <n v="50.4"/>
    <x v="90"/>
    <x v="13"/>
    <d v="2025-01-20T00:00:00"/>
    <s v="M"/>
    <x v="0"/>
    <x v="1"/>
    <x v="0"/>
    <x v="3"/>
    <x v="4"/>
    <x v="2"/>
    <x v="1"/>
  </r>
  <r>
    <s v="TX500325"/>
    <x v="1"/>
    <x v="1"/>
    <n v="100"/>
    <x v="308"/>
    <x v="13"/>
    <d v="2025-01-15T00:00:00"/>
    <s v="F"/>
    <x v="0"/>
    <x v="0"/>
    <x v="0"/>
    <x v="3"/>
    <x v="3"/>
    <x v="2"/>
    <x v="2"/>
  </r>
  <r>
    <s v="TX500326"/>
    <x v="10"/>
    <x v="2"/>
    <n v="43"/>
    <x v="309"/>
    <x v="14"/>
    <d v="2025-01-15T00:00:00"/>
    <s v="F"/>
    <x v="2"/>
    <x v="1"/>
    <x v="0"/>
    <x v="3"/>
    <x v="7"/>
    <x v="2"/>
    <x v="2"/>
  </r>
  <r>
    <s v="TX500327"/>
    <x v="1"/>
    <x v="9"/>
    <n v="64.400000000000006"/>
    <x v="310"/>
    <x v="14"/>
    <d v="2025-01-17T00:00:00"/>
    <s v="M"/>
    <x v="2"/>
    <x v="1"/>
    <x v="0"/>
    <x v="3"/>
    <x v="1"/>
    <x v="2"/>
    <x v="1"/>
  </r>
  <r>
    <s v="TX500328"/>
    <x v="18"/>
    <x v="1"/>
    <n v="57.4"/>
    <x v="311"/>
    <x v="14"/>
    <d v="2025-01-16T00:00:00"/>
    <s v="M"/>
    <x v="2"/>
    <x v="1"/>
    <x v="0"/>
    <x v="3"/>
    <x v="3"/>
    <x v="2"/>
    <x v="1"/>
  </r>
  <r>
    <s v="TX500329"/>
    <x v="2"/>
    <x v="2"/>
    <n v="55.1"/>
    <x v="312"/>
    <x v="14"/>
    <d v="2025-01-18T00:00:00"/>
    <s v="F"/>
    <x v="1"/>
    <x v="0"/>
    <x v="0"/>
    <x v="3"/>
    <x v="2"/>
    <x v="2"/>
    <x v="2"/>
  </r>
  <r>
    <s v="TX500330"/>
    <x v="7"/>
    <x v="12"/>
    <n v="45.4"/>
    <x v="106"/>
    <x v="14"/>
    <d v="2025-01-16T00:00:00"/>
    <s v="F"/>
    <x v="1"/>
    <x v="0"/>
    <x v="0"/>
    <x v="3"/>
    <x v="3"/>
    <x v="2"/>
    <x v="2"/>
  </r>
  <r>
    <s v="TX500331"/>
    <x v="3"/>
    <x v="2"/>
    <n v="93.3"/>
    <x v="313"/>
    <x v="14"/>
    <d v="2025-01-16T00:00:00"/>
    <s v="F"/>
    <x v="0"/>
    <x v="0"/>
    <x v="0"/>
    <x v="40"/>
    <x v="3"/>
    <x v="2"/>
    <x v="2"/>
  </r>
  <r>
    <s v="TX500332"/>
    <x v="2"/>
    <x v="10"/>
    <n v="158.19999999999999"/>
    <x v="314"/>
    <x v="14"/>
    <d v="2025-01-16T00:00:00"/>
    <s v="F"/>
    <x v="1"/>
    <x v="2"/>
    <x v="0"/>
    <x v="16"/>
    <x v="3"/>
    <x v="2"/>
    <x v="2"/>
  </r>
  <r>
    <s v="TX500333"/>
    <x v="2"/>
    <x v="1"/>
    <n v="74.900000000000006"/>
    <x v="315"/>
    <x v="14"/>
    <d v="2025-01-17T00:00:00"/>
    <s v="M"/>
    <x v="3"/>
    <x v="0"/>
    <x v="0"/>
    <x v="6"/>
    <x v="1"/>
    <x v="2"/>
    <x v="1"/>
  </r>
  <r>
    <s v="TX500334"/>
    <x v="8"/>
    <x v="3"/>
    <n v="26"/>
    <x v="316"/>
    <x v="14"/>
    <d v="2025-01-18T00:00:00"/>
    <s v="F"/>
    <x v="1"/>
    <x v="0"/>
    <x v="0"/>
    <x v="8"/>
    <x v="2"/>
    <x v="2"/>
    <x v="2"/>
  </r>
  <r>
    <s v="TX500335"/>
    <x v="9"/>
    <x v="13"/>
    <n v="37.5"/>
    <x v="317"/>
    <x v="14"/>
    <d v="2025-01-16T00:00:00"/>
    <s v="F"/>
    <x v="0"/>
    <x v="1"/>
    <x v="0"/>
    <x v="8"/>
    <x v="3"/>
    <x v="2"/>
    <x v="2"/>
  </r>
  <r>
    <s v="TX500336"/>
    <x v="6"/>
    <x v="1"/>
    <n v="75.8"/>
    <x v="318"/>
    <x v="14"/>
    <d v="2025-01-21T00:00:00"/>
    <s v="M"/>
    <x v="0"/>
    <x v="0"/>
    <x v="0"/>
    <x v="8"/>
    <x v="4"/>
    <x v="2"/>
    <x v="1"/>
  </r>
  <r>
    <s v="TX500337"/>
    <x v="7"/>
    <x v="0"/>
    <n v="48.5"/>
    <x v="319"/>
    <x v="14"/>
    <d v="2025-01-27T00:00:00"/>
    <s v=""/>
    <x v="4"/>
    <x v="2"/>
    <x v="0"/>
    <x v="8"/>
    <x v="13"/>
    <x v="2"/>
    <x v="0"/>
  </r>
  <r>
    <s v="TX500338"/>
    <x v="6"/>
    <x v="2"/>
    <n v="98.9"/>
    <x v="320"/>
    <x v="14"/>
    <d v="2025-01-17T00:00:00"/>
    <s v="F"/>
    <x v="4"/>
    <x v="1"/>
    <x v="0"/>
    <x v="8"/>
    <x v="1"/>
    <x v="2"/>
    <x v="2"/>
  </r>
  <r>
    <s v="TX500339"/>
    <x v="1"/>
    <x v="4"/>
    <n v="50.9"/>
    <x v="321"/>
    <x v="14"/>
    <d v="2025-01-15T00:00:00"/>
    <s v="M"/>
    <x v="4"/>
    <x v="0"/>
    <x v="0"/>
    <x v="8"/>
    <x v="7"/>
    <x v="2"/>
    <x v="1"/>
  </r>
  <r>
    <s v="TX500340"/>
    <x v="12"/>
    <x v="13"/>
    <n v="84.7"/>
    <x v="322"/>
    <x v="14"/>
    <d v="2025-01-15T00:00:00"/>
    <s v="F"/>
    <x v="2"/>
    <x v="0"/>
    <x v="0"/>
    <x v="8"/>
    <x v="7"/>
    <x v="2"/>
    <x v="2"/>
  </r>
  <r>
    <s v="TX500341"/>
    <x v="8"/>
    <x v="0"/>
    <n v="20.7"/>
    <x v="323"/>
    <x v="14"/>
    <d v="2025-01-17T00:00:00"/>
    <s v="F"/>
    <x v="3"/>
    <x v="2"/>
    <x v="0"/>
    <x v="8"/>
    <x v="1"/>
    <x v="2"/>
    <x v="2"/>
  </r>
  <r>
    <s v="TX500342"/>
    <x v="12"/>
    <x v="11"/>
    <n v="57.8"/>
    <x v="324"/>
    <x v="14"/>
    <d v="2025-01-26T00:00:00"/>
    <s v="M"/>
    <x v="0"/>
    <x v="4"/>
    <x v="0"/>
    <x v="17"/>
    <x v="11"/>
    <x v="2"/>
    <x v="1"/>
  </r>
  <r>
    <s v="TX500343"/>
    <x v="2"/>
    <x v="1"/>
    <n v="106.9"/>
    <x v="325"/>
    <x v="14"/>
    <d v="2025-01-17T00:00:00"/>
    <s v="F"/>
    <x v="0"/>
    <x v="2"/>
    <x v="0"/>
    <x v="41"/>
    <x v="1"/>
    <x v="2"/>
    <x v="2"/>
  </r>
  <r>
    <s v="TX500344"/>
    <x v="3"/>
    <x v="9"/>
    <n v="45.2"/>
    <x v="326"/>
    <x v="14"/>
    <d v="2025-01-19T00:00:00"/>
    <s v="F"/>
    <x v="1"/>
    <x v="0"/>
    <x v="0"/>
    <x v="21"/>
    <x v="5"/>
    <x v="2"/>
    <x v="2"/>
  </r>
  <r>
    <s v="TX500345"/>
    <x v="8"/>
    <x v="15"/>
    <n v="34.6"/>
    <x v="327"/>
    <x v="14"/>
    <d v="2025-01-15T00:00:00"/>
    <s v="F"/>
    <x v="1"/>
    <x v="1"/>
    <x v="0"/>
    <x v="21"/>
    <x v="7"/>
    <x v="2"/>
    <x v="2"/>
  </r>
  <r>
    <s v="TX500346"/>
    <x v="15"/>
    <x v="0"/>
    <n v="43.8"/>
    <x v="328"/>
    <x v="14"/>
    <d v="2025-01-17T00:00:00"/>
    <s v=""/>
    <x v="0"/>
    <x v="2"/>
    <x v="0"/>
    <x v="21"/>
    <x v="1"/>
    <x v="2"/>
    <x v="0"/>
  </r>
  <r>
    <s v="TX500347"/>
    <x v="15"/>
    <x v="0"/>
    <n v="20.399999999999999"/>
    <x v="190"/>
    <x v="14"/>
    <d v="2025-01-17T00:00:00"/>
    <s v="M"/>
    <x v="4"/>
    <x v="1"/>
    <x v="0"/>
    <x v="21"/>
    <x v="1"/>
    <x v="2"/>
    <x v="1"/>
  </r>
  <r>
    <s v="TX500348"/>
    <x v="1"/>
    <x v="0"/>
    <n v="36.700000000000003"/>
    <x v="329"/>
    <x v="14"/>
    <d v="2025-01-16T00:00:00"/>
    <s v="M"/>
    <x v="0"/>
    <x v="1"/>
    <x v="0"/>
    <x v="1"/>
    <x v="3"/>
    <x v="2"/>
    <x v="1"/>
  </r>
  <r>
    <s v="TX500349"/>
    <x v="8"/>
    <x v="2"/>
    <n v="27.2"/>
    <x v="330"/>
    <x v="14"/>
    <d v="2025-01-19T00:00:00"/>
    <s v="M"/>
    <x v="0"/>
    <x v="2"/>
    <x v="0"/>
    <x v="1"/>
    <x v="5"/>
    <x v="2"/>
    <x v="1"/>
  </r>
  <r>
    <s v="TX500350"/>
    <x v="6"/>
    <x v="0"/>
    <n v="58.2"/>
    <x v="331"/>
    <x v="14"/>
    <d v="2025-01-16T00:00:00"/>
    <s v="F"/>
    <x v="0"/>
    <x v="2"/>
    <x v="0"/>
    <x v="42"/>
    <x v="3"/>
    <x v="2"/>
    <x v="2"/>
  </r>
  <r>
    <s v="TX500351"/>
    <x v="8"/>
    <x v="2"/>
    <n v="25.6"/>
    <x v="332"/>
    <x v="14"/>
    <d v="2025-01-16T00:00:00"/>
    <s v="M"/>
    <x v="4"/>
    <x v="4"/>
    <x v="0"/>
    <x v="2"/>
    <x v="3"/>
    <x v="2"/>
    <x v="1"/>
  </r>
  <r>
    <s v="TX500352"/>
    <x v="10"/>
    <x v="0"/>
    <n v="21.2"/>
    <x v="333"/>
    <x v="14"/>
    <d v="2025-01-15T00:00:00"/>
    <s v="F"/>
    <x v="1"/>
    <x v="2"/>
    <x v="0"/>
    <x v="3"/>
    <x v="7"/>
    <x v="2"/>
    <x v="2"/>
  </r>
  <r>
    <s v="TX500353"/>
    <x v="6"/>
    <x v="1"/>
    <n v="48.2"/>
    <x v="334"/>
    <x v="14"/>
    <d v="2025-01-23T00:00:00"/>
    <s v="F"/>
    <x v="0"/>
    <x v="2"/>
    <x v="0"/>
    <x v="3"/>
    <x v="9"/>
    <x v="2"/>
    <x v="2"/>
  </r>
  <r>
    <s v="TX500354"/>
    <x v="1"/>
    <x v="12"/>
    <n v="83.4"/>
    <x v="335"/>
    <x v="15"/>
    <d v="2025-01-17T00:00:00"/>
    <s v="M"/>
    <x v="0"/>
    <x v="0"/>
    <x v="0"/>
    <x v="3"/>
    <x v="3"/>
    <x v="2"/>
    <x v="1"/>
  </r>
  <r>
    <s v="TX500355"/>
    <x v="9"/>
    <x v="2"/>
    <n v="45.3"/>
    <x v="336"/>
    <x v="15"/>
    <d v="2025-01-22T00:00:00"/>
    <s v="M"/>
    <x v="2"/>
    <x v="1"/>
    <x v="0"/>
    <x v="3"/>
    <x v="4"/>
    <x v="2"/>
    <x v="1"/>
  </r>
  <r>
    <s v="TX500356"/>
    <x v="17"/>
    <x v="0"/>
    <n v="42"/>
    <x v="337"/>
    <x v="15"/>
    <d v="2025-01-17T00:00:00"/>
    <s v=""/>
    <x v="0"/>
    <x v="0"/>
    <x v="0"/>
    <x v="3"/>
    <x v="3"/>
    <x v="2"/>
    <x v="0"/>
  </r>
  <r>
    <s v="TX500357"/>
    <x v="0"/>
    <x v="11"/>
    <n v="21.8"/>
    <x v="338"/>
    <x v="15"/>
    <d v="2025-01-18T00:00:00"/>
    <s v="F"/>
    <x v="1"/>
    <x v="0"/>
    <x v="0"/>
    <x v="3"/>
    <x v="1"/>
    <x v="2"/>
    <x v="2"/>
  </r>
  <r>
    <s v="TX500358"/>
    <x v="8"/>
    <x v="16"/>
    <n v="21.4"/>
    <x v="339"/>
    <x v="15"/>
    <d v="2025-01-19T00:00:00"/>
    <s v="F"/>
    <x v="1"/>
    <x v="2"/>
    <x v="0"/>
    <x v="3"/>
    <x v="2"/>
    <x v="2"/>
    <x v="2"/>
  </r>
  <r>
    <s v="TX500359"/>
    <x v="10"/>
    <x v="2"/>
    <n v="45"/>
    <x v="340"/>
    <x v="15"/>
    <d v="2025-01-16T00:00:00"/>
    <s v="F"/>
    <x v="1"/>
    <x v="2"/>
    <x v="0"/>
    <x v="3"/>
    <x v="7"/>
    <x v="2"/>
    <x v="2"/>
  </r>
  <r>
    <s v="TX500360"/>
    <x v="14"/>
    <x v="0"/>
    <n v="39.6"/>
    <x v="341"/>
    <x v="15"/>
    <d v="2025-01-17T00:00:00"/>
    <s v="M"/>
    <x v="0"/>
    <x v="2"/>
    <x v="0"/>
    <x v="3"/>
    <x v="3"/>
    <x v="2"/>
    <x v="1"/>
  </r>
  <r>
    <s v="TX500361"/>
    <x v="12"/>
    <x v="2"/>
    <n v="79.8"/>
    <x v="342"/>
    <x v="15"/>
    <d v="2025-01-22T00:00:00"/>
    <s v="F"/>
    <x v="1"/>
    <x v="4"/>
    <x v="0"/>
    <x v="3"/>
    <x v="4"/>
    <x v="2"/>
    <x v="2"/>
  </r>
  <r>
    <s v="TX500362"/>
    <x v="1"/>
    <x v="12"/>
    <n v="63.6"/>
    <x v="343"/>
    <x v="15"/>
    <d v="2025-01-17T00:00:00"/>
    <s v="O"/>
    <x v="0"/>
    <x v="2"/>
    <x v="0"/>
    <x v="24"/>
    <x v="3"/>
    <x v="2"/>
    <x v="3"/>
  </r>
  <r>
    <s v="TX500363"/>
    <x v="7"/>
    <x v="7"/>
    <n v="92.7"/>
    <x v="344"/>
    <x v="15"/>
    <d v="2025-01-20T00:00:00"/>
    <s v="M"/>
    <x v="1"/>
    <x v="2"/>
    <x v="0"/>
    <x v="6"/>
    <x v="5"/>
    <x v="2"/>
    <x v="1"/>
  </r>
  <r>
    <s v="TX500364"/>
    <x v="1"/>
    <x v="12"/>
    <n v="48.4"/>
    <x v="345"/>
    <x v="15"/>
    <d v="2025-01-18T00:00:00"/>
    <s v="F"/>
    <x v="1"/>
    <x v="2"/>
    <x v="0"/>
    <x v="6"/>
    <x v="1"/>
    <x v="2"/>
    <x v="2"/>
  </r>
  <r>
    <s v="TX500365"/>
    <x v="9"/>
    <x v="8"/>
    <n v="36"/>
    <x v="346"/>
    <x v="15"/>
    <d v="2025-01-19T00:00:00"/>
    <s v="M"/>
    <x v="2"/>
    <x v="2"/>
    <x v="0"/>
    <x v="8"/>
    <x v="2"/>
    <x v="2"/>
    <x v="1"/>
  </r>
  <r>
    <s v="TX500366"/>
    <x v="8"/>
    <x v="4"/>
    <n v="27"/>
    <x v="347"/>
    <x v="15"/>
    <d v="2025-01-18T00:00:00"/>
    <s v="F"/>
    <x v="2"/>
    <x v="1"/>
    <x v="0"/>
    <x v="8"/>
    <x v="1"/>
    <x v="2"/>
    <x v="2"/>
  </r>
  <r>
    <s v="TX500367"/>
    <x v="2"/>
    <x v="8"/>
    <n v="53.9"/>
    <x v="348"/>
    <x v="15"/>
    <d v="2025-01-17T00:00:00"/>
    <s v=""/>
    <x v="0"/>
    <x v="0"/>
    <x v="0"/>
    <x v="8"/>
    <x v="3"/>
    <x v="2"/>
    <x v="0"/>
  </r>
  <r>
    <s v="TX500368"/>
    <x v="3"/>
    <x v="11"/>
    <n v="48.4"/>
    <x v="349"/>
    <x v="15"/>
    <d v="2025-01-17T00:00:00"/>
    <s v="F"/>
    <x v="1"/>
    <x v="0"/>
    <x v="0"/>
    <x v="9"/>
    <x v="3"/>
    <x v="2"/>
    <x v="2"/>
  </r>
  <r>
    <s v="TX500369"/>
    <x v="17"/>
    <x v="1"/>
    <n v="49.9"/>
    <x v="350"/>
    <x v="15"/>
    <d v="2025-01-21T00:00:00"/>
    <s v="M"/>
    <x v="4"/>
    <x v="4"/>
    <x v="0"/>
    <x v="10"/>
    <x v="0"/>
    <x v="2"/>
    <x v="1"/>
  </r>
  <r>
    <s v="TX500370"/>
    <x v="1"/>
    <x v="2"/>
    <n v="51.7"/>
    <x v="351"/>
    <x v="15"/>
    <d v="2025-01-17T00:00:00"/>
    <s v="F"/>
    <x v="0"/>
    <x v="2"/>
    <x v="0"/>
    <x v="11"/>
    <x v="3"/>
    <x v="2"/>
    <x v="2"/>
  </r>
  <r>
    <s v="TX500371"/>
    <x v="8"/>
    <x v="2"/>
    <n v="41.8"/>
    <x v="352"/>
    <x v="15"/>
    <d v="2025-01-18T00:00:00"/>
    <s v="F"/>
    <x v="2"/>
    <x v="0"/>
    <x v="0"/>
    <x v="18"/>
    <x v="1"/>
    <x v="2"/>
    <x v="2"/>
  </r>
  <r>
    <s v="TX500372"/>
    <x v="4"/>
    <x v="12"/>
    <n v="36.200000000000003"/>
    <x v="353"/>
    <x v="16"/>
    <d v="2025-01-18T00:00:00"/>
    <s v="M"/>
    <x v="2"/>
    <x v="2"/>
    <x v="0"/>
    <x v="21"/>
    <x v="3"/>
    <x v="2"/>
    <x v="1"/>
  </r>
  <r>
    <s v="TX500373"/>
    <x v="2"/>
    <x v="0"/>
    <n v="150.9"/>
    <x v="354"/>
    <x v="16"/>
    <d v="2025-01-27T00:00:00"/>
    <s v="M"/>
    <x v="0"/>
    <x v="0"/>
    <x v="0"/>
    <x v="1"/>
    <x v="14"/>
    <x v="2"/>
    <x v="1"/>
  </r>
  <r>
    <s v="TX500374"/>
    <x v="18"/>
    <x v="12"/>
    <n v="77.599999999999994"/>
    <x v="355"/>
    <x v="16"/>
    <d v="2025-01-18T00:00:00"/>
    <s v=""/>
    <x v="2"/>
    <x v="0"/>
    <x v="0"/>
    <x v="3"/>
    <x v="3"/>
    <x v="2"/>
    <x v="0"/>
  </r>
  <r>
    <s v="TX500375"/>
    <x v="13"/>
    <x v="9"/>
    <n v="65.5"/>
    <x v="356"/>
    <x v="16"/>
    <d v="2025-01-17T00:00:00"/>
    <s v="M"/>
    <x v="1"/>
    <x v="0"/>
    <x v="0"/>
    <x v="3"/>
    <x v="7"/>
    <x v="2"/>
    <x v="1"/>
  </r>
  <r>
    <s v="TX500376"/>
    <x v="6"/>
    <x v="2"/>
    <n v="90.1"/>
    <x v="357"/>
    <x v="16"/>
    <d v="2025-01-19T00:00:00"/>
    <s v="F"/>
    <x v="0"/>
    <x v="0"/>
    <x v="0"/>
    <x v="3"/>
    <x v="1"/>
    <x v="2"/>
    <x v="2"/>
  </r>
  <r>
    <s v="TX500377"/>
    <x v="1"/>
    <x v="1"/>
    <n v="108.3"/>
    <x v="358"/>
    <x v="16"/>
    <d v="2025-01-20T00:00:00"/>
    <s v="O"/>
    <x v="4"/>
    <x v="0"/>
    <x v="0"/>
    <x v="3"/>
    <x v="2"/>
    <x v="2"/>
    <x v="3"/>
  </r>
  <r>
    <s v="TX500378"/>
    <x v="5"/>
    <x v="2"/>
    <n v="59.9"/>
    <x v="359"/>
    <x v="16"/>
    <d v="2025-01-21T00:00:00"/>
    <s v="F"/>
    <x v="0"/>
    <x v="0"/>
    <x v="0"/>
    <x v="3"/>
    <x v="5"/>
    <x v="2"/>
    <x v="2"/>
  </r>
  <r>
    <s v="TX500379"/>
    <x v="2"/>
    <x v="14"/>
    <n v="139"/>
    <x v="360"/>
    <x v="16"/>
    <d v="2025-01-19T00:00:00"/>
    <s v="F"/>
    <x v="1"/>
    <x v="4"/>
    <x v="0"/>
    <x v="3"/>
    <x v="1"/>
    <x v="2"/>
    <x v="2"/>
  </r>
  <r>
    <s v="TX500380"/>
    <x v="6"/>
    <x v="2"/>
    <n v="87.3"/>
    <x v="361"/>
    <x v="16"/>
    <d v="2025-01-18T00:00:00"/>
    <s v="F"/>
    <x v="0"/>
    <x v="0"/>
    <x v="0"/>
    <x v="3"/>
    <x v="3"/>
    <x v="2"/>
    <x v="2"/>
  </r>
  <r>
    <s v="TX500381"/>
    <x v="11"/>
    <x v="12"/>
    <n v="42.3"/>
    <x v="362"/>
    <x v="16"/>
    <d v="2025-01-17T00:00:00"/>
    <s v="M"/>
    <x v="0"/>
    <x v="0"/>
    <x v="0"/>
    <x v="3"/>
    <x v="7"/>
    <x v="2"/>
    <x v="1"/>
  </r>
  <r>
    <s v="TX500382"/>
    <x v="14"/>
    <x v="8"/>
    <n v="103.6"/>
    <x v="363"/>
    <x v="16"/>
    <d v="2025-01-18T00:00:00"/>
    <s v="O"/>
    <x v="0"/>
    <x v="1"/>
    <x v="0"/>
    <x v="3"/>
    <x v="3"/>
    <x v="2"/>
    <x v="3"/>
  </r>
  <r>
    <s v="TX500383"/>
    <x v="6"/>
    <x v="1"/>
    <n v="90.9"/>
    <x v="364"/>
    <x v="16"/>
    <d v="2025-01-18T00:00:00"/>
    <s v="M"/>
    <x v="1"/>
    <x v="0"/>
    <x v="0"/>
    <x v="6"/>
    <x v="3"/>
    <x v="2"/>
    <x v="1"/>
  </r>
  <r>
    <s v="TX500384"/>
    <x v="9"/>
    <x v="27"/>
    <n v="100.9"/>
    <x v="365"/>
    <x v="16"/>
    <d v="2025-01-18T00:00:00"/>
    <s v="F"/>
    <x v="1"/>
    <x v="0"/>
    <x v="0"/>
    <x v="6"/>
    <x v="3"/>
    <x v="2"/>
    <x v="2"/>
  </r>
  <r>
    <s v="TX500385"/>
    <x v="4"/>
    <x v="9"/>
    <n v="36"/>
    <x v="366"/>
    <x v="16"/>
    <d v="2025-01-19T00:00:00"/>
    <s v="F"/>
    <x v="1"/>
    <x v="0"/>
    <x v="0"/>
    <x v="7"/>
    <x v="1"/>
    <x v="2"/>
    <x v="2"/>
  </r>
  <r>
    <s v="TX500386"/>
    <x v="6"/>
    <x v="13"/>
    <n v="83.3"/>
    <x v="367"/>
    <x v="16"/>
    <d v="2025-01-20T00:00:00"/>
    <s v=""/>
    <x v="2"/>
    <x v="0"/>
    <x v="0"/>
    <x v="7"/>
    <x v="2"/>
    <x v="2"/>
    <x v="0"/>
  </r>
  <r>
    <s v="TX500387"/>
    <x v="2"/>
    <x v="14"/>
    <n v="60.3"/>
    <x v="368"/>
    <x v="16"/>
    <d v="2025-01-18T00:00:00"/>
    <s v="M"/>
    <x v="2"/>
    <x v="1"/>
    <x v="0"/>
    <x v="7"/>
    <x v="3"/>
    <x v="2"/>
    <x v="1"/>
  </r>
  <r>
    <s v="TX500388"/>
    <x v="2"/>
    <x v="13"/>
    <n v="120.3"/>
    <x v="369"/>
    <x v="16"/>
    <d v="2025-01-18T00:00:00"/>
    <s v="M"/>
    <x v="2"/>
    <x v="0"/>
    <x v="0"/>
    <x v="8"/>
    <x v="3"/>
    <x v="2"/>
    <x v="1"/>
  </r>
  <r>
    <s v="TX500389"/>
    <x v="4"/>
    <x v="7"/>
    <n v="34"/>
    <x v="370"/>
    <x v="16"/>
    <d v="2025-01-21T00:00:00"/>
    <s v="F"/>
    <x v="2"/>
    <x v="0"/>
    <x v="0"/>
    <x v="8"/>
    <x v="5"/>
    <x v="2"/>
    <x v="2"/>
  </r>
  <r>
    <s v="TX500390"/>
    <x v="10"/>
    <x v="9"/>
    <n v="42.6"/>
    <x v="226"/>
    <x v="16"/>
    <d v="2025-01-20T00:00:00"/>
    <s v="M"/>
    <x v="1"/>
    <x v="0"/>
    <x v="0"/>
    <x v="8"/>
    <x v="2"/>
    <x v="2"/>
    <x v="1"/>
  </r>
  <r>
    <s v="TX500391"/>
    <x v="5"/>
    <x v="28"/>
    <n v="47.4"/>
    <x v="371"/>
    <x v="16"/>
    <d v="2025-01-17T00:00:00"/>
    <s v="F"/>
    <x v="2"/>
    <x v="1"/>
    <x v="0"/>
    <x v="17"/>
    <x v="7"/>
    <x v="2"/>
    <x v="2"/>
  </r>
  <r>
    <s v="TX500392"/>
    <x v="2"/>
    <x v="0"/>
    <n v="74"/>
    <x v="372"/>
    <x v="17"/>
    <d v="2025-01-19T00:00:00"/>
    <s v="M"/>
    <x v="1"/>
    <x v="0"/>
    <x v="0"/>
    <x v="11"/>
    <x v="3"/>
    <x v="2"/>
    <x v="1"/>
  </r>
  <r>
    <s v="TX500393"/>
    <x v="2"/>
    <x v="9"/>
    <n v="60.4"/>
    <x v="373"/>
    <x v="17"/>
    <d v="2025-01-21T00:00:00"/>
    <s v="F"/>
    <x v="1"/>
    <x v="4"/>
    <x v="0"/>
    <x v="18"/>
    <x v="2"/>
    <x v="2"/>
    <x v="2"/>
  </r>
  <r>
    <s v="TX500394"/>
    <x v="12"/>
    <x v="1"/>
    <n v="69.3"/>
    <x v="374"/>
    <x v="17"/>
    <d v="2025-01-21T00:00:00"/>
    <s v="M"/>
    <x v="1"/>
    <x v="1"/>
    <x v="0"/>
    <x v="13"/>
    <x v="2"/>
    <x v="2"/>
    <x v="1"/>
  </r>
  <r>
    <s v="TX500395"/>
    <x v="5"/>
    <x v="9"/>
    <n v="81"/>
    <x v="375"/>
    <x v="17"/>
    <d v="2025-01-24T00:00:00"/>
    <s v="M"/>
    <x v="3"/>
    <x v="0"/>
    <x v="0"/>
    <x v="21"/>
    <x v="4"/>
    <x v="2"/>
    <x v="1"/>
  </r>
  <r>
    <s v="TX500396"/>
    <x v="15"/>
    <x v="2"/>
    <n v="41.5"/>
    <x v="376"/>
    <x v="17"/>
    <d v="2025-01-20T00:00:00"/>
    <s v="O"/>
    <x v="1"/>
    <x v="0"/>
    <x v="0"/>
    <x v="21"/>
    <x v="1"/>
    <x v="2"/>
    <x v="3"/>
  </r>
  <r>
    <s v="TX500397"/>
    <x v="18"/>
    <x v="1"/>
    <n v="69.7"/>
    <x v="377"/>
    <x v="17"/>
    <d v="2025-01-23T00:00:00"/>
    <s v="M"/>
    <x v="1"/>
    <x v="0"/>
    <x v="0"/>
    <x v="21"/>
    <x v="0"/>
    <x v="2"/>
    <x v="1"/>
  </r>
  <r>
    <s v="TX500398"/>
    <x v="2"/>
    <x v="9"/>
    <n v="83.6"/>
    <x v="378"/>
    <x v="17"/>
    <d v="2025-01-18T00:00:00"/>
    <s v="F"/>
    <x v="4"/>
    <x v="0"/>
    <x v="0"/>
    <x v="1"/>
    <x v="7"/>
    <x v="2"/>
    <x v="2"/>
  </r>
  <r>
    <s v="TX500399"/>
    <x v="8"/>
    <x v="3"/>
    <n v="21.5"/>
    <x v="379"/>
    <x v="17"/>
    <d v="2025-01-20T00:00:00"/>
    <s v="M"/>
    <x v="1"/>
    <x v="4"/>
    <x v="0"/>
    <x v="34"/>
    <x v="1"/>
    <x v="2"/>
    <x v="1"/>
  </r>
  <r>
    <s v="TX500400"/>
    <x v="8"/>
    <x v="8"/>
    <n v="28.6"/>
    <x v="27"/>
    <x v="17"/>
    <d v="2025-01-19T00:00:00"/>
    <s v="M"/>
    <x v="0"/>
    <x v="0"/>
    <x v="0"/>
    <x v="3"/>
    <x v="3"/>
    <x v="2"/>
    <x v="1"/>
  </r>
  <r>
    <s v="TX500401"/>
    <x v="8"/>
    <x v="13"/>
    <n v="18.8"/>
    <x v="380"/>
    <x v="17"/>
    <d v="2025-01-21T00:00:00"/>
    <s v="M"/>
    <x v="3"/>
    <x v="2"/>
    <x v="0"/>
    <x v="3"/>
    <x v="2"/>
    <x v="2"/>
    <x v="1"/>
  </r>
  <r>
    <s v="TX500402"/>
    <x v="10"/>
    <x v="12"/>
    <n v="35.1"/>
    <x v="381"/>
    <x v="17"/>
    <d v="2025-01-18T00:00:00"/>
    <s v="F"/>
    <x v="1"/>
    <x v="1"/>
    <x v="0"/>
    <x v="3"/>
    <x v="7"/>
    <x v="2"/>
    <x v="2"/>
  </r>
  <r>
    <s v="TX500403"/>
    <x v="0"/>
    <x v="1"/>
    <n v="12.7"/>
    <x v="382"/>
    <x v="17"/>
    <d v="2025-01-20T00:00:00"/>
    <s v="F"/>
    <x v="1"/>
    <x v="2"/>
    <x v="0"/>
    <x v="3"/>
    <x v="1"/>
    <x v="2"/>
    <x v="2"/>
  </r>
  <r>
    <s v="TX500404"/>
    <x v="8"/>
    <x v="9"/>
    <n v="27.4"/>
    <x v="383"/>
    <x v="17"/>
    <d v="2025-01-20T00:00:00"/>
    <s v="O"/>
    <x v="0"/>
    <x v="0"/>
    <x v="0"/>
    <x v="3"/>
    <x v="1"/>
    <x v="2"/>
    <x v="3"/>
  </r>
  <r>
    <s v="TX500405"/>
    <x v="10"/>
    <x v="1"/>
    <n v="61.3"/>
    <x v="384"/>
    <x v="17"/>
    <d v="2025-01-19T00:00:00"/>
    <s v="F"/>
    <x v="1"/>
    <x v="0"/>
    <x v="0"/>
    <x v="6"/>
    <x v="3"/>
    <x v="2"/>
    <x v="2"/>
  </r>
  <r>
    <s v="TX500406"/>
    <x v="8"/>
    <x v="1"/>
    <n v="64.7"/>
    <x v="385"/>
    <x v="17"/>
    <d v="2025-01-20T00:00:00"/>
    <s v="F"/>
    <x v="3"/>
    <x v="2"/>
    <x v="0"/>
    <x v="6"/>
    <x v="1"/>
    <x v="2"/>
    <x v="2"/>
  </r>
  <r>
    <s v="TX500407"/>
    <x v="7"/>
    <x v="12"/>
    <n v="91.4"/>
    <x v="386"/>
    <x v="17"/>
    <d v="2025-01-20T00:00:00"/>
    <s v="F"/>
    <x v="0"/>
    <x v="0"/>
    <x v="0"/>
    <x v="8"/>
    <x v="1"/>
    <x v="2"/>
    <x v="2"/>
  </r>
  <r>
    <s v="TX500408"/>
    <x v="0"/>
    <x v="1"/>
    <n v="33.1"/>
    <x v="387"/>
    <x v="18"/>
    <d v="2025-01-20T00:00:00"/>
    <s v="M"/>
    <x v="0"/>
    <x v="2"/>
    <x v="0"/>
    <x v="8"/>
    <x v="3"/>
    <x v="3"/>
    <x v="1"/>
  </r>
  <r>
    <s v="TX500409"/>
    <x v="3"/>
    <x v="1"/>
    <n v="105.6"/>
    <x v="23"/>
    <x v="18"/>
    <d v="2025-01-20T00:00:00"/>
    <s v="M"/>
    <x v="2"/>
    <x v="1"/>
    <x v="0"/>
    <x v="8"/>
    <x v="3"/>
    <x v="3"/>
    <x v="1"/>
  </r>
  <r>
    <s v="TX500410"/>
    <x v="10"/>
    <x v="2"/>
    <n v="46.4"/>
    <x v="388"/>
    <x v="18"/>
    <d v="2025-01-20T00:00:00"/>
    <s v="M"/>
    <x v="2"/>
    <x v="0"/>
    <x v="0"/>
    <x v="9"/>
    <x v="3"/>
    <x v="3"/>
    <x v="1"/>
  </r>
  <r>
    <s v="TX500411"/>
    <x v="9"/>
    <x v="21"/>
    <n v="35.299999999999997"/>
    <x v="389"/>
    <x v="18"/>
    <d v="2025-01-22T00:00:00"/>
    <s v="F"/>
    <x v="4"/>
    <x v="1"/>
    <x v="0"/>
    <x v="11"/>
    <x v="2"/>
    <x v="3"/>
    <x v="2"/>
  </r>
  <r>
    <s v="TX500412"/>
    <x v="0"/>
    <x v="1"/>
    <n v="16.100000000000001"/>
    <x v="390"/>
    <x v="18"/>
    <d v="2025-01-21T00:00:00"/>
    <s v="M"/>
    <x v="3"/>
    <x v="2"/>
    <x v="0"/>
    <x v="32"/>
    <x v="1"/>
    <x v="3"/>
    <x v="1"/>
  </r>
  <r>
    <s v="TX500413"/>
    <x v="4"/>
    <x v="1"/>
    <n v="27.9"/>
    <x v="391"/>
    <x v="18"/>
    <d v="2025-01-22T00:00:00"/>
    <s v="M"/>
    <x v="0"/>
    <x v="0"/>
    <x v="0"/>
    <x v="13"/>
    <x v="2"/>
    <x v="3"/>
    <x v="1"/>
  </r>
  <r>
    <s v="TX500414"/>
    <x v="8"/>
    <x v="0"/>
    <n v="47.1"/>
    <x v="392"/>
    <x v="18"/>
    <d v="2025-01-27T00:00:00"/>
    <s v="F"/>
    <x v="1"/>
    <x v="0"/>
    <x v="0"/>
    <x v="2"/>
    <x v="9"/>
    <x v="3"/>
    <x v="2"/>
  </r>
  <r>
    <s v="TX500415"/>
    <x v="6"/>
    <x v="1"/>
    <n v="85"/>
    <x v="393"/>
    <x v="18"/>
    <d v="2025-01-22T00:00:00"/>
    <s v=""/>
    <x v="2"/>
    <x v="2"/>
    <x v="0"/>
    <x v="22"/>
    <x v="2"/>
    <x v="3"/>
    <x v="0"/>
  </r>
  <r>
    <s v="TX500416"/>
    <x v="18"/>
    <x v="1"/>
    <n v="89"/>
    <x v="394"/>
    <x v="18"/>
    <d v="2025-01-21T00:00:00"/>
    <s v="F"/>
    <x v="0"/>
    <x v="0"/>
    <x v="0"/>
    <x v="3"/>
    <x v="1"/>
    <x v="3"/>
    <x v="2"/>
  </r>
  <r>
    <s v="TX500417"/>
    <x v="16"/>
    <x v="2"/>
    <n v="36.6"/>
    <x v="17"/>
    <x v="18"/>
    <d v="2025-01-20T00:00:00"/>
    <s v="O"/>
    <x v="3"/>
    <x v="2"/>
    <x v="0"/>
    <x v="3"/>
    <x v="3"/>
    <x v="3"/>
    <x v="3"/>
  </r>
  <r>
    <s v="TX500418"/>
    <x v="6"/>
    <x v="3"/>
    <n v="43.5"/>
    <x v="395"/>
    <x v="18"/>
    <d v="2025-01-20T00:00:00"/>
    <s v="M"/>
    <x v="1"/>
    <x v="2"/>
    <x v="0"/>
    <x v="3"/>
    <x v="3"/>
    <x v="3"/>
    <x v="1"/>
  </r>
  <r>
    <s v="TX500419"/>
    <x v="9"/>
    <x v="10"/>
    <n v="30.5"/>
    <x v="396"/>
    <x v="18"/>
    <d v="2025-01-19T00:00:00"/>
    <s v="F"/>
    <x v="3"/>
    <x v="0"/>
    <x v="0"/>
    <x v="3"/>
    <x v="7"/>
    <x v="3"/>
    <x v="2"/>
  </r>
  <r>
    <s v="TX500420"/>
    <x v="1"/>
    <x v="1"/>
    <n v="107.7"/>
    <x v="397"/>
    <x v="18"/>
    <d v="2025-01-23T00:00:00"/>
    <s v="M"/>
    <x v="3"/>
    <x v="4"/>
    <x v="0"/>
    <x v="3"/>
    <x v="5"/>
    <x v="3"/>
    <x v="1"/>
  </r>
  <r>
    <s v="TX500421"/>
    <x v="17"/>
    <x v="18"/>
    <n v="57.1"/>
    <x v="398"/>
    <x v="18"/>
    <d v="2025-01-20T00:00:00"/>
    <s v="M"/>
    <x v="1"/>
    <x v="0"/>
    <x v="0"/>
    <x v="3"/>
    <x v="3"/>
    <x v="3"/>
    <x v="1"/>
  </r>
  <r>
    <s v="TX500422"/>
    <x v="2"/>
    <x v="7"/>
    <n v="111.7"/>
    <x v="399"/>
    <x v="18"/>
    <d v="2025-01-20T00:00:00"/>
    <s v="F"/>
    <x v="4"/>
    <x v="2"/>
    <x v="0"/>
    <x v="3"/>
    <x v="3"/>
    <x v="3"/>
    <x v="2"/>
  </r>
  <r>
    <s v="TX500423"/>
    <x v="18"/>
    <x v="3"/>
    <n v="44.3"/>
    <x v="400"/>
    <x v="18"/>
    <d v="2025-01-22T00:00:00"/>
    <s v="M"/>
    <x v="3"/>
    <x v="2"/>
    <x v="0"/>
    <x v="3"/>
    <x v="2"/>
    <x v="3"/>
    <x v="1"/>
  </r>
  <r>
    <s v="TX500424"/>
    <x v="2"/>
    <x v="8"/>
    <n v="95.8"/>
    <x v="401"/>
    <x v="18"/>
    <d v="2025-01-25T00:00:00"/>
    <s v="O"/>
    <x v="0"/>
    <x v="0"/>
    <x v="0"/>
    <x v="3"/>
    <x v="4"/>
    <x v="3"/>
    <x v="3"/>
  </r>
  <r>
    <s v="TX500425"/>
    <x v="10"/>
    <x v="3"/>
    <n v="22.6"/>
    <x v="402"/>
    <x v="18"/>
    <d v="2025-01-22T00:00:00"/>
    <s v="F"/>
    <x v="3"/>
    <x v="1"/>
    <x v="0"/>
    <x v="3"/>
    <x v="2"/>
    <x v="3"/>
    <x v="2"/>
  </r>
  <r>
    <s v="TX500426"/>
    <x v="8"/>
    <x v="8"/>
    <n v="25.6"/>
    <x v="403"/>
    <x v="18"/>
    <d v="2025-01-21T00:00:00"/>
    <s v="F"/>
    <x v="4"/>
    <x v="0"/>
    <x v="0"/>
    <x v="3"/>
    <x v="1"/>
    <x v="3"/>
    <x v="2"/>
  </r>
  <r>
    <s v="TX500427"/>
    <x v="6"/>
    <x v="27"/>
    <n v="54.3"/>
    <x v="404"/>
    <x v="18"/>
    <d v="2025-01-22T00:00:00"/>
    <s v="F"/>
    <x v="4"/>
    <x v="0"/>
    <x v="0"/>
    <x v="3"/>
    <x v="2"/>
    <x v="3"/>
    <x v="2"/>
  </r>
  <r>
    <s v="TX500428"/>
    <x v="18"/>
    <x v="15"/>
    <n v="51.3"/>
    <x v="405"/>
    <x v="18"/>
    <d v="2025-01-21T00:00:00"/>
    <s v="M"/>
    <x v="0"/>
    <x v="2"/>
    <x v="0"/>
    <x v="3"/>
    <x v="1"/>
    <x v="3"/>
    <x v="1"/>
  </r>
  <r>
    <s v="TX500429"/>
    <x v="0"/>
    <x v="8"/>
    <n v="25.6"/>
    <x v="403"/>
    <x v="18"/>
    <d v="2025-01-20T00:00:00"/>
    <s v="F"/>
    <x v="1"/>
    <x v="1"/>
    <x v="0"/>
    <x v="3"/>
    <x v="3"/>
    <x v="3"/>
    <x v="2"/>
  </r>
  <r>
    <s v="TX500430"/>
    <x v="0"/>
    <x v="1"/>
    <n v="15.6"/>
    <x v="406"/>
    <x v="18"/>
    <d v="2025-01-20T00:00:00"/>
    <s v="F"/>
    <x v="2"/>
    <x v="2"/>
    <x v="0"/>
    <x v="3"/>
    <x v="3"/>
    <x v="3"/>
    <x v="2"/>
  </r>
  <r>
    <s v="TX500431"/>
    <x v="8"/>
    <x v="2"/>
    <n v="30.3"/>
    <x v="407"/>
    <x v="18"/>
    <d v="2025-01-23T00:00:00"/>
    <s v="F"/>
    <x v="0"/>
    <x v="1"/>
    <x v="0"/>
    <x v="3"/>
    <x v="5"/>
    <x v="3"/>
    <x v="2"/>
  </r>
  <r>
    <s v="TX500432"/>
    <x v="12"/>
    <x v="1"/>
    <n v="30.3"/>
    <x v="408"/>
    <x v="18"/>
    <d v="2025-01-24T00:00:00"/>
    <s v="F"/>
    <x v="0"/>
    <x v="2"/>
    <x v="0"/>
    <x v="37"/>
    <x v="0"/>
    <x v="3"/>
    <x v="2"/>
  </r>
  <r>
    <s v="TX500433"/>
    <x v="10"/>
    <x v="2"/>
    <n v="53"/>
    <x v="409"/>
    <x v="18"/>
    <d v="2025-01-26T00:00:00"/>
    <s v="F"/>
    <x v="2"/>
    <x v="0"/>
    <x v="0"/>
    <x v="24"/>
    <x v="6"/>
    <x v="3"/>
    <x v="2"/>
  </r>
  <r>
    <s v="TX500434"/>
    <x v="5"/>
    <x v="16"/>
    <n v="59.9"/>
    <x v="410"/>
    <x v="18"/>
    <d v="2025-01-22T00:00:00"/>
    <s v="M"/>
    <x v="2"/>
    <x v="4"/>
    <x v="0"/>
    <x v="25"/>
    <x v="2"/>
    <x v="3"/>
    <x v="1"/>
  </r>
  <r>
    <s v="TX500435"/>
    <x v="9"/>
    <x v="1"/>
    <n v="45.7"/>
    <x v="411"/>
    <x v="18"/>
    <d v="2025-01-20T00:00:00"/>
    <s v="F"/>
    <x v="1"/>
    <x v="2"/>
    <x v="0"/>
    <x v="6"/>
    <x v="3"/>
    <x v="3"/>
    <x v="2"/>
  </r>
  <r>
    <s v="TX500436"/>
    <x v="8"/>
    <x v="12"/>
    <n v="46.1"/>
    <x v="412"/>
    <x v="18"/>
    <d v="2025-01-20T00:00:00"/>
    <s v="M"/>
    <x v="0"/>
    <x v="0"/>
    <x v="0"/>
    <x v="6"/>
    <x v="3"/>
    <x v="3"/>
    <x v="1"/>
  </r>
  <r>
    <s v="TX500437"/>
    <x v="8"/>
    <x v="2"/>
    <n v="17.5"/>
    <x v="413"/>
    <x v="18"/>
    <d v="2025-01-20T00:00:00"/>
    <s v="F"/>
    <x v="0"/>
    <x v="2"/>
    <x v="0"/>
    <x v="8"/>
    <x v="3"/>
    <x v="3"/>
    <x v="2"/>
  </r>
  <r>
    <s v="TX500438"/>
    <x v="10"/>
    <x v="2"/>
    <n v="36.5"/>
    <x v="414"/>
    <x v="18"/>
    <d v="2025-01-30T00:00:00"/>
    <s v="M"/>
    <x v="2"/>
    <x v="0"/>
    <x v="0"/>
    <x v="8"/>
    <x v="11"/>
    <x v="3"/>
    <x v="1"/>
  </r>
  <r>
    <s v="TX500439"/>
    <x v="8"/>
    <x v="1"/>
    <n v="47.5"/>
    <x v="415"/>
    <x v="19"/>
    <d v="2025-01-22T00:00:00"/>
    <s v="F"/>
    <x v="1"/>
    <x v="0"/>
    <x v="0"/>
    <x v="8"/>
    <x v="1"/>
    <x v="3"/>
    <x v="2"/>
  </r>
  <r>
    <s v="TX500440"/>
    <x v="6"/>
    <x v="9"/>
    <n v="45.6"/>
    <x v="416"/>
    <x v="19"/>
    <d v="2025-01-22T00:00:00"/>
    <s v="F"/>
    <x v="0"/>
    <x v="2"/>
    <x v="0"/>
    <x v="8"/>
    <x v="1"/>
    <x v="3"/>
    <x v="2"/>
  </r>
  <r>
    <s v="TX500441"/>
    <x v="9"/>
    <x v="1"/>
    <n v="50.5"/>
    <x v="95"/>
    <x v="19"/>
    <d v="2025-01-22T00:00:00"/>
    <s v="M"/>
    <x v="0"/>
    <x v="1"/>
    <x v="0"/>
    <x v="17"/>
    <x v="1"/>
    <x v="3"/>
    <x v="1"/>
  </r>
  <r>
    <s v="TX500442"/>
    <x v="2"/>
    <x v="7"/>
    <n v="99.8"/>
    <x v="417"/>
    <x v="19"/>
    <d v="2025-01-23T00:00:00"/>
    <s v="F"/>
    <x v="2"/>
    <x v="1"/>
    <x v="0"/>
    <x v="17"/>
    <x v="2"/>
    <x v="3"/>
    <x v="2"/>
  </r>
  <r>
    <s v="TX500443"/>
    <x v="8"/>
    <x v="20"/>
    <n v="19.2"/>
    <x v="346"/>
    <x v="19"/>
    <d v="2025-01-22T00:00:00"/>
    <s v="O"/>
    <x v="4"/>
    <x v="1"/>
    <x v="0"/>
    <x v="26"/>
    <x v="1"/>
    <x v="3"/>
    <x v="3"/>
  </r>
  <r>
    <s v="TX500444"/>
    <x v="17"/>
    <x v="2"/>
    <n v="22.6"/>
    <x v="418"/>
    <x v="19"/>
    <d v="2025-01-21T00:00:00"/>
    <s v="M"/>
    <x v="1"/>
    <x v="0"/>
    <x v="0"/>
    <x v="11"/>
    <x v="3"/>
    <x v="3"/>
    <x v="1"/>
  </r>
  <r>
    <s v="TX500445"/>
    <x v="1"/>
    <x v="20"/>
    <n v="126.9"/>
    <x v="419"/>
    <x v="19"/>
    <d v="2025-01-22T00:00:00"/>
    <s v="F"/>
    <x v="0"/>
    <x v="2"/>
    <x v="0"/>
    <x v="11"/>
    <x v="1"/>
    <x v="3"/>
    <x v="2"/>
  </r>
  <r>
    <s v="TX500446"/>
    <x v="2"/>
    <x v="1"/>
    <n v="100.3"/>
    <x v="420"/>
    <x v="19"/>
    <d v="2025-01-21T00:00:00"/>
    <s v="F"/>
    <x v="0"/>
    <x v="1"/>
    <x v="0"/>
    <x v="11"/>
    <x v="3"/>
    <x v="3"/>
    <x v="2"/>
  </r>
  <r>
    <s v="TX500447"/>
    <x v="4"/>
    <x v="16"/>
    <n v="24.6"/>
    <x v="421"/>
    <x v="19"/>
    <d v="2025-01-21T00:00:00"/>
    <s v="F"/>
    <x v="4"/>
    <x v="0"/>
    <x v="0"/>
    <x v="13"/>
    <x v="3"/>
    <x v="3"/>
    <x v="2"/>
  </r>
  <r>
    <s v="TX500448"/>
    <x v="6"/>
    <x v="1"/>
    <n v="47.3"/>
    <x v="422"/>
    <x v="19"/>
    <d v="2025-01-21T00:00:00"/>
    <s v="M"/>
    <x v="1"/>
    <x v="2"/>
    <x v="0"/>
    <x v="13"/>
    <x v="3"/>
    <x v="3"/>
    <x v="1"/>
  </r>
  <r>
    <s v="TX500449"/>
    <x v="6"/>
    <x v="3"/>
    <n v="40.799999999999997"/>
    <x v="423"/>
    <x v="19"/>
    <d v="2025-01-23T00:00:00"/>
    <s v="F"/>
    <x v="2"/>
    <x v="2"/>
    <x v="0"/>
    <x v="21"/>
    <x v="2"/>
    <x v="3"/>
    <x v="2"/>
  </r>
  <r>
    <s v="TX500450"/>
    <x v="8"/>
    <x v="8"/>
    <n v="49.2"/>
    <x v="424"/>
    <x v="19"/>
    <d v="2025-01-22T00:00:00"/>
    <s v="F"/>
    <x v="0"/>
    <x v="0"/>
    <x v="0"/>
    <x v="1"/>
    <x v="1"/>
    <x v="3"/>
    <x v="2"/>
  </r>
  <r>
    <s v="TX500451"/>
    <x v="8"/>
    <x v="0"/>
    <n v="28.5"/>
    <x v="425"/>
    <x v="19"/>
    <d v="2025-01-22T00:00:00"/>
    <s v=""/>
    <x v="2"/>
    <x v="1"/>
    <x v="0"/>
    <x v="3"/>
    <x v="1"/>
    <x v="3"/>
    <x v="0"/>
  </r>
  <r>
    <s v="TX500452"/>
    <x v="18"/>
    <x v="1"/>
    <n v="36.799999999999997"/>
    <x v="426"/>
    <x v="19"/>
    <d v="2025-01-26T00:00:00"/>
    <s v="F"/>
    <x v="0"/>
    <x v="2"/>
    <x v="0"/>
    <x v="3"/>
    <x v="4"/>
    <x v="3"/>
    <x v="2"/>
  </r>
  <r>
    <s v="TX500453"/>
    <x v="7"/>
    <x v="2"/>
    <n v="33.5"/>
    <x v="427"/>
    <x v="19"/>
    <d v="2025-01-21T00:00:00"/>
    <s v="F"/>
    <x v="0"/>
    <x v="1"/>
    <x v="0"/>
    <x v="3"/>
    <x v="3"/>
    <x v="3"/>
    <x v="2"/>
  </r>
  <r>
    <s v="TX500454"/>
    <x v="6"/>
    <x v="13"/>
    <n v="62.5"/>
    <x v="428"/>
    <x v="19"/>
    <d v="2025-01-22T00:00:00"/>
    <s v="F"/>
    <x v="0"/>
    <x v="0"/>
    <x v="0"/>
    <x v="3"/>
    <x v="1"/>
    <x v="3"/>
    <x v="2"/>
  </r>
  <r>
    <s v="TX500455"/>
    <x v="8"/>
    <x v="29"/>
    <n v="47.9"/>
    <x v="429"/>
    <x v="19"/>
    <d v="2025-01-21T00:00:00"/>
    <s v="F"/>
    <x v="3"/>
    <x v="0"/>
    <x v="0"/>
    <x v="3"/>
    <x v="3"/>
    <x v="3"/>
    <x v="2"/>
  </r>
  <r>
    <s v="TX500456"/>
    <x v="6"/>
    <x v="13"/>
    <n v="92.9"/>
    <x v="430"/>
    <x v="19"/>
    <d v="2025-01-31T00:00:00"/>
    <s v="F"/>
    <x v="0"/>
    <x v="4"/>
    <x v="0"/>
    <x v="3"/>
    <x v="11"/>
    <x v="3"/>
    <x v="2"/>
  </r>
  <r>
    <s v="TX500457"/>
    <x v="12"/>
    <x v="2"/>
    <n v="44.1"/>
    <x v="431"/>
    <x v="19"/>
    <d v="2025-01-20T00:00:00"/>
    <s v="F"/>
    <x v="1"/>
    <x v="1"/>
    <x v="0"/>
    <x v="43"/>
    <x v="7"/>
    <x v="3"/>
    <x v="2"/>
  </r>
  <r>
    <s v="TX500458"/>
    <x v="0"/>
    <x v="0"/>
    <n v="11.4"/>
    <x v="432"/>
    <x v="20"/>
    <d v="2025-01-23T00:00:00"/>
    <s v="F"/>
    <x v="2"/>
    <x v="0"/>
    <x v="0"/>
    <x v="5"/>
    <x v="1"/>
    <x v="3"/>
    <x v="2"/>
  </r>
  <r>
    <s v="TX500459"/>
    <x v="6"/>
    <x v="0"/>
    <n v="83.7"/>
    <x v="433"/>
    <x v="20"/>
    <d v="2025-01-23T00:00:00"/>
    <s v="F"/>
    <x v="0"/>
    <x v="2"/>
    <x v="0"/>
    <x v="6"/>
    <x v="1"/>
    <x v="3"/>
    <x v="2"/>
  </r>
  <r>
    <s v="TX500460"/>
    <x v="10"/>
    <x v="1"/>
    <n v="23.2"/>
    <x v="434"/>
    <x v="20"/>
    <d v="2025-01-22T00:00:00"/>
    <s v="M"/>
    <x v="2"/>
    <x v="0"/>
    <x v="0"/>
    <x v="8"/>
    <x v="3"/>
    <x v="3"/>
    <x v="1"/>
  </r>
  <r>
    <s v="TX500461"/>
    <x v="2"/>
    <x v="0"/>
    <n v="162.1"/>
    <x v="435"/>
    <x v="20"/>
    <d v="2025-01-24T00:00:00"/>
    <s v="F"/>
    <x v="0"/>
    <x v="2"/>
    <x v="0"/>
    <x v="9"/>
    <x v="2"/>
    <x v="3"/>
    <x v="2"/>
  </r>
  <r>
    <s v="TX500462"/>
    <x v="6"/>
    <x v="12"/>
    <n v="49.2"/>
    <x v="436"/>
    <x v="20"/>
    <d v="2025-01-25T00:00:00"/>
    <s v="M"/>
    <x v="1"/>
    <x v="0"/>
    <x v="0"/>
    <x v="9"/>
    <x v="5"/>
    <x v="3"/>
    <x v="1"/>
  </r>
  <r>
    <s v="TX500463"/>
    <x v="1"/>
    <x v="1"/>
    <n v="61"/>
    <x v="164"/>
    <x v="20"/>
    <d v="2025-01-22T00:00:00"/>
    <s v="M"/>
    <x v="3"/>
    <x v="0"/>
    <x v="0"/>
    <x v="10"/>
    <x v="3"/>
    <x v="3"/>
    <x v="1"/>
  </r>
  <r>
    <s v="TX500464"/>
    <x v="2"/>
    <x v="7"/>
    <n v="53.1"/>
    <x v="437"/>
    <x v="20"/>
    <d v="2025-01-23T00:00:00"/>
    <s v="M"/>
    <x v="0"/>
    <x v="0"/>
    <x v="0"/>
    <x v="11"/>
    <x v="1"/>
    <x v="3"/>
    <x v="1"/>
  </r>
  <r>
    <s v="TX500465"/>
    <x v="4"/>
    <x v="1"/>
    <n v="22.4"/>
    <x v="438"/>
    <x v="20"/>
    <d v="2025-01-23T00:00:00"/>
    <s v=""/>
    <x v="1"/>
    <x v="2"/>
    <x v="0"/>
    <x v="13"/>
    <x v="1"/>
    <x v="3"/>
    <x v="0"/>
  </r>
  <r>
    <s v="TX500466"/>
    <x v="1"/>
    <x v="9"/>
    <n v="75.3"/>
    <x v="439"/>
    <x v="20"/>
    <d v="2025-01-22T00:00:00"/>
    <s v="M"/>
    <x v="0"/>
    <x v="0"/>
    <x v="0"/>
    <x v="21"/>
    <x v="3"/>
    <x v="3"/>
    <x v="1"/>
  </r>
  <r>
    <s v="TX500467"/>
    <x v="6"/>
    <x v="0"/>
    <n v="48.5"/>
    <x v="319"/>
    <x v="20"/>
    <d v="2025-01-22T00:00:00"/>
    <s v="F"/>
    <x v="0"/>
    <x v="1"/>
    <x v="0"/>
    <x v="21"/>
    <x v="3"/>
    <x v="3"/>
    <x v="2"/>
  </r>
  <r>
    <s v="TX500468"/>
    <x v="6"/>
    <x v="0"/>
    <n v="42.6"/>
    <x v="440"/>
    <x v="20"/>
    <d v="2025-01-25T00:00:00"/>
    <s v="F"/>
    <x v="3"/>
    <x v="0"/>
    <x v="0"/>
    <x v="1"/>
    <x v="5"/>
    <x v="3"/>
    <x v="2"/>
  </r>
  <r>
    <s v="TX500469"/>
    <x v="5"/>
    <x v="9"/>
    <n v="49"/>
    <x v="441"/>
    <x v="20"/>
    <d v="2025-01-22T00:00:00"/>
    <s v="M"/>
    <x v="0"/>
    <x v="0"/>
    <x v="0"/>
    <x v="22"/>
    <x v="3"/>
    <x v="3"/>
    <x v="1"/>
  </r>
  <r>
    <s v="TX500470"/>
    <x v="8"/>
    <x v="2"/>
    <n v="31.3"/>
    <x v="442"/>
    <x v="20"/>
    <d v="2025-01-22T00:00:00"/>
    <s v="M"/>
    <x v="2"/>
    <x v="1"/>
    <x v="0"/>
    <x v="3"/>
    <x v="3"/>
    <x v="3"/>
    <x v="1"/>
  </r>
  <r>
    <s v="TX500471"/>
    <x v="2"/>
    <x v="1"/>
    <n v="85.4"/>
    <x v="443"/>
    <x v="20"/>
    <d v="2025-01-22T00:00:00"/>
    <s v="F"/>
    <x v="2"/>
    <x v="0"/>
    <x v="0"/>
    <x v="3"/>
    <x v="3"/>
    <x v="3"/>
    <x v="2"/>
  </r>
  <r>
    <s v="TX500472"/>
    <x v="8"/>
    <x v="12"/>
    <n v="40"/>
    <x v="444"/>
    <x v="20"/>
    <d v="2025-01-22T00:00:00"/>
    <s v="O"/>
    <x v="0"/>
    <x v="2"/>
    <x v="0"/>
    <x v="3"/>
    <x v="3"/>
    <x v="3"/>
    <x v="3"/>
  </r>
  <r>
    <s v="TX500473"/>
    <x v="5"/>
    <x v="1"/>
    <n v="38.5"/>
    <x v="445"/>
    <x v="20"/>
    <d v="2025-01-24T00:00:00"/>
    <s v="M"/>
    <x v="1"/>
    <x v="2"/>
    <x v="0"/>
    <x v="3"/>
    <x v="2"/>
    <x v="3"/>
    <x v="1"/>
  </r>
  <r>
    <s v="TX500474"/>
    <x v="2"/>
    <x v="1"/>
    <n v="57.8"/>
    <x v="446"/>
    <x v="20"/>
    <d v="2025-01-22T00:00:00"/>
    <s v=""/>
    <x v="0"/>
    <x v="0"/>
    <x v="0"/>
    <x v="3"/>
    <x v="3"/>
    <x v="3"/>
    <x v="0"/>
  </r>
  <r>
    <s v="TX500475"/>
    <x v="8"/>
    <x v="0"/>
    <n v="19.2"/>
    <x v="447"/>
    <x v="20"/>
    <d v="2025-01-22T00:00:00"/>
    <s v="F"/>
    <x v="0"/>
    <x v="4"/>
    <x v="0"/>
    <x v="3"/>
    <x v="3"/>
    <x v="3"/>
    <x v="2"/>
  </r>
  <r>
    <s v="TX500476"/>
    <x v="6"/>
    <x v="13"/>
    <n v="114.8"/>
    <x v="448"/>
    <x v="20"/>
    <d v="2025-01-24T00:00:00"/>
    <s v="M"/>
    <x v="1"/>
    <x v="1"/>
    <x v="0"/>
    <x v="3"/>
    <x v="2"/>
    <x v="3"/>
    <x v="1"/>
  </r>
  <r>
    <s v="TX500477"/>
    <x v="10"/>
    <x v="3"/>
    <n v="48.4"/>
    <x v="449"/>
    <x v="20"/>
    <d v="2025-01-24T00:00:00"/>
    <s v="F"/>
    <x v="3"/>
    <x v="1"/>
    <x v="0"/>
    <x v="3"/>
    <x v="2"/>
    <x v="3"/>
    <x v="2"/>
  </r>
  <r>
    <s v="TX500478"/>
    <x v="9"/>
    <x v="9"/>
    <n v="73.2"/>
    <x v="450"/>
    <x v="20"/>
    <d v="2025-01-22T00:00:00"/>
    <s v="F"/>
    <x v="1"/>
    <x v="4"/>
    <x v="0"/>
    <x v="3"/>
    <x v="3"/>
    <x v="3"/>
    <x v="2"/>
  </r>
  <r>
    <s v="TX500479"/>
    <x v="15"/>
    <x v="1"/>
    <n v="48.6"/>
    <x v="451"/>
    <x v="20"/>
    <d v="2025-01-25T00:00:00"/>
    <s v="F"/>
    <x v="3"/>
    <x v="0"/>
    <x v="0"/>
    <x v="3"/>
    <x v="5"/>
    <x v="3"/>
    <x v="2"/>
  </r>
  <r>
    <s v="TX500480"/>
    <x v="0"/>
    <x v="13"/>
    <n v="48.7"/>
    <x v="452"/>
    <x v="20"/>
    <d v="2025-01-22T00:00:00"/>
    <s v="M"/>
    <x v="0"/>
    <x v="0"/>
    <x v="0"/>
    <x v="3"/>
    <x v="3"/>
    <x v="3"/>
    <x v="1"/>
  </r>
  <r>
    <s v="TX500481"/>
    <x v="4"/>
    <x v="1"/>
    <n v="32.200000000000003"/>
    <x v="453"/>
    <x v="20"/>
    <d v="2025-01-24T00:00:00"/>
    <s v="M"/>
    <x v="2"/>
    <x v="2"/>
    <x v="0"/>
    <x v="3"/>
    <x v="2"/>
    <x v="3"/>
    <x v="1"/>
  </r>
  <r>
    <s v="TX500482"/>
    <x v="15"/>
    <x v="8"/>
    <n v="25.8"/>
    <x v="454"/>
    <x v="20"/>
    <d v="2025-01-22T00:00:00"/>
    <s v="M"/>
    <x v="0"/>
    <x v="0"/>
    <x v="0"/>
    <x v="37"/>
    <x v="3"/>
    <x v="3"/>
    <x v="1"/>
  </r>
  <r>
    <s v="TX500483"/>
    <x v="6"/>
    <x v="1"/>
    <n v="94.8"/>
    <x v="455"/>
    <x v="21"/>
    <d v="2025-01-25T00:00:00"/>
    <s v="F"/>
    <x v="1"/>
    <x v="1"/>
    <x v="0"/>
    <x v="25"/>
    <x v="2"/>
    <x v="3"/>
    <x v="2"/>
  </r>
  <r>
    <s v="TX500484"/>
    <x v="15"/>
    <x v="30"/>
    <n v="56.8"/>
    <x v="456"/>
    <x v="21"/>
    <d v="2025-01-25T00:00:00"/>
    <s v="M"/>
    <x v="0"/>
    <x v="0"/>
    <x v="0"/>
    <x v="25"/>
    <x v="2"/>
    <x v="3"/>
    <x v="1"/>
  </r>
  <r>
    <s v="TX500485"/>
    <x v="8"/>
    <x v="27"/>
    <n v="18.3"/>
    <x v="457"/>
    <x v="21"/>
    <d v="2025-01-29T00:00:00"/>
    <s v="F"/>
    <x v="2"/>
    <x v="2"/>
    <x v="0"/>
    <x v="23"/>
    <x v="6"/>
    <x v="3"/>
    <x v="2"/>
  </r>
  <r>
    <s v="TX500486"/>
    <x v="0"/>
    <x v="2"/>
    <n v="16.8"/>
    <x v="458"/>
    <x v="21"/>
    <d v="2025-01-27T00:00:00"/>
    <s v="F"/>
    <x v="2"/>
    <x v="2"/>
    <x v="0"/>
    <x v="8"/>
    <x v="0"/>
    <x v="3"/>
    <x v="2"/>
  </r>
  <r>
    <s v="TX500487"/>
    <x v="5"/>
    <x v="5"/>
    <n v="35.799999999999997"/>
    <x v="459"/>
    <x v="21"/>
    <d v="2025-01-23T00:00:00"/>
    <s v="M"/>
    <x v="1"/>
    <x v="0"/>
    <x v="0"/>
    <x v="17"/>
    <x v="3"/>
    <x v="3"/>
    <x v="1"/>
  </r>
  <r>
    <s v="TX500488"/>
    <x v="18"/>
    <x v="0"/>
    <n v="64.900000000000006"/>
    <x v="460"/>
    <x v="21"/>
    <d v="2025-01-23T00:00:00"/>
    <s v="M"/>
    <x v="0"/>
    <x v="1"/>
    <x v="0"/>
    <x v="17"/>
    <x v="3"/>
    <x v="3"/>
    <x v="1"/>
  </r>
  <r>
    <s v="TX500489"/>
    <x v="18"/>
    <x v="0"/>
    <n v="28.5"/>
    <x v="425"/>
    <x v="21"/>
    <d v="2025-01-24T00:00:00"/>
    <s v=""/>
    <x v="1"/>
    <x v="0"/>
    <x v="0"/>
    <x v="9"/>
    <x v="1"/>
    <x v="3"/>
    <x v="0"/>
  </r>
  <r>
    <s v="TX500490"/>
    <x v="18"/>
    <x v="1"/>
    <n v="103.5"/>
    <x v="461"/>
    <x v="21"/>
    <d v="2025-01-24T00:00:00"/>
    <s v="F"/>
    <x v="1"/>
    <x v="0"/>
    <x v="0"/>
    <x v="10"/>
    <x v="1"/>
    <x v="3"/>
    <x v="2"/>
  </r>
  <r>
    <s v="TX500491"/>
    <x v="4"/>
    <x v="1"/>
    <n v="41.2"/>
    <x v="462"/>
    <x v="21"/>
    <d v="2025-01-23T00:00:00"/>
    <s v="F"/>
    <x v="1"/>
    <x v="0"/>
    <x v="0"/>
    <x v="10"/>
    <x v="3"/>
    <x v="3"/>
    <x v="2"/>
  </r>
  <r>
    <s v="TX500492"/>
    <x v="9"/>
    <x v="0"/>
    <n v="37.799999999999997"/>
    <x v="463"/>
    <x v="21"/>
    <d v="2025-01-24T00:00:00"/>
    <s v="F"/>
    <x v="3"/>
    <x v="3"/>
    <x v="0"/>
    <x v="11"/>
    <x v="1"/>
    <x v="3"/>
    <x v="2"/>
  </r>
  <r>
    <s v="TX500493"/>
    <x v="8"/>
    <x v="1"/>
    <n v="42.6"/>
    <x v="464"/>
    <x v="21"/>
    <d v="2025-01-24T00:00:00"/>
    <s v="F"/>
    <x v="4"/>
    <x v="0"/>
    <x v="0"/>
    <x v="11"/>
    <x v="1"/>
    <x v="3"/>
    <x v="2"/>
  </r>
  <r>
    <s v="TX500494"/>
    <x v="8"/>
    <x v="7"/>
    <n v="15.2"/>
    <x v="465"/>
    <x v="21"/>
    <d v="2025-01-24T00:00:00"/>
    <s v="F"/>
    <x v="2"/>
    <x v="0"/>
    <x v="0"/>
    <x v="11"/>
    <x v="1"/>
    <x v="3"/>
    <x v="2"/>
  </r>
  <r>
    <s v="TX500495"/>
    <x v="7"/>
    <x v="12"/>
    <n v="83.4"/>
    <x v="335"/>
    <x v="21"/>
    <d v="2025-01-23T00:00:00"/>
    <s v="F"/>
    <x v="2"/>
    <x v="1"/>
    <x v="0"/>
    <x v="18"/>
    <x v="3"/>
    <x v="3"/>
    <x v="2"/>
  </r>
  <r>
    <s v="TX500496"/>
    <x v="19"/>
    <x v="1"/>
    <n v="27.7"/>
    <x v="466"/>
    <x v="21"/>
    <d v="2025-01-23T00:00:00"/>
    <s v="F"/>
    <x v="0"/>
    <x v="1"/>
    <x v="0"/>
    <x v="13"/>
    <x v="3"/>
    <x v="3"/>
    <x v="2"/>
  </r>
  <r>
    <s v="TX500497"/>
    <x v="10"/>
    <x v="4"/>
    <n v="20.8"/>
    <x v="467"/>
    <x v="21"/>
    <d v="2025-01-23T00:00:00"/>
    <s v="M"/>
    <x v="3"/>
    <x v="0"/>
    <x v="0"/>
    <x v="13"/>
    <x v="3"/>
    <x v="3"/>
    <x v="1"/>
  </r>
  <r>
    <s v="TX500498"/>
    <x v="11"/>
    <x v="1"/>
    <n v="72.7"/>
    <x v="468"/>
    <x v="21"/>
    <d v="2025-01-26T00:00:00"/>
    <s v="F"/>
    <x v="4"/>
    <x v="2"/>
    <x v="0"/>
    <x v="44"/>
    <x v="5"/>
    <x v="3"/>
    <x v="2"/>
  </r>
  <r>
    <s v="TX500499"/>
    <x v="10"/>
    <x v="12"/>
    <n v="38.6"/>
    <x v="55"/>
    <x v="21"/>
    <d v="2025-01-23T00:00:00"/>
    <s v="M"/>
    <x v="0"/>
    <x v="2"/>
    <x v="0"/>
    <x v="22"/>
    <x v="3"/>
    <x v="3"/>
    <x v="1"/>
  </r>
  <r>
    <s v="TX500500"/>
    <x v="8"/>
    <x v="3"/>
    <n v="33.1"/>
    <x v="217"/>
    <x v="21"/>
    <d v="2025-01-23T00:00:00"/>
    <s v="O"/>
    <x v="4"/>
    <x v="3"/>
    <x v="0"/>
    <x v="3"/>
    <x v="3"/>
    <x v="3"/>
    <x v="3"/>
  </r>
  <r>
    <s v="TX500501"/>
    <x v="10"/>
    <x v="1"/>
    <n v="30.5"/>
    <x v="170"/>
    <x v="21"/>
    <d v="2025-01-22T00:00:00"/>
    <s v=""/>
    <x v="1"/>
    <x v="1"/>
    <x v="0"/>
    <x v="3"/>
    <x v="7"/>
    <x v="3"/>
    <x v="0"/>
  </r>
  <r>
    <s v="TX500502"/>
    <x v="9"/>
    <x v="1"/>
    <n v="69.599999999999994"/>
    <x v="388"/>
    <x v="21"/>
    <d v="2025-01-23T00:00:00"/>
    <s v="M"/>
    <x v="0"/>
    <x v="1"/>
    <x v="0"/>
    <x v="3"/>
    <x v="3"/>
    <x v="3"/>
    <x v="1"/>
  </r>
  <r>
    <s v="TX500503"/>
    <x v="11"/>
    <x v="0"/>
    <n v="42.4"/>
    <x v="469"/>
    <x v="21"/>
    <d v="2025-01-26T00:00:00"/>
    <s v="F"/>
    <x v="1"/>
    <x v="0"/>
    <x v="0"/>
    <x v="3"/>
    <x v="5"/>
    <x v="3"/>
    <x v="2"/>
  </r>
  <r>
    <s v="TX500504"/>
    <x v="17"/>
    <x v="0"/>
    <n v="32.200000000000003"/>
    <x v="390"/>
    <x v="21"/>
    <d v="2025-01-25T00:00:00"/>
    <s v="F"/>
    <x v="2"/>
    <x v="1"/>
    <x v="0"/>
    <x v="3"/>
    <x v="2"/>
    <x v="3"/>
    <x v="2"/>
  </r>
  <r>
    <s v="TX500505"/>
    <x v="6"/>
    <x v="1"/>
    <n v="41.5"/>
    <x v="470"/>
    <x v="21"/>
    <d v="2025-01-25T00:00:00"/>
    <s v="F"/>
    <x v="0"/>
    <x v="2"/>
    <x v="0"/>
    <x v="3"/>
    <x v="2"/>
    <x v="3"/>
    <x v="2"/>
  </r>
  <r>
    <s v="TX500506"/>
    <x v="16"/>
    <x v="11"/>
    <n v="58.9"/>
    <x v="471"/>
    <x v="21"/>
    <d v="2025-01-26T00:00:00"/>
    <s v="F"/>
    <x v="3"/>
    <x v="0"/>
    <x v="0"/>
    <x v="3"/>
    <x v="5"/>
    <x v="3"/>
    <x v="2"/>
  </r>
  <r>
    <s v="TX500507"/>
    <x v="2"/>
    <x v="0"/>
    <n v="57.1"/>
    <x v="472"/>
    <x v="21"/>
    <d v="2025-01-25T00:00:00"/>
    <s v="F"/>
    <x v="1"/>
    <x v="0"/>
    <x v="0"/>
    <x v="3"/>
    <x v="2"/>
    <x v="3"/>
    <x v="2"/>
  </r>
  <r>
    <s v="TX500508"/>
    <x v="6"/>
    <x v="0"/>
    <n v="57.2"/>
    <x v="473"/>
    <x v="21"/>
    <d v="2025-01-24T00:00:00"/>
    <s v="M"/>
    <x v="1"/>
    <x v="0"/>
    <x v="0"/>
    <x v="3"/>
    <x v="1"/>
    <x v="3"/>
    <x v="1"/>
  </r>
  <r>
    <s v="TX500509"/>
    <x v="8"/>
    <x v="1"/>
    <n v="35.1"/>
    <x v="474"/>
    <x v="21"/>
    <d v="2025-01-23T00:00:00"/>
    <s v="M"/>
    <x v="1"/>
    <x v="0"/>
    <x v="0"/>
    <x v="6"/>
    <x v="3"/>
    <x v="3"/>
    <x v="1"/>
  </r>
  <r>
    <s v="TX500510"/>
    <x v="1"/>
    <x v="0"/>
    <n v="52.1"/>
    <x v="475"/>
    <x v="21"/>
    <d v="2025-01-24T00:00:00"/>
    <s v="F"/>
    <x v="4"/>
    <x v="1"/>
    <x v="0"/>
    <x v="8"/>
    <x v="1"/>
    <x v="3"/>
    <x v="2"/>
  </r>
  <r>
    <s v="TX500511"/>
    <x v="13"/>
    <x v="2"/>
    <n v="59.8"/>
    <x v="476"/>
    <x v="21"/>
    <d v="2025-01-24T00:00:00"/>
    <s v="F"/>
    <x v="4"/>
    <x v="1"/>
    <x v="0"/>
    <x v="8"/>
    <x v="1"/>
    <x v="3"/>
    <x v="2"/>
  </r>
  <r>
    <s v="TX500512"/>
    <x v="3"/>
    <x v="12"/>
    <n v="83.3"/>
    <x v="477"/>
    <x v="21"/>
    <d v="2025-01-22T00:00:00"/>
    <s v=""/>
    <x v="2"/>
    <x v="0"/>
    <x v="0"/>
    <x v="8"/>
    <x v="7"/>
    <x v="3"/>
    <x v="0"/>
  </r>
  <r>
    <s v="TX500513"/>
    <x v="15"/>
    <x v="4"/>
    <n v="41.3"/>
    <x v="478"/>
    <x v="21"/>
    <d v="2025-01-23T00:00:00"/>
    <s v="F"/>
    <x v="1"/>
    <x v="0"/>
    <x v="0"/>
    <x v="8"/>
    <x v="3"/>
    <x v="3"/>
    <x v="2"/>
  </r>
  <r>
    <s v="TX500514"/>
    <x v="8"/>
    <x v="9"/>
    <n v="16"/>
    <x v="479"/>
    <x v="21"/>
    <d v="2025-01-24T00:00:00"/>
    <s v="M"/>
    <x v="4"/>
    <x v="1"/>
    <x v="0"/>
    <x v="9"/>
    <x v="1"/>
    <x v="3"/>
    <x v="1"/>
  </r>
  <r>
    <s v="TX500515"/>
    <x v="10"/>
    <x v="1"/>
    <n v="20.8"/>
    <x v="480"/>
    <x v="22"/>
    <d v="2025-01-25T00:00:00"/>
    <s v="M"/>
    <x v="0"/>
    <x v="2"/>
    <x v="0"/>
    <x v="11"/>
    <x v="1"/>
    <x v="3"/>
    <x v="1"/>
  </r>
  <r>
    <s v="TX500516"/>
    <x v="8"/>
    <x v="31"/>
    <n v="27.1"/>
    <x v="481"/>
    <x v="22"/>
    <d v="2025-01-24T00:00:00"/>
    <s v=""/>
    <x v="3"/>
    <x v="2"/>
    <x v="0"/>
    <x v="11"/>
    <x v="3"/>
    <x v="3"/>
    <x v="0"/>
  </r>
  <r>
    <s v="TX500517"/>
    <x v="10"/>
    <x v="1"/>
    <n v="38.9"/>
    <x v="482"/>
    <x v="22"/>
    <d v="2025-01-25T00:00:00"/>
    <s v="F"/>
    <x v="0"/>
    <x v="0"/>
    <x v="0"/>
    <x v="18"/>
    <x v="1"/>
    <x v="3"/>
    <x v="2"/>
  </r>
  <r>
    <s v="TX500518"/>
    <x v="0"/>
    <x v="1"/>
    <n v="10.8"/>
    <x v="483"/>
    <x v="22"/>
    <d v="2025-01-26T00:00:00"/>
    <s v="F"/>
    <x v="1"/>
    <x v="2"/>
    <x v="0"/>
    <x v="45"/>
    <x v="2"/>
    <x v="3"/>
    <x v="2"/>
  </r>
  <r>
    <s v="TX500519"/>
    <x v="4"/>
    <x v="15"/>
    <n v="48.4"/>
    <x v="484"/>
    <x v="22"/>
    <d v="2025-01-27T00:00:00"/>
    <s v="F"/>
    <x v="0"/>
    <x v="0"/>
    <x v="0"/>
    <x v="21"/>
    <x v="5"/>
    <x v="3"/>
    <x v="2"/>
  </r>
  <r>
    <s v="TX500520"/>
    <x v="4"/>
    <x v="2"/>
    <n v="29.2"/>
    <x v="485"/>
    <x v="22"/>
    <d v="2025-01-26T00:00:00"/>
    <s v="F"/>
    <x v="1"/>
    <x v="1"/>
    <x v="0"/>
    <x v="2"/>
    <x v="2"/>
    <x v="3"/>
    <x v="2"/>
  </r>
  <r>
    <s v="TX500521"/>
    <x v="4"/>
    <x v="1"/>
    <n v="25.1"/>
    <x v="486"/>
    <x v="22"/>
    <d v="2025-01-24T00:00:00"/>
    <s v="M"/>
    <x v="0"/>
    <x v="1"/>
    <x v="0"/>
    <x v="2"/>
    <x v="3"/>
    <x v="3"/>
    <x v="1"/>
  </r>
  <r>
    <s v="TX500522"/>
    <x v="7"/>
    <x v="2"/>
    <n v="65.599999999999994"/>
    <x v="487"/>
    <x v="22"/>
    <d v="2025-01-23T00:00:00"/>
    <s v="F"/>
    <x v="2"/>
    <x v="1"/>
    <x v="0"/>
    <x v="3"/>
    <x v="7"/>
    <x v="3"/>
    <x v="2"/>
  </r>
  <r>
    <s v="TX500523"/>
    <x v="2"/>
    <x v="1"/>
    <n v="57.3"/>
    <x v="488"/>
    <x v="22"/>
    <d v="2025-01-23T00:00:00"/>
    <s v=""/>
    <x v="0"/>
    <x v="0"/>
    <x v="0"/>
    <x v="3"/>
    <x v="7"/>
    <x v="3"/>
    <x v="0"/>
  </r>
  <r>
    <s v="TX500524"/>
    <x v="9"/>
    <x v="12"/>
    <n v="22.4"/>
    <x v="70"/>
    <x v="22"/>
    <d v="2025-01-24T00:00:00"/>
    <s v="F"/>
    <x v="2"/>
    <x v="2"/>
    <x v="0"/>
    <x v="3"/>
    <x v="3"/>
    <x v="3"/>
    <x v="2"/>
  </r>
  <r>
    <s v="TX500525"/>
    <x v="12"/>
    <x v="11"/>
    <n v="45.7"/>
    <x v="489"/>
    <x v="22"/>
    <d v="2025-01-24T00:00:00"/>
    <s v="F"/>
    <x v="0"/>
    <x v="0"/>
    <x v="0"/>
    <x v="3"/>
    <x v="3"/>
    <x v="3"/>
    <x v="2"/>
  </r>
  <r>
    <s v="TX500526"/>
    <x v="8"/>
    <x v="1"/>
    <n v="29.3"/>
    <x v="150"/>
    <x v="22"/>
    <d v="2025-01-24T00:00:00"/>
    <s v="M"/>
    <x v="1"/>
    <x v="0"/>
    <x v="0"/>
    <x v="3"/>
    <x v="3"/>
    <x v="3"/>
    <x v="1"/>
  </r>
  <r>
    <s v="TX500527"/>
    <x v="18"/>
    <x v="32"/>
    <n v="74"/>
    <x v="490"/>
    <x v="22"/>
    <d v="2025-01-24T00:00:00"/>
    <s v="M"/>
    <x v="0"/>
    <x v="2"/>
    <x v="0"/>
    <x v="3"/>
    <x v="3"/>
    <x v="3"/>
    <x v="1"/>
  </r>
  <r>
    <s v="TX500528"/>
    <x v="14"/>
    <x v="1"/>
    <n v="39.200000000000003"/>
    <x v="491"/>
    <x v="22"/>
    <d v="2025-01-25T00:00:00"/>
    <s v="F"/>
    <x v="1"/>
    <x v="0"/>
    <x v="0"/>
    <x v="3"/>
    <x v="1"/>
    <x v="3"/>
    <x v="2"/>
  </r>
  <r>
    <s v="TX500529"/>
    <x v="4"/>
    <x v="14"/>
    <n v="62.7"/>
    <x v="492"/>
    <x v="22"/>
    <d v="2025-01-24T00:00:00"/>
    <s v="F"/>
    <x v="2"/>
    <x v="1"/>
    <x v="0"/>
    <x v="3"/>
    <x v="3"/>
    <x v="3"/>
    <x v="2"/>
  </r>
  <r>
    <s v="TX500530"/>
    <x v="10"/>
    <x v="1"/>
    <n v="60.1"/>
    <x v="493"/>
    <x v="22"/>
    <d v="2025-01-24T00:00:00"/>
    <s v="F"/>
    <x v="3"/>
    <x v="0"/>
    <x v="0"/>
    <x v="3"/>
    <x v="3"/>
    <x v="3"/>
    <x v="2"/>
  </r>
  <r>
    <s v="TX500531"/>
    <x v="0"/>
    <x v="12"/>
    <n v="11.2"/>
    <x v="438"/>
    <x v="22"/>
    <d v="2025-01-24T00:00:00"/>
    <s v="F"/>
    <x v="3"/>
    <x v="1"/>
    <x v="0"/>
    <x v="3"/>
    <x v="3"/>
    <x v="3"/>
    <x v="2"/>
  </r>
  <r>
    <s v="TX500532"/>
    <x v="8"/>
    <x v="1"/>
    <n v="22.9"/>
    <x v="494"/>
    <x v="22"/>
    <d v="2025-01-24T00:00:00"/>
    <s v="F"/>
    <x v="0"/>
    <x v="0"/>
    <x v="0"/>
    <x v="6"/>
    <x v="3"/>
    <x v="3"/>
    <x v="2"/>
  </r>
  <r>
    <s v="TX500533"/>
    <x v="1"/>
    <x v="1"/>
    <n v="37.6"/>
    <x v="495"/>
    <x v="22"/>
    <d v="2025-01-26T00:00:00"/>
    <s v="F"/>
    <x v="0"/>
    <x v="0"/>
    <x v="0"/>
    <x v="6"/>
    <x v="2"/>
    <x v="3"/>
    <x v="2"/>
  </r>
  <r>
    <s v="TX500534"/>
    <x v="6"/>
    <x v="0"/>
    <n v="42.4"/>
    <x v="469"/>
    <x v="22"/>
    <d v="2025-01-24T00:00:00"/>
    <s v="F"/>
    <x v="3"/>
    <x v="2"/>
    <x v="0"/>
    <x v="6"/>
    <x v="3"/>
    <x v="3"/>
    <x v="2"/>
  </r>
  <r>
    <s v="TX500535"/>
    <x v="8"/>
    <x v="1"/>
    <n v="19.600000000000001"/>
    <x v="496"/>
    <x v="22"/>
    <d v="2025-01-27T00:00:00"/>
    <s v="F"/>
    <x v="2"/>
    <x v="0"/>
    <x v="0"/>
    <x v="7"/>
    <x v="5"/>
    <x v="3"/>
    <x v="2"/>
  </r>
  <r>
    <s v="TX500536"/>
    <x v="9"/>
    <x v="0"/>
    <n v="90.5"/>
    <x v="497"/>
    <x v="22"/>
    <d v="2025-01-26T00:00:00"/>
    <s v="F"/>
    <x v="2"/>
    <x v="0"/>
    <x v="0"/>
    <x v="7"/>
    <x v="2"/>
    <x v="3"/>
    <x v="2"/>
  </r>
  <r>
    <s v="TX500537"/>
    <x v="16"/>
    <x v="5"/>
    <n v="33.9"/>
    <x v="498"/>
    <x v="22"/>
    <d v="2025-01-24T00:00:00"/>
    <s v="M"/>
    <x v="2"/>
    <x v="1"/>
    <x v="0"/>
    <x v="7"/>
    <x v="3"/>
    <x v="3"/>
    <x v="1"/>
  </r>
  <r>
    <s v="TX500538"/>
    <x v="0"/>
    <x v="1"/>
    <n v="32.799999999999997"/>
    <x v="499"/>
    <x v="22"/>
    <d v="2025-01-25T00:00:00"/>
    <s v="F"/>
    <x v="4"/>
    <x v="4"/>
    <x v="0"/>
    <x v="8"/>
    <x v="1"/>
    <x v="3"/>
    <x v="2"/>
  </r>
  <r>
    <s v="TX500539"/>
    <x v="15"/>
    <x v="0"/>
    <n v="49.9"/>
    <x v="500"/>
    <x v="22"/>
    <d v="2025-01-24T00:00:00"/>
    <s v="M"/>
    <x v="3"/>
    <x v="1"/>
    <x v="0"/>
    <x v="8"/>
    <x v="3"/>
    <x v="3"/>
    <x v="1"/>
  </r>
  <r>
    <s v="TX500540"/>
    <x v="7"/>
    <x v="9"/>
    <n v="79.2"/>
    <x v="501"/>
    <x v="22"/>
    <d v="2025-01-24T00:00:00"/>
    <s v="F"/>
    <x v="4"/>
    <x v="0"/>
    <x v="0"/>
    <x v="8"/>
    <x v="3"/>
    <x v="3"/>
    <x v="2"/>
  </r>
  <r>
    <s v="TX500541"/>
    <x v="8"/>
    <x v="27"/>
    <n v="19.5"/>
    <x v="502"/>
    <x v="22"/>
    <d v="2025-01-25T00:00:00"/>
    <s v="M"/>
    <x v="3"/>
    <x v="2"/>
    <x v="0"/>
    <x v="8"/>
    <x v="1"/>
    <x v="3"/>
    <x v="1"/>
  </r>
  <r>
    <s v="TX500542"/>
    <x v="8"/>
    <x v="12"/>
    <n v="18"/>
    <x v="503"/>
    <x v="22"/>
    <d v="2025-01-24T00:00:00"/>
    <s v="M"/>
    <x v="1"/>
    <x v="0"/>
    <x v="0"/>
    <x v="10"/>
    <x v="3"/>
    <x v="3"/>
    <x v="1"/>
  </r>
  <r>
    <s v="TX500543"/>
    <x v="9"/>
    <x v="2"/>
    <n v="45.9"/>
    <x v="223"/>
    <x v="22"/>
    <d v="2025-01-25T00:00:00"/>
    <s v="F"/>
    <x v="1"/>
    <x v="1"/>
    <x v="0"/>
    <x v="10"/>
    <x v="1"/>
    <x v="3"/>
    <x v="2"/>
  </r>
  <r>
    <s v="TX500544"/>
    <x v="11"/>
    <x v="0"/>
    <n v="41.2"/>
    <x v="504"/>
    <x v="22"/>
    <d v="2025-01-25T00:00:00"/>
    <s v="F"/>
    <x v="1"/>
    <x v="2"/>
    <x v="0"/>
    <x v="11"/>
    <x v="1"/>
    <x v="3"/>
    <x v="2"/>
  </r>
  <r>
    <s v="TX500545"/>
    <x v="2"/>
    <x v="7"/>
    <n v="167.2"/>
    <x v="505"/>
    <x v="22"/>
    <d v="2025-01-25T00:00:00"/>
    <s v="F"/>
    <x v="2"/>
    <x v="2"/>
    <x v="0"/>
    <x v="32"/>
    <x v="1"/>
    <x v="3"/>
    <x v="2"/>
  </r>
  <r>
    <s v="TX500546"/>
    <x v="6"/>
    <x v="17"/>
    <n v="74.5"/>
    <x v="506"/>
    <x v="23"/>
    <d v="2025-01-27T00:00:00"/>
    <s v="F"/>
    <x v="1"/>
    <x v="2"/>
    <x v="0"/>
    <x v="38"/>
    <x v="2"/>
    <x v="3"/>
    <x v="2"/>
  </r>
  <r>
    <s v="TX500547"/>
    <x v="7"/>
    <x v="12"/>
    <n v="39.299999999999997"/>
    <x v="507"/>
    <x v="23"/>
    <d v="2025-01-25T00:00:00"/>
    <s v=""/>
    <x v="2"/>
    <x v="0"/>
    <x v="0"/>
    <x v="19"/>
    <x v="3"/>
    <x v="3"/>
    <x v="0"/>
  </r>
  <r>
    <s v="TX500548"/>
    <x v="9"/>
    <x v="0"/>
    <n v="68.5"/>
    <x v="508"/>
    <x v="23"/>
    <d v="2025-01-27T00:00:00"/>
    <s v="M"/>
    <x v="1"/>
    <x v="2"/>
    <x v="0"/>
    <x v="12"/>
    <x v="2"/>
    <x v="3"/>
    <x v="1"/>
  </r>
  <r>
    <s v="TX500549"/>
    <x v="0"/>
    <x v="2"/>
    <n v="22.5"/>
    <x v="509"/>
    <x v="23"/>
    <d v="2025-01-24T00:00:00"/>
    <s v="F"/>
    <x v="4"/>
    <x v="0"/>
    <x v="0"/>
    <x v="13"/>
    <x v="7"/>
    <x v="3"/>
    <x v="2"/>
  </r>
  <r>
    <s v="TX500550"/>
    <x v="1"/>
    <x v="0"/>
    <n v="48"/>
    <x v="510"/>
    <x v="23"/>
    <d v="2025-01-25T00:00:00"/>
    <s v="O"/>
    <x v="4"/>
    <x v="1"/>
    <x v="0"/>
    <x v="46"/>
    <x v="3"/>
    <x v="3"/>
    <x v="3"/>
  </r>
  <r>
    <s v="TX500551"/>
    <x v="6"/>
    <x v="0"/>
    <n v="94"/>
    <x v="255"/>
    <x v="23"/>
    <d v="2025-01-25T00:00:00"/>
    <s v="M"/>
    <x v="3"/>
    <x v="1"/>
    <x v="0"/>
    <x v="1"/>
    <x v="3"/>
    <x v="3"/>
    <x v="1"/>
  </r>
  <r>
    <s v="TX500552"/>
    <x v="8"/>
    <x v="2"/>
    <n v="21.9"/>
    <x v="511"/>
    <x v="23"/>
    <d v="2025-01-25T00:00:00"/>
    <s v="F"/>
    <x v="0"/>
    <x v="0"/>
    <x v="0"/>
    <x v="44"/>
    <x v="3"/>
    <x v="3"/>
    <x v="2"/>
  </r>
  <r>
    <s v="TX500553"/>
    <x v="6"/>
    <x v="3"/>
    <n v="64.900000000000006"/>
    <x v="512"/>
    <x v="23"/>
    <d v="2025-01-25T00:00:00"/>
    <s v="F"/>
    <x v="0"/>
    <x v="0"/>
    <x v="0"/>
    <x v="3"/>
    <x v="3"/>
    <x v="3"/>
    <x v="2"/>
  </r>
  <r>
    <s v="TX500554"/>
    <x v="12"/>
    <x v="0"/>
    <n v="52.9"/>
    <x v="513"/>
    <x v="23"/>
    <d v="2025-01-24T00:00:00"/>
    <s v="F"/>
    <x v="1"/>
    <x v="1"/>
    <x v="0"/>
    <x v="3"/>
    <x v="7"/>
    <x v="3"/>
    <x v="2"/>
  </r>
  <r>
    <s v="TX500555"/>
    <x v="8"/>
    <x v="2"/>
    <n v="25.5"/>
    <x v="514"/>
    <x v="23"/>
    <d v="2025-01-25T00:00:00"/>
    <s v="F"/>
    <x v="1"/>
    <x v="2"/>
    <x v="0"/>
    <x v="3"/>
    <x v="3"/>
    <x v="3"/>
    <x v="2"/>
  </r>
  <r>
    <s v="TX500556"/>
    <x v="6"/>
    <x v="2"/>
    <n v="51.9"/>
    <x v="515"/>
    <x v="23"/>
    <d v="2025-01-25T00:00:00"/>
    <s v="F"/>
    <x v="3"/>
    <x v="0"/>
    <x v="0"/>
    <x v="3"/>
    <x v="3"/>
    <x v="3"/>
    <x v="2"/>
  </r>
  <r>
    <s v="TX500557"/>
    <x v="5"/>
    <x v="0"/>
    <n v="46.3"/>
    <x v="516"/>
    <x v="23"/>
    <d v="2025-01-27T00:00:00"/>
    <s v="F"/>
    <x v="4"/>
    <x v="0"/>
    <x v="0"/>
    <x v="3"/>
    <x v="2"/>
    <x v="3"/>
    <x v="2"/>
  </r>
  <r>
    <s v="TX500558"/>
    <x v="6"/>
    <x v="1"/>
    <n v="68.2"/>
    <x v="517"/>
    <x v="23"/>
    <d v="2025-01-26T00:00:00"/>
    <s v="F"/>
    <x v="3"/>
    <x v="0"/>
    <x v="0"/>
    <x v="3"/>
    <x v="1"/>
    <x v="3"/>
    <x v="2"/>
  </r>
  <r>
    <s v="TX500559"/>
    <x v="1"/>
    <x v="0"/>
    <n v="40.299999999999997"/>
    <x v="518"/>
    <x v="23"/>
    <d v="2025-01-25T00:00:00"/>
    <s v="M"/>
    <x v="0"/>
    <x v="1"/>
    <x v="0"/>
    <x v="3"/>
    <x v="3"/>
    <x v="3"/>
    <x v="1"/>
  </r>
  <r>
    <s v="TX500560"/>
    <x v="2"/>
    <x v="2"/>
    <n v="91.3"/>
    <x v="54"/>
    <x v="23"/>
    <d v="2025-01-29T00:00:00"/>
    <s v="M"/>
    <x v="0"/>
    <x v="2"/>
    <x v="0"/>
    <x v="6"/>
    <x v="0"/>
    <x v="3"/>
    <x v="1"/>
  </r>
  <r>
    <s v="TX500561"/>
    <x v="0"/>
    <x v="2"/>
    <n v="11.9"/>
    <x v="519"/>
    <x v="23"/>
    <d v="2025-01-25T00:00:00"/>
    <s v="F"/>
    <x v="0"/>
    <x v="1"/>
    <x v="0"/>
    <x v="6"/>
    <x v="3"/>
    <x v="3"/>
    <x v="2"/>
  </r>
  <r>
    <s v="TX500562"/>
    <x v="2"/>
    <x v="1"/>
    <n v="63.5"/>
    <x v="520"/>
    <x v="23"/>
    <d v="2025-01-26T00:00:00"/>
    <s v="M"/>
    <x v="1"/>
    <x v="0"/>
    <x v="0"/>
    <x v="6"/>
    <x v="1"/>
    <x v="3"/>
    <x v="1"/>
  </r>
  <r>
    <s v="TX500563"/>
    <x v="4"/>
    <x v="1"/>
    <n v="27.1"/>
    <x v="521"/>
    <x v="23"/>
    <d v="2025-01-27T00:00:00"/>
    <s v="M"/>
    <x v="2"/>
    <x v="2"/>
    <x v="0"/>
    <x v="6"/>
    <x v="2"/>
    <x v="3"/>
    <x v="1"/>
  </r>
  <r>
    <s v="TX500564"/>
    <x v="1"/>
    <x v="1"/>
    <n v="82.1"/>
    <x v="522"/>
    <x v="24"/>
    <d v="2025-01-28T00:00:00"/>
    <s v="M"/>
    <x v="1"/>
    <x v="1"/>
    <x v="0"/>
    <x v="7"/>
    <x v="2"/>
    <x v="3"/>
    <x v="1"/>
  </r>
  <r>
    <s v="TX500565"/>
    <x v="3"/>
    <x v="9"/>
    <n v="42.9"/>
    <x v="523"/>
    <x v="24"/>
    <d v="2025-01-27T00:00:00"/>
    <s v="F"/>
    <x v="1"/>
    <x v="0"/>
    <x v="0"/>
    <x v="8"/>
    <x v="1"/>
    <x v="3"/>
    <x v="2"/>
  </r>
  <r>
    <s v="TX500566"/>
    <x v="8"/>
    <x v="5"/>
    <n v="37.9"/>
    <x v="524"/>
    <x v="24"/>
    <d v="2025-02-01T00:00:00"/>
    <s v="M"/>
    <x v="0"/>
    <x v="0"/>
    <x v="0"/>
    <x v="8"/>
    <x v="6"/>
    <x v="3"/>
    <x v="1"/>
  </r>
  <r>
    <s v="TX500567"/>
    <x v="0"/>
    <x v="0"/>
    <n v="22.4"/>
    <x v="525"/>
    <x v="24"/>
    <d v="2025-01-26T00:00:00"/>
    <s v="F"/>
    <x v="0"/>
    <x v="1"/>
    <x v="0"/>
    <x v="17"/>
    <x v="3"/>
    <x v="3"/>
    <x v="2"/>
  </r>
  <r>
    <s v="TX500568"/>
    <x v="2"/>
    <x v="15"/>
    <n v="79.900000000000006"/>
    <x v="526"/>
    <x v="24"/>
    <d v="2025-02-07T00:00:00"/>
    <s v="F"/>
    <x v="3"/>
    <x v="1"/>
    <x v="0"/>
    <x v="11"/>
    <x v="10"/>
    <x v="3"/>
    <x v="2"/>
  </r>
  <r>
    <s v="TX500569"/>
    <x v="1"/>
    <x v="0"/>
    <n v="70.599999999999994"/>
    <x v="527"/>
    <x v="24"/>
    <d v="2025-01-28T00:00:00"/>
    <s v="F"/>
    <x v="0"/>
    <x v="1"/>
    <x v="0"/>
    <x v="11"/>
    <x v="2"/>
    <x v="3"/>
    <x v="2"/>
  </r>
  <r>
    <s v="TX500570"/>
    <x v="6"/>
    <x v="0"/>
    <n v="49.5"/>
    <x v="528"/>
    <x v="24"/>
    <d v="2025-01-27T00:00:00"/>
    <s v="M"/>
    <x v="0"/>
    <x v="0"/>
    <x v="0"/>
    <x v="13"/>
    <x v="1"/>
    <x v="3"/>
    <x v="1"/>
  </r>
  <r>
    <s v="TX500571"/>
    <x v="2"/>
    <x v="1"/>
    <n v="96.6"/>
    <x v="529"/>
    <x v="24"/>
    <d v="2025-01-27T00:00:00"/>
    <s v="M"/>
    <x v="0"/>
    <x v="0"/>
    <x v="0"/>
    <x v="21"/>
    <x v="1"/>
    <x v="3"/>
    <x v="1"/>
  </r>
  <r>
    <s v="TX500572"/>
    <x v="6"/>
    <x v="1"/>
    <n v="52.8"/>
    <x v="142"/>
    <x v="24"/>
    <d v="2025-01-26T00:00:00"/>
    <s v="F"/>
    <x v="1"/>
    <x v="1"/>
    <x v="0"/>
    <x v="21"/>
    <x v="3"/>
    <x v="3"/>
    <x v="2"/>
  </r>
  <r>
    <s v="TX500573"/>
    <x v="2"/>
    <x v="0"/>
    <n v="101.7"/>
    <x v="530"/>
    <x v="24"/>
    <d v="2025-01-26T00:00:00"/>
    <s v="M"/>
    <x v="0"/>
    <x v="0"/>
    <x v="0"/>
    <x v="1"/>
    <x v="3"/>
    <x v="3"/>
    <x v="1"/>
  </r>
  <r>
    <s v="TX500574"/>
    <x v="4"/>
    <x v="9"/>
    <n v="26.9"/>
    <x v="531"/>
    <x v="24"/>
    <d v="2025-01-30T00:00:00"/>
    <s v="F"/>
    <x v="1"/>
    <x v="1"/>
    <x v="0"/>
    <x v="22"/>
    <x v="0"/>
    <x v="3"/>
    <x v="2"/>
  </r>
  <r>
    <s v="TX500575"/>
    <x v="2"/>
    <x v="12"/>
    <n v="211"/>
    <x v="532"/>
    <x v="24"/>
    <d v="2025-01-25T00:00:00"/>
    <s v="F"/>
    <x v="1"/>
    <x v="1"/>
    <x v="0"/>
    <x v="3"/>
    <x v="7"/>
    <x v="3"/>
    <x v="2"/>
  </r>
  <r>
    <s v="TX500576"/>
    <x v="0"/>
    <x v="12"/>
    <n v="21.1"/>
    <x v="533"/>
    <x v="24"/>
    <d v="2025-01-28T00:00:00"/>
    <s v="M"/>
    <x v="4"/>
    <x v="0"/>
    <x v="0"/>
    <x v="3"/>
    <x v="2"/>
    <x v="3"/>
    <x v="1"/>
  </r>
  <r>
    <s v="TX500577"/>
    <x v="10"/>
    <x v="0"/>
    <n v="26.6"/>
    <x v="534"/>
    <x v="24"/>
    <d v="2025-01-27T00:00:00"/>
    <s v="M"/>
    <x v="0"/>
    <x v="4"/>
    <x v="0"/>
    <x v="3"/>
    <x v="1"/>
    <x v="3"/>
    <x v="1"/>
  </r>
  <r>
    <s v="TX500578"/>
    <x v="12"/>
    <x v="12"/>
    <n v="51.2"/>
    <x v="403"/>
    <x v="24"/>
    <d v="2025-01-26T00:00:00"/>
    <s v="F"/>
    <x v="3"/>
    <x v="0"/>
    <x v="0"/>
    <x v="47"/>
    <x v="3"/>
    <x v="3"/>
    <x v="2"/>
  </r>
  <r>
    <s v="TX500579"/>
    <x v="0"/>
    <x v="9"/>
    <n v="10.6"/>
    <x v="535"/>
    <x v="24"/>
    <d v="2025-01-29T00:00:00"/>
    <s v="F"/>
    <x v="0"/>
    <x v="0"/>
    <x v="0"/>
    <x v="8"/>
    <x v="5"/>
    <x v="3"/>
    <x v="2"/>
  </r>
  <r>
    <s v="TX500580"/>
    <x v="6"/>
    <x v="2"/>
    <n v="43.4"/>
    <x v="33"/>
    <x v="24"/>
    <d v="2025-01-28T00:00:00"/>
    <s v="F"/>
    <x v="4"/>
    <x v="0"/>
    <x v="0"/>
    <x v="8"/>
    <x v="2"/>
    <x v="3"/>
    <x v="2"/>
  </r>
  <r>
    <s v="TX500581"/>
    <x v="12"/>
    <x v="0"/>
    <n v="80"/>
    <x v="479"/>
    <x v="24"/>
    <d v="2025-01-25T00:00:00"/>
    <s v="F"/>
    <x v="0"/>
    <x v="2"/>
    <x v="0"/>
    <x v="8"/>
    <x v="7"/>
    <x v="3"/>
    <x v="2"/>
  </r>
  <r>
    <s v="TX500582"/>
    <x v="10"/>
    <x v="12"/>
    <n v="64.7"/>
    <x v="536"/>
    <x v="24"/>
    <d v="2025-01-27T00:00:00"/>
    <s v="F"/>
    <x v="1"/>
    <x v="4"/>
    <x v="0"/>
    <x v="8"/>
    <x v="1"/>
    <x v="3"/>
    <x v="2"/>
  </r>
  <r>
    <s v="TX500583"/>
    <x v="8"/>
    <x v="5"/>
    <n v="26.3"/>
    <x v="537"/>
    <x v="25"/>
    <d v="2025-01-26T00:00:00"/>
    <s v="F"/>
    <x v="4"/>
    <x v="1"/>
    <x v="0"/>
    <x v="26"/>
    <x v="7"/>
    <x v="4"/>
    <x v="2"/>
  </r>
  <r>
    <s v="TX500584"/>
    <x v="10"/>
    <x v="0"/>
    <n v="28.5"/>
    <x v="425"/>
    <x v="25"/>
    <d v="2025-01-26T00:00:00"/>
    <s v="M"/>
    <x v="0"/>
    <x v="1"/>
    <x v="0"/>
    <x v="9"/>
    <x v="7"/>
    <x v="4"/>
    <x v="1"/>
  </r>
  <r>
    <s v="TX500585"/>
    <x v="17"/>
    <x v="0"/>
    <n v="47.8"/>
    <x v="538"/>
    <x v="25"/>
    <d v="2025-01-28T00:00:00"/>
    <s v="F"/>
    <x v="0"/>
    <x v="1"/>
    <x v="0"/>
    <x v="9"/>
    <x v="1"/>
    <x v="4"/>
    <x v="2"/>
  </r>
  <r>
    <s v="TX500586"/>
    <x v="10"/>
    <x v="2"/>
    <n v="42.8"/>
    <x v="539"/>
    <x v="25"/>
    <d v="2025-01-29T00:00:00"/>
    <s v="F"/>
    <x v="4"/>
    <x v="1"/>
    <x v="0"/>
    <x v="11"/>
    <x v="2"/>
    <x v="4"/>
    <x v="2"/>
  </r>
  <r>
    <s v="TX500587"/>
    <x v="6"/>
    <x v="9"/>
    <n v="46.8"/>
    <x v="540"/>
    <x v="25"/>
    <d v="2025-01-31T00:00:00"/>
    <s v="F"/>
    <x v="1"/>
    <x v="2"/>
    <x v="0"/>
    <x v="11"/>
    <x v="0"/>
    <x v="4"/>
    <x v="2"/>
  </r>
  <r>
    <s v="TX500588"/>
    <x v="1"/>
    <x v="7"/>
    <n v="64.099999999999994"/>
    <x v="541"/>
    <x v="25"/>
    <d v="2025-01-27T00:00:00"/>
    <s v="M"/>
    <x v="1"/>
    <x v="0"/>
    <x v="0"/>
    <x v="11"/>
    <x v="3"/>
    <x v="4"/>
    <x v="1"/>
  </r>
  <r>
    <s v="TX500589"/>
    <x v="2"/>
    <x v="0"/>
    <n v="89.1"/>
    <x v="542"/>
    <x v="25"/>
    <d v="2025-01-27T00:00:00"/>
    <s v="F"/>
    <x v="0"/>
    <x v="1"/>
    <x v="0"/>
    <x v="20"/>
    <x v="3"/>
    <x v="4"/>
    <x v="2"/>
  </r>
  <r>
    <s v="TX500590"/>
    <x v="2"/>
    <x v="2"/>
    <n v="83.1"/>
    <x v="543"/>
    <x v="25"/>
    <d v="2025-01-27T00:00:00"/>
    <s v="F"/>
    <x v="2"/>
    <x v="1"/>
    <x v="0"/>
    <x v="13"/>
    <x v="3"/>
    <x v="4"/>
    <x v="2"/>
  </r>
  <r>
    <s v="TX500591"/>
    <x v="8"/>
    <x v="2"/>
    <n v="40.9"/>
    <x v="544"/>
    <x v="25"/>
    <d v="2025-01-27T00:00:00"/>
    <s v="M"/>
    <x v="0"/>
    <x v="0"/>
    <x v="0"/>
    <x v="1"/>
    <x v="3"/>
    <x v="4"/>
    <x v="1"/>
  </r>
  <r>
    <s v="TX500592"/>
    <x v="2"/>
    <x v="1"/>
    <n v="125.7"/>
    <x v="545"/>
    <x v="25"/>
    <d v="2025-01-27T00:00:00"/>
    <s v="F"/>
    <x v="3"/>
    <x v="0"/>
    <x v="0"/>
    <x v="2"/>
    <x v="3"/>
    <x v="4"/>
    <x v="2"/>
  </r>
  <r>
    <s v="TX500593"/>
    <x v="3"/>
    <x v="1"/>
    <n v="30.9"/>
    <x v="546"/>
    <x v="25"/>
    <d v="2025-01-26T00:00:00"/>
    <s v="F"/>
    <x v="2"/>
    <x v="2"/>
    <x v="0"/>
    <x v="22"/>
    <x v="7"/>
    <x v="4"/>
    <x v="2"/>
  </r>
  <r>
    <s v="TX500594"/>
    <x v="8"/>
    <x v="1"/>
    <n v="18.3"/>
    <x v="547"/>
    <x v="25"/>
    <d v="2025-01-27T00:00:00"/>
    <s v="F"/>
    <x v="1"/>
    <x v="0"/>
    <x v="0"/>
    <x v="3"/>
    <x v="3"/>
    <x v="4"/>
    <x v="2"/>
  </r>
  <r>
    <s v="TX500595"/>
    <x v="4"/>
    <x v="1"/>
    <n v="56.5"/>
    <x v="548"/>
    <x v="25"/>
    <d v="2025-01-30T00:00:00"/>
    <s v="M"/>
    <x v="2"/>
    <x v="2"/>
    <x v="0"/>
    <x v="3"/>
    <x v="5"/>
    <x v="4"/>
    <x v="1"/>
  </r>
  <r>
    <s v="TX500596"/>
    <x v="10"/>
    <x v="3"/>
    <n v="29.9"/>
    <x v="549"/>
    <x v="25"/>
    <d v="2025-01-28T00:00:00"/>
    <s v="M"/>
    <x v="4"/>
    <x v="2"/>
    <x v="0"/>
    <x v="3"/>
    <x v="1"/>
    <x v="4"/>
    <x v="1"/>
  </r>
  <r>
    <s v="TX500597"/>
    <x v="5"/>
    <x v="1"/>
    <n v="50.4"/>
    <x v="90"/>
    <x v="25"/>
    <d v="2025-01-27T00:00:00"/>
    <s v="F"/>
    <x v="2"/>
    <x v="0"/>
    <x v="0"/>
    <x v="3"/>
    <x v="3"/>
    <x v="4"/>
    <x v="2"/>
  </r>
  <r>
    <s v="TX500598"/>
    <x v="2"/>
    <x v="0"/>
    <n v="85.8"/>
    <x v="550"/>
    <x v="25"/>
    <d v="2025-01-26T00:00:00"/>
    <s v="F"/>
    <x v="2"/>
    <x v="2"/>
    <x v="0"/>
    <x v="3"/>
    <x v="7"/>
    <x v="4"/>
    <x v="2"/>
  </r>
  <r>
    <s v="TX500599"/>
    <x v="4"/>
    <x v="27"/>
    <n v="66.599999999999994"/>
    <x v="551"/>
    <x v="25"/>
    <d v="2025-01-28T00:00:00"/>
    <s v="M"/>
    <x v="1"/>
    <x v="0"/>
    <x v="0"/>
    <x v="3"/>
    <x v="1"/>
    <x v="4"/>
    <x v="1"/>
  </r>
  <r>
    <s v="TX500600"/>
    <x v="6"/>
    <x v="12"/>
    <n v="70.3"/>
    <x v="552"/>
    <x v="25"/>
    <d v="2025-01-27T00:00:00"/>
    <s v="F"/>
    <x v="0"/>
    <x v="1"/>
    <x v="0"/>
    <x v="3"/>
    <x v="3"/>
    <x v="4"/>
    <x v="2"/>
  </r>
  <r>
    <s v="TX500601"/>
    <x v="8"/>
    <x v="12"/>
    <n v="31"/>
    <x v="553"/>
    <x v="25"/>
    <d v="2025-01-29T00:00:00"/>
    <s v="M"/>
    <x v="0"/>
    <x v="2"/>
    <x v="0"/>
    <x v="3"/>
    <x v="2"/>
    <x v="4"/>
    <x v="1"/>
  </r>
  <r>
    <s v="TX500602"/>
    <x v="7"/>
    <x v="13"/>
    <n v="81.599999999999994"/>
    <x v="554"/>
    <x v="25"/>
    <d v="2025-01-27T00:00:00"/>
    <s v="F"/>
    <x v="1"/>
    <x v="1"/>
    <x v="0"/>
    <x v="37"/>
    <x v="3"/>
    <x v="4"/>
    <x v="2"/>
  </r>
  <r>
    <s v="TX500603"/>
    <x v="1"/>
    <x v="30"/>
    <n v="58.3"/>
    <x v="555"/>
    <x v="25"/>
    <d v="2025-01-27T00:00:00"/>
    <s v="F"/>
    <x v="0"/>
    <x v="0"/>
    <x v="0"/>
    <x v="16"/>
    <x v="3"/>
    <x v="4"/>
    <x v="2"/>
  </r>
  <r>
    <s v="TX500604"/>
    <x v="1"/>
    <x v="12"/>
    <n v="35.1"/>
    <x v="381"/>
    <x v="25"/>
    <d v="2025-01-28T00:00:00"/>
    <s v="M"/>
    <x v="0"/>
    <x v="2"/>
    <x v="0"/>
    <x v="8"/>
    <x v="1"/>
    <x v="4"/>
    <x v="1"/>
  </r>
  <r>
    <s v="TX500605"/>
    <x v="2"/>
    <x v="0"/>
    <n v="80.2"/>
    <x v="556"/>
    <x v="25"/>
    <d v="2025-01-27T00:00:00"/>
    <s v="M"/>
    <x v="3"/>
    <x v="2"/>
    <x v="0"/>
    <x v="8"/>
    <x v="3"/>
    <x v="4"/>
    <x v="1"/>
  </r>
  <r>
    <s v="TX500606"/>
    <x v="14"/>
    <x v="2"/>
    <n v="39.200000000000003"/>
    <x v="557"/>
    <x v="25"/>
    <d v="2025-01-28T00:00:00"/>
    <s v="F"/>
    <x v="1"/>
    <x v="0"/>
    <x v="0"/>
    <x v="9"/>
    <x v="1"/>
    <x v="4"/>
    <x v="2"/>
  </r>
  <r>
    <s v="TX500607"/>
    <x v="0"/>
    <x v="1"/>
    <n v="15.4"/>
    <x v="558"/>
    <x v="25"/>
    <d v="2025-01-26T00:00:00"/>
    <s v="F"/>
    <x v="3"/>
    <x v="0"/>
    <x v="0"/>
    <x v="48"/>
    <x v="7"/>
    <x v="4"/>
    <x v="2"/>
  </r>
  <r>
    <s v="TX500608"/>
    <x v="3"/>
    <x v="2"/>
    <n v="65.400000000000006"/>
    <x v="338"/>
    <x v="25"/>
    <d v="2025-01-29T00:00:00"/>
    <s v="M"/>
    <x v="3"/>
    <x v="0"/>
    <x v="0"/>
    <x v="18"/>
    <x v="2"/>
    <x v="4"/>
    <x v="1"/>
  </r>
  <r>
    <s v="TX500609"/>
    <x v="1"/>
    <x v="8"/>
    <n v="63.2"/>
    <x v="559"/>
    <x v="25"/>
    <d v="2025-01-28T00:00:00"/>
    <s v="F"/>
    <x v="1"/>
    <x v="0"/>
    <x v="0"/>
    <x v="19"/>
    <x v="1"/>
    <x v="4"/>
    <x v="2"/>
  </r>
  <r>
    <s v="TX500610"/>
    <x v="1"/>
    <x v="13"/>
    <n v="35.700000000000003"/>
    <x v="560"/>
    <x v="25"/>
    <d v="2025-01-30T00:00:00"/>
    <s v="F"/>
    <x v="4"/>
    <x v="1"/>
    <x v="0"/>
    <x v="19"/>
    <x v="5"/>
    <x v="4"/>
    <x v="2"/>
  </r>
  <r>
    <s v="TX500611"/>
    <x v="0"/>
    <x v="28"/>
    <n v="26.2"/>
    <x v="561"/>
    <x v="25"/>
    <d v="2025-01-27T00:00:00"/>
    <s v="F"/>
    <x v="3"/>
    <x v="0"/>
    <x v="0"/>
    <x v="21"/>
    <x v="3"/>
    <x v="4"/>
    <x v="2"/>
  </r>
  <r>
    <s v="TX500612"/>
    <x v="7"/>
    <x v="1"/>
    <n v="31"/>
    <x v="85"/>
    <x v="25"/>
    <d v="2025-01-27T00:00:00"/>
    <s v="F"/>
    <x v="0"/>
    <x v="2"/>
    <x v="0"/>
    <x v="1"/>
    <x v="3"/>
    <x v="4"/>
    <x v="2"/>
  </r>
  <r>
    <s v="TX500613"/>
    <x v="8"/>
    <x v="12"/>
    <n v="37.700000000000003"/>
    <x v="562"/>
    <x v="25"/>
    <d v="2025-01-27T00:00:00"/>
    <s v="F"/>
    <x v="1"/>
    <x v="0"/>
    <x v="0"/>
    <x v="22"/>
    <x v="3"/>
    <x v="4"/>
    <x v="2"/>
  </r>
  <r>
    <s v="TX500614"/>
    <x v="10"/>
    <x v="33"/>
    <n v="43.6"/>
    <x v="563"/>
    <x v="25"/>
    <d v="2025-01-28T00:00:00"/>
    <s v="F"/>
    <x v="4"/>
    <x v="1"/>
    <x v="0"/>
    <x v="3"/>
    <x v="1"/>
    <x v="4"/>
    <x v="2"/>
  </r>
  <r>
    <s v="TX500615"/>
    <x v="9"/>
    <x v="12"/>
    <n v="26.5"/>
    <x v="101"/>
    <x v="25"/>
    <d v="2025-01-28T00:00:00"/>
    <s v="M"/>
    <x v="0"/>
    <x v="4"/>
    <x v="0"/>
    <x v="3"/>
    <x v="1"/>
    <x v="4"/>
    <x v="1"/>
  </r>
  <r>
    <s v="TX500616"/>
    <x v="0"/>
    <x v="1"/>
    <n v="34.6"/>
    <x v="564"/>
    <x v="25"/>
    <d v="2025-01-27T00:00:00"/>
    <s v="M"/>
    <x v="4"/>
    <x v="1"/>
    <x v="0"/>
    <x v="3"/>
    <x v="3"/>
    <x v="4"/>
    <x v="1"/>
  </r>
  <r>
    <s v="TX500617"/>
    <x v="8"/>
    <x v="1"/>
    <n v="58.2"/>
    <x v="565"/>
    <x v="25"/>
    <d v="2025-01-27T00:00:00"/>
    <s v="M"/>
    <x v="2"/>
    <x v="2"/>
    <x v="0"/>
    <x v="3"/>
    <x v="3"/>
    <x v="4"/>
    <x v="1"/>
  </r>
  <r>
    <s v="TX500618"/>
    <x v="7"/>
    <x v="0"/>
    <n v="30.2"/>
    <x v="242"/>
    <x v="26"/>
    <d v="2025-01-28T00:00:00"/>
    <s v="F"/>
    <x v="2"/>
    <x v="1"/>
    <x v="0"/>
    <x v="3"/>
    <x v="3"/>
    <x v="4"/>
    <x v="2"/>
  </r>
  <r>
    <s v="TX500619"/>
    <x v="1"/>
    <x v="7"/>
    <n v="53.2"/>
    <x v="566"/>
    <x v="26"/>
    <d v="2025-01-28T00:00:00"/>
    <s v="M"/>
    <x v="0"/>
    <x v="2"/>
    <x v="0"/>
    <x v="5"/>
    <x v="3"/>
    <x v="4"/>
    <x v="1"/>
  </r>
  <r>
    <s v="TX500620"/>
    <x v="12"/>
    <x v="13"/>
    <n v="51.1"/>
    <x v="567"/>
    <x v="26"/>
    <d v="2025-01-27T00:00:00"/>
    <s v="M"/>
    <x v="1"/>
    <x v="2"/>
    <x v="0"/>
    <x v="5"/>
    <x v="7"/>
    <x v="4"/>
    <x v="1"/>
  </r>
  <r>
    <s v="TX500621"/>
    <x v="1"/>
    <x v="0"/>
    <n v="105.4"/>
    <x v="568"/>
    <x v="26"/>
    <d v="2025-01-31T00:00:00"/>
    <s v="F"/>
    <x v="1"/>
    <x v="2"/>
    <x v="0"/>
    <x v="23"/>
    <x v="5"/>
    <x v="4"/>
    <x v="2"/>
  </r>
  <r>
    <s v="TX500622"/>
    <x v="7"/>
    <x v="0"/>
    <n v="57.7"/>
    <x v="569"/>
    <x v="26"/>
    <d v="2025-01-27T00:00:00"/>
    <s v="M"/>
    <x v="0"/>
    <x v="4"/>
    <x v="0"/>
    <x v="8"/>
    <x v="7"/>
    <x v="4"/>
    <x v="1"/>
  </r>
  <r>
    <s v="TX500623"/>
    <x v="15"/>
    <x v="1"/>
    <n v="72.400000000000006"/>
    <x v="353"/>
    <x v="26"/>
    <d v="2025-02-01T00:00:00"/>
    <s v="F"/>
    <x v="0"/>
    <x v="0"/>
    <x v="0"/>
    <x v="17"/>
    <x v="0"/>
    <x v="4"/>
    <x v="2"/>
  </r>
  <r>
    <s v="TX500624"/>
    <x v="6"/>
    <x v="1"/>
    <n v="62.5"/>
    <x v="570"/>
    <x v="26"/>
    <d v="2025-01-28T00:00:00"/>
    <s v=""/>
    <x v="0"/>
    <x v="2"/>
    <x v="0"/>
    <x v="11"/>
    <x v="3"/>
    <x v="4"/>
    <x v="0"/>
  </r>
  <r>
    <s v="TX500625"/>
    <x v="0"/>
    <x v="32"/>
    <n v="11.6"/>
    <x v="281"/>
    <x v="26"/>
    <d v="2025-01-29T00:00:00"/>
    <s v="F"/>
    <x v="3"/>
    <x v="2"/>
    <x v="0"/>
    <x v="18"/>
    <x v="1"/>
    <x v="4"/>
    <x v="2"/>
  </r>
  <r>
    <s v="TX500626"/>
    <x v="10"/>
    <x v="7"/>
    <n v="39.6"/>
    <x v="501"/>
    <x v="26"/>
    <d v="2025-01-29T00:00:00"/>
    <s v="F"/>
    <x v="2"/>
    <x v="2"/>
    <x v="0"/>
    <x v="18"/>
    <x v="1"/>
    <x v="4"/>
    <x v="2"/>
  </r>
  <r>
    <s v="TX500627"/>
    <x v="8"/>
    <x v="1"/>
    <n v="40.1"/>
    <x v="556"/>
    <x v="26"/>
    <d v="2025-01-28T00:00:00"/>
    <s v="F"/>
    <x v="2"/>
    <x v="0"/>
    <x v="0"/>
    <x v="18"/>
    <x v="3"/>
    <x v="4"/>
    <x v="2"/>
  </r>
  <r>
    <s v="TX500628"/>
    <x v="8"/>
    <x v="2"/>
    <n v="18.600000000000001"/>
    <x v="571"/>
    <x v="26"/>
    <d v="2025-01-28T00:00:00"/>
    <s v="F"/>
    <x v="2"/>
    <x v="0"/>
    <x v="0"/>
    <x v="21"/>
    <x v="3"/>
    <x v="4"/>
    <x v="2"/>
  </r>
  <r>
    <s v="TX500629"/>
    <x v="4"/>
    <x v="0"/>
    <n v="58.8"/>
    <x v="572"/>
    <x v="26"/>
    <d v="2025-01-29T00:00:00"/>
    <s v="F"/>
    <x v="0"/>
    <x v="1"/>
    <x v="0"/>
    <x v="21"/>
    <x v="1"/>
    <x v="4"/>
    <x v="2"/>
  </r>
  <r>
    <s v="TX500630"/>
    <x v="8"/>
    <x v="1"/>
    <n v="22.1"/>
    <x v="573"/>
    <x v="26"/>
    <d v="2025-01-30T00:00:00"/>
    <s v="M"/>
    <x v="1"/>
    <x v="2"/>
    <x v="0"/>
    <x v="21"/>
    <x v="2"/>
    <x v="4"/>
    <x v="1"/>
  </r>
  <r>
    <s v="TX500631"/>
    <x v="2"/>
    <x v="0"/>
    <n v="114.9"/>
    <x v="574"/>
    <x v="27"/>
    <d v="2025-01-29T00:00:00"/>
    <s v="F"/>
    <x v="1"/>
    <x v="1"/>
    <x v="0"/>
    <x v="22"/>
    <x v="3"/>
    <x v="4"/>
    <x v="2"/>
  </r>
  <r>
    <s v="TX500632"/>
    <x v="9"/>
    <x v="9"/>
    <n v="75.8"/>
    <x v="575"/>
    <x v="27"/>
    <d v="2025-01-29T00:00:00"/>
    <s v="M"/>
    <x v="0"/>
    <x v="2"/>
    <x v="0"/>
    <x v="3"/>
    <x v="3"/>
    <x v="4"/>
    <x v="1"/>
  </r>
  <r>
    <s v="TX500633"/>
    <x v="14"/>
    <x v="9"/>
    <n v="20.6"/>
    <x v="576"/>
    <x v="27"/>
    <d v="2025-01-29T00:00:00"/>
    <s v="M"/>
    <x v="2"/>
    <x v="2"/>
    <x v="0"/>
    <x v="3"/>
    <x v="3"/>
    <x v="4"/>
    <x v="1"/>
  </r>
  <r>
    <s v="TX500634"/>
    <x v="17"/>
    <x v="2"/>
    <n v="67.900000000000006"/>
    <x v="577"/>
    <x v="27"/>
    <d v="2025-01-29T00:00:00"/>
    <s v="F"/>
    <x v="1"/>
    <x v="1"/>
    <x v="0"/>
    <x v="3"/>
    <x v="3"/>
    <x v="4"/>
    <x v="2"/>
  </r>
  <r>
    <s v="TX500635"/>
    <x v="0"/>
    <x v="9"/>
    <n v="27"/>
    <x v="340"/>
    <x v="27"/>
    <d v="2025-02-04T00:00:00"/>
    <s v="F"/>
    <x v="0"/>
    <x v="2"/>
    <x v="0"/>
    <x v="3"/>
    <x v="6"/>
    <x v="4"/>
    <x v="2"/>
  </r>
  <r>
    <s v="TX500636"/>
    <x v="13"/>
    <x v="0"/>
    <n v="50.6"/>
    <x v="578"/>
    <x v="27"/>
    <d v="2025-01-28T00:00:00"/>
    <s v="M"/>
    <x v="0"/>
    <x v="1"/>
    <x v="0"/>
    <x v="3"/>
    <x v="7"/>
    <x v="4"/>
    <x v="1"/>
  </r>
  <r>
    <s v="TX500637"/>
    <x v="4"/>
    <x v="9"/>
    <n v="22.1"/>
    <x v="579"/>
    <x v="27"/>
    <d v="2025-02-02T00:00:00"/>
    <s v="M"/>
    <x v="0"/>
    <x v="0"/>
    <x v="0"/>
    <x v="3"/>
    <x v="0"/>
    <x v="4"/>
    <x v="1"/>
  </r>
  <r>
    <s v="TX500638"/>
    <x v="8"/>
    <x v="2"/>
    <n v="42.9"/>
    <x v="580"/>
    <x v="27"/>
    <d v="2025-01-30T00:00:00"/>
    <s v="F"/>
    <x v="0"/>
    <x v="0"/>
    <x v="0"/>
    <x v="3"/>
    <x v="1"/>
    <x v="4"/>
    <x v="2"/>
  </r>
  <r>
    <s v="TX500639"/>
    <x v="1"/>
    <x v="5"/>
    <n v="62.4"/>
    <x v="581"/>
    <x v="27"/>
    <d v="2025-01-30T00:00:00"/>
    <s v="F"/>
    <x v="2"/>
    <x v="0"/>
    <x v="0"/>
    <x v="3"/>
    <x v="1"/>
    <x v="4"/>
    <x v="2"/>
  </r>
  <r>
    <s v="TX500640"/>
    <x v="13"/>
    <x v="11"/>
    <n v="36.4"/>
    <x v="582"/>
    <x v="27"/>
    <d v="2025-01-30T00:00:00"/>
    <s v="F"/>
    <x v="0"/>
    <x v="2"/>
    <x v="0"/>
    <x v="3"/>
    <x v="1"/>
    <x v="4"/>
    <x v="2"/>
  </r>
  <r>
    <s v="TX500641"/>
    <x v="0"/>
    <x v="1"/>
    <n v="22.5"/>
    <x v="583"/>
    <x v="27"/>
    <d v="2025-01-31T00:00:00"/>
    <s v="M"/>
    <x v="0"/>
    <x v="0"/>
    <x v="0"/>
    <x v="3"/>
    <x v="2"/>
    <x v="4"/>
    <x v="1"/>
  </r>
  <r>
    <s v="TX500642"/>
    <x v="6"/>
    <x v="12"/>
    <n v="70.8"/>
    <x v="584"/>
    <x v="27"/>
    <d v="2025-01-30T00:00:00"/>
    <s v="F"/>
    <x v="4"/>
    <x v="0"/>
    <x v="0"/>
    <x v="3"/>
    <x v="1"/>
    <x v="4"/>
    <x v="2"/>
  </r>
  <r>
    <s v="TX500643"/>
    <x v="6"/>
    <x v="9"/>
    <n v="56.6"/>
    <x v="585"/>
    <x v="27"/>
    <d v="2025-01-30T00:00:00"/>
    <s v="M"/>
    <x v="0"/>
    <x v="1"/>
    <x v="0"/>
    <x v="4"/>
    <x v="1"/>
    <x v="4"/>
    <x v="1"/>
  </r>
  <r>
    <s v="TX500644"/>
    <x v="6"/>
    <x v="1"/>
    <n v="47.9"/>
    <x v="586"/>
    <x v="27"/>
    <d v="2025-01-29T00:00:00"/>
    <s v="F"/>
    <x v="0"/>
    <x v="0"/>
    <x v="0"/>
    <x v="6"/>
    <x v="3"/>
    <x v="4"/>
    <x v="2"/>
  </r>
  <r>
    <s v="TX500645"/>
    <x v="6"/>
    <x v="8"/>
    <n v="78.400000000000006"/>
    <x v="587"/>
    <x v="27"/>
    <d v="2025-01-30T00:00:00"/>
    <s v="F"/>
    <x v="1"/>
    <x v="0"/>
    <x v="0"/>
    <x v="6"/>
    <x v="1"/>
    <x v="4"/>
    <x v="2"/>
  </r>
  <r>
    <s v="TX500646"/>
    <x v="2"/>
    <x v="21"/>
    <n v="122.1"/>
    <x v="588"/>
    <x v="27"/>
    <d v="2025-02-02T00:00:00"/>
    <s v="F"/>
    <x v="0"/>
    <x v="2"/>
    <x v="0"/>
    <x v="6"/>
    <x v="0"/>
    <x v="4"/>
    <x v="2"/>
  </r>
  <r>
    <s v="TX500647"/>
    <x v="2"/>
    <x v="1"/>
    <n v="83.7"/>
    <x v="589"/>
    <x v="28"/>
    <d v="2025-01-29T00:00:00"/>
    <s v=""/>
    <x v="1"/>
    <x v="2"/>
    <x v="0"/>
    <x v="7"/>
    <x v="7"/>
    <x v="4"/>
    <x v="0"/>
  </r>
  <r>
    <s v="TX500648"/>
    <x v="3"/>
    <x v="12"/>
    <n v="97.9"/>
    <x v="590"/>
    <x v="28"/>
    <d v="2025-02-02T00:00:00"/>
    <s v="F"/>
    <x v="3"/>
    <x v="2"/>
    <x v="0"/>
    <x v="7"/>
    <x v="5"/>
    <x v="4"/>
    <x v="2"/>
  </r>
  <r>
    <s v="TX500649"/>
    <x v="14"/>
    <x v="0"/>
    <n v="15"/>
    <x v="591"/>
    <x v="28"/>
    <d v="2025-02-03T00:00:00"/>
    <s v="F"/>
    <x v="3"/>
    <x v="0"/>
    <x v="0"/>
    <x v="8"/>
    <x v="0"/>
    <x v="4"/>
    <x v="2"/>
  </r>
  <r>
    <s v="TX500650"/>
    <x v="12"/>
    <x v="2"/>
    <n v="94.6"/>
    <x v="592"/>
    <x v="28"/>
    <d v="2025-01-30T00:00:00"/>
    <s v="M"/>
    <x v="2"/>
    <x v="1"/>
    <x v="0"/>
    <x v="8"/>
    <x v="3"/>
    <x v="4"/>
    <x v="1"/>
  </r>
  <r>
    <s v="TX500651"/>
    <x v="0"/>
    <x v="13"/>
    <n v="19.7"/>
    <x v="593"/>
    <x v="28"/>
    <d v="2025-02-09T00:00:00"/>
    <s v="F"/>
    <x v="0"/>
    <x v="2"/>
    <x v="0"/>
    <x v="8"/>
    <x v="11"/>
    <x v="4"/>
    <x v="2"/>
  </r>
  <r>
    <s v="TX500652"/>
    <x v="7"/>
    <x v="0"/>
    <n v="46.7"/>
    <x v="594"/>
    <x v="28"/>
    <d v="2025-02-01T00:00:00"/>
    <s v="F"/>
    <x v="2"/>
    <x v="0"/>
    <x v="0"/>
    <x v="17"/>
    <x v="2"/>
    <x v="4"/>
    <x v="2"/>
  </r>
  <r>
    <s v="TX500653"/>
    <x v="1"/>
    <x v="12"/>
    <n v="43"/>
    <x v="595"/>
    <x v="28"/>
    <d v="2025-01-30T00:00:00"/>
    <s v="M"/>
    <x v="2"/>
    <x v="2"/>
    <x v="0"/>
    <x v="17"/>
    <x v="3"/>
    <x v="4"/>
    <x v="1"/>
  </r>
  <r>
    <s v="TX500654"/>
    <x v="6"/>
    <x v="2"/>
    <n v="68.2"/>
    <x v="214"/>
    <x v="28"/>
    <d v="2025-02-04T00:00:00"/>
    <s v="F"/>
    <x v="0"/>
    <x v="0"/>
    <x v="0"/>
    <x v="9"/>
    <x v="4"/>
    <x v="4"/>
    <x v="2"/>
  </r>
  <r>
    <s v="TX500655"/>
    <x v="10"/>
    <x v="7"/>
    <n v="24.3"/>
    <x v="596"/>
    <x v="28"/>
    <d v="2025-01-30T00:00:00"/>
    <s v="M"/>
    <x v="0"/>
    <x v="2"/>
    <x v="0"/>
    <x v="10"/>
    <x v="3"/>
    <x v="4"/>
    <x v="1"/>
  </r>
  <r>
    <s v="TX500656"/>
    <x v="7"/>
    <x v="1"/>
    <n v="86.8"/>
    <x v="597"/>
    <x v="28"/>
    <d v="2025-02-02T00:00:00"/>
    <s v="F"/>
    <x v="4"/>
    <x v="2"/>
    <x v="0"/>
    <x v="11"/>
    <x v="5"/>
    <x v="4"/>
    <x v="2"/>
  </r>
  <r>
    <s v="TX500657"/>
    <x v="0"/>
    <x v="1"/>
    <n v="15.8"/>
    <x v="35"/>
    <x v="28"/>
    <d v="2025-01-31T00:00:00"/>
    <s v="M"/>
    <x v="1"/>
    <x v="0"/>
    <x v="0"/>
    <x v="11"/>
    <x v="1"/>
    <x v="4"/>
    <x v="1"/>
  </r>
  <r>
    <s v="TX500658"/>
    <x v="2"/>
    <x v="12"/>
    <n v="61.6"/>
    <x v="598"/>
    <x v="28"/>
    <d v="2025-01-30T00:00:00"/>
    <s v="M"/>
    <x v="2"/>
    <x v="0"/>
    <x v="0"/>
    <x v="11"/>
    <x v="3"/>
    <x v="4"/>
    <x v="1"/>
  </r>
  <r>
    <s v="TX500659"/>
    <x v="6"/>
    <x v="2"/>
    <n v="48.7"/>
    <x v="599"/>
    <x v="28"/>
    <d v="2025-02-04T00:00:00"/>
    <s v="F"/>
    <x v="1"/>
    <x v="2"/>
    <x v="0"/>
    <x v="45"/>
    <x v="4"/>
    <x v="4"/>
    <x v="2"/>
  </r>
  <r>
    <s v="TX500660"/>
    <x v="8"/>
    <x v="12"/>
    <n v="24.3"/>
    <x v="451"/>
    <x v="28"/>
    <d v="2025-01-31T00:00:00"/>
    <s v="F"/>
    <x v="1"/>
    <x v="2"/>
    <x v="0"/>
    <x v="21"/>
    <x v="1"/>
    <x v="4"/>
    <x v="2"/>
  </r>
  <r>
    <s v="TX500661"/>
    <x v="2"/>
    <x v="1"/>
    <n v="130.69999999999999"/>
    <x v="600"/>
    <x v="28"/>
    <d v="2025-01-30T00:00:00"/>
    <s v="F"/>
    <x v="2"/>
    <x v="0"/>
    <x v="0"/>
    <x v="44"/>
    <x v="3"/>
    <x v="4"/>
    <x v="2"/>
  </r>
  <r>
    <s v="TX500662"/>
    <x v="10"/>
    <x v="0"/>
    <n v="26"/>
    <x v="601"/>
    <x v="28"/>
    <d v="2025-01-31T00:00:00"/>
    <s v="M"/>
    <x v="0"/>
    <x v="0"/>
    <x v="0"/>
    <x v="3"/>
    <x v="1"/>
    <x v="4"/>
    <x v="1"/>
  </r>
  <r>
    <s v="TX500663"/>
    <x v="2"/>
    <x v="9"/>
    <n v="94.4"/>
    <x v="602"/>
    <x v="28"/>
    <d v="2025-01-30T00:00:00"/>
    <s v="F"/>
    <x v="0"/>
    <x v="0"/>
    <x v="0"/>
    <x v="3"/>
    <x v="3"/>
    <x v="4"/>
    <x v="2"/>
  </r>
  <r>
    <s v="TX500664"/>
    <x v="0"/>
    <x v="13"/>
    <n v="23.7"/>
    <x v="60"/>
    <x v="28"/>
    <d v="2025-01-31T00:00:00"/>
    <s v="M"/>
    <x v="2"/>
    <x v="2"/>
    <x v="0"/>
    <x v="3"/>
    <x v="1"/>
    <x v="4"/>
    <x v="1"/>
  </r>
  <r>
    <s v="TX500665"/>
    <x v="9"/>
    <x v="4"/>
    <n v="37.4"/>
    <x v="603"/>
    <x v="28"/>
    <d v="2025-01-31T00:00:00"/>
    <s v="M"/>
    <x v="2"/>
    <x v="0"/>
    <x v="0"/>
    <x v="3"/>
    <x v="1"/>
    <x v="4"/>
    <x v="1"/>
  </r>
  <r>
    <s v="TX500666"/>
    <x v="1"/>
    <x v="34"/>
    <n v="55.2"/>
    <x v="604"/>
    <x v="28"/>
    <d v="2025-01-29T00:00:00"/>
    <s v="F"/>
    <x v="3"/>
    <x v="1"/>
    <x v="0"/>
    <x v="3"/>
    <x v="7"/>
    <x v="4"/>
    <x v="2"/>
  </r>
  <r>
    <s v="TX500667"/>
    <x v="2"/>
    <x v="11"/>
    <n v="57.1"/>
    <x v="605"/>
    <x v="28"/>
    <d v="2025-01-31T00:00:00"/>
    <s v="M"/>
    <x v="0"/>
    <x v="2"/>
    <x v="0"/>
    <x v="3"/>
    <x v="1"/>
    <x v="4"/>
    <x v="1"/>
  </r>
  <r>
    <s v="TX500668"/>
    <x v="12"/>
    <x v="0"/>
    <n v="55.3"/>
    <x v="6"/>
    <x v="28"/>
    <d v="2025-01-30T00:00:00"/>
    <s v="F"/>
    <x v="2"/>
    <x v="2"/>
    <x v="0"/>
    <x v="3"/>
    <x v="3"/>
    <x v="4"/>
    <x v="2"/>
  </r>
  <r>
    <s v="TX500669"/>
    <x v="15"/>
    <x v="3"/>
    <n v="23.9"/>
    <x v="606"/>
    <x v="28"/>
    <d v="2025-01-30T00:00:00"/>
    <s v="F"/>
    <x v="4"/>
    <x v="1"/>
    <x v="0"/>
    <x v="3"/>
    <x v="3"/>
    <x v="4"/>
    <x v="2"/>
  </r>
  <r>
    <s v="TX500670"/>
    <x v="0"/>
    <x v="0"/>
    <n v="34.1"/>
    <x v="607"/>
    <x v="28"/>
    <d v="2025-02-05T00:00:00"/>
    <s v="F"/>
    <x v="2"/>
    <x v="0"/>
    <x v="0"/>
    <x v="3"/>
    <x v="6"/>
    <x v="4"/>
    <x v="2"/>
  </r>
  <r>
    <s v="TX500671"/>
    <x v="12"/>
    <x v="12"/>
    <n v="38.5"/>
    <x v="608"/>
    <x v="28"/>
    <d v="2025-02-09T00:00:00"/>
    <s v="F"/>
    <x v="0"/>
    <x v="0"/>
    <x v="0"/>
    <x v="3"/>
    <x v="11"/>
    <x v="4"/>
    <x v="2"/>
  </r>
  <r>
    <s v="TX500672"/>
    <x v="7"/>
    <x v="1"/>
    <n v="105"/>
    <x v="609"/>
    <x v="28"/>
    <d v="2025-02-04T00:00:00"/>
    <s v="F"/>
    <x v="0"/>
    <x v="2"/>
    <x v="0"/>
    <x v="3"/>
    <x v="4"/>
    <x v="4"/>
    <x v="2"/>
  </r>
  <r>
    <s v="TX500673"/>
    <x v="8"/>
    <x v="9"/>
    <n v="45.2"/>
    <x v="326"/>
    <x v="28"/>
    <d v="2025-01-31T00:00:00"/>
    <s v="F"/>
    <x v="0"/>
    <x v="2"/>
    <x v="0"/>
    <x v="3"/>
    <x v="1"/>
    <x v="4"/>
    <x v="2"/>
  </r>
  <r>
    <s v="TX500674"/>
    <x v="17"/>
    <x v="2"/>
    <n v="24.8"/>
    <x v="610"/>
    <x v="28"/>
    <d v="2025-01-29T00:00:00"/>
    <s v=""/>
    <x v="0"/>
    <x v="1"/>
    <x v="0"/>
    <x v="3"/>
    <x v="7"/>
    <x v="4"/>
    <x v="0"/>
  </r>
  <r>
    <s v="TX500675"/>
    <x v="11"/>
    <x v="12"/>
    <n v="43.8"/>
    <x v="122"/>
    <x v="28"/>
    <d v="2025-02-05T00:00:00"/>
    <s v="F"/>
    <x v="1"/>
    <x v="2"/>
    <x v="0"/>
    <x v="6"/>
    <x v="6"/>
    <x v="4"/>
    <x v="2"/>
  </r>
  <r>
    <s v="TX500676"/>
    <x v="1"/>
    <x v="0"/>
    <n v="75"/>
    <x v="611"/>
    <x v="28"/>
    <d v="2025-01-31T00:00:00"/>
    <s v="F"/>
    <x v="4"/>
    <x v="1"/>
    <x v="0"/>
    <x v="6"/>
    <x v="1"/>
    <x v="4"/>
    <x v="2"/>
  </r>
  <r>
    <s v="TX500677"/>
    <x v="2"/>
    <x v="0"/>
    <n v="169.9"/>
    <x v="612"/>
    <x v="28"/>
    <d v="2025-01-30T00:00:00"/>
    <s v="M"/>
    <x v="2"/>
    <x v="0"/>
    <x v="0"/>
    <x v="6"/>
    <x v="3"/>
    <x v="4"/>
    <x v="1"/>
  </r>
  <r>
    <s v="TX500678"/>
    <x v="9"/>
    <x v="1"/>
    <n v="72.2"/>
    <x v="613"/>
    <x v="28"/>
    <d v="2025-01-31T00:00:00"/>
    <s v="F"/>
    <x v="4"/>
    <x v="1"/>
    <x v="0"/>
    <x v="6"/>
    <x v="1"/>
    <x v="4"/>
    <x v="2"/>
  </r>
  <r>
    <s v="TX500679"/>
    <x v="0"/>
    <x v="0"/>
    <n v="20"/>
    <x v="614"/>
    <x v="29"/>
    <d v="2025-02-02T00:00:00"/>
    <s v="F"/>
    <x v="2"/>
    <x v="1"/>
    <x v="0"/>
    <x v="7"/>
    <x v="2"/>
    <x v="4"/>
    <x v="2"/>
  </r>
  <r>
    <s v="TX500680"/>
    <x v="9"/>
    <x v="1"/>
    <n v="40.799999999999997"/>
    <x v="330"/>
    <x v="29"/>
    <d v="2025-02-01T00:00:00"/>
    <s v="F"/>
    <x v="3"/>
    <x v="2"/>
    <x v="0"/>
    <x v="8"/>
    <x v="1"/>
    <x v="4"/>
    <x v="2"/>
  </r>
  <r>
    <s v="TX500681"/>
    <x v="10"/>
    <x v="12"/>
    <n v="58"/>
    <x v="615"/>
    <x v="29"/>
    <d v="2025-02-03T00:00:00"/>
    <s v="F"/>
    <x v="0"/>
    <x v="0"/>
    <x v="0"/>
    <x v="8"/>
    <x v="5"/>
    <x v="4"/>
    <x v="2"/>
  </r>
  <r>
    <s v="TX500682"/>
    <x v="12"/>
    <x v="1"/>
    <n v="43.1"/>
    <x v="616"/>
    <x v="29"/>
    <d v="2025-01-31T00:00:00"/>
    <s v="F"/>
    <x v="1"/>
    <x v="2"/>
    <x v="0"/>
    <x v="8"/>
    <x v="3"/>
    <x v="4"/>
    <x v="2"/>
  </r>
  <r>
    <s v="TX500683"/>
    <x v="6"/>
    <x v="11"/>
    <n v="74.7"/>
    <x v="617"/>
    <x v="29"/>
    <d v="2025-02-01T00:00:00"/>
    <s v="M"/>
    <x v="0"/>
    <x v="2"/>
    <x v="0"/>
    <x v="8"/>
    <x v="1"/>
    <x v="4"/>
    <x v="1"/>
  </r>
  <r>
    <s v="TX500684"/>
    <x v="6"/>
    <x v="0"/>
    <n v="128.19999999999999"/>
    <x v="618"/>
    <x v="29"/>
    <d v="2025-01-30T00:00:00"/>
    <s v="M"/>
    <x v="1"/>
    <x v="0"/>
    <x v="0"/>
    <x v="8"/>
    <x v="7"/>
    <x v="4"/>
    <x v="1"/>
  </r>
  <r>
    <s v="TX500685"/>
    <x v="14"/>
    <x v="12"/>
    <n v="26.7"/>
    <x v="619"/>
    <x v="29"/>
    <d v="2025-01-31T00:00:00"/>
    <s v="M"/>
    <x v="1"/>
    <x v="0"/>
    <x v="0"/>
    <x v="8"/>
    <x v="3"/>
    <x v="4"/>
    <x v="1"/>
  </r>
  <r>
    <s v="TX500686"/>
    <x v="17"/>
    <x v="13"/>
    <n v="31.5"/>
    <x v="620"/>
    <x v="29"/>
    <d v="2025-01-31T00:00:00"/>
    <s v="F"/>
    <x v="2"/>
    <x v="0"/>
    <x v="0"/>
    <x v="17"/>
    <x v="3"/>
    <x v="4"/>
    <x v="2"/>
  </r>
  <r>
    <s v="TX500687"/>
    <x v="3"/>
    <x v="3"/>
    <n v="64.7"/>
    <x v="621"/>
    <x v="29"/>
    <d v="2025-01-31T00:00:00"/>
    <s v="F"/>
    <x v="0"/>
    <x v="2"/>
    <x v="0"/>
    <x v="9"/>
    <x v="3"/>
    <x v="4"/>
    <x v="2"/>
  </r>
  <r>
    <s v="TX500688"/>
    <x v="5"/>
    <x v="1"/>
    <n v="55.6"/>
    <x v="622"/>
    <x v="29"/>
    <d v="2025-02-02T00:00:00"/>
    <s v="F"/>
    <x v="3"/>
    <x v="0"/>
    <x v="0"/>
    <x v="11"/>
    <x v="2"/>
    <x v="4"/>
    <x v="2"/>
  </r>
  <r>
    <s v="TX500689"/>
    <x v="3"/>
    <x v="1"/>
    <n v="36.200000000000003"/>
    <x v="623"/>
    <x v="29"/>
    <d v="2025-01-31T00:00:00"/>
    <s v="F"/>
    <x v="3"/>
    <x v="0"/>
    <x v="0"/>
    <x v="11"/>
    <x v="3"/>
    <x v="4"/>
    <x v="2"/>
  </r>
  <r>
    <s v="TX500690"/>
    <x v="0"/>
    <x v="0"/>
    <n v="26.6"/>
    <x v="534"/>
    <x v="29"/>
    <d v="2025-01-31T00:00:00"/>
    <s v=""/>
    <x v="1"/>
    <x v="1"/>
    <x v="0"/>
    <x v="19"/>
    <x v="3"/>
    <x v="4"/>
    <x v="0"/>
  </r>
  <r>
    <s v="TX500691"/>
    <x v="10"/>
    <x v="12"/>
    <n v="31.5"/>
    <x v="624"/>
    <x v="29"/>
    <d v="2025-02-01T00:00:00"/>
    <s v="M"/>
    <x v="0"/>
    <x v="0"/>
    <x v="0"/>
    <x v="31"/>
    <x v="1"/>
    <x v="4"/>
    <x v="1"/>
  </r>
  <r>
    <s v="TX500692"/>
    <x v="10"/>
    <x v="0"/>
    <n v="27"/>
    <x v="49"/>
    <x v="29"/>
    <d v="2025-02-01T00:00:00"/>
    <s v="F"/>
    <x v="1"/>
    <x v="2"/>
    <x v="0"/>
    <x v="13"/>
    <x v="1"/>
    <x v="4"/>
    <x v="2"/>
  </r>
  <r>
    <s v="TX500693"/>
    <x v="4"/>
    <x v="0"/>
    <n v="32"/>
    <x v="109"/>
    <x v="29"/>
    <d v="2025-02-02T00:00:00"/>
    <s v="M"/>
    <x v="3"/>
    <x v="0"/>
    <x v="0"/>
    <x v="21"/>
    <x v="2"/>
    <x v="4"/>
    <x v="1"/>
  </r>
  <r>
    <s v="TX500694"/>
    <x v="1"/>
    <x v="2"/>
    <n v="48.1"/>
    <x v="625"/>
    <x v="29"/>
    <d v="2025-02-01T00:00:00"/>
    <s v="M"/>
    <x v="2"/>
    <x v="1"/>
    <x v="0"/>
    <x v="1"/>
    <x v="1"/>
    <x v="4"/>
    <x v="1"/>
  </r>
  <r>
    <s v="TX500695"/>
    <x v="9"/>
    <x v="1"/>
    <n v="43.4"/>
    <x v="626"/>
    <x v="29"/>
    <d v="2025-01-31T00:00:00"/>
    <s v="M"/>
    <x v="1"/>
    <x v="1"/>
    <x v="0"/>
    <x v="22"/>
    <x v="3"/>
    <x v="4"/>
    <x v="1"/>
  </r>
  <r>
    <s v="TX500696"/>
    <x v="6"/>
    <x v="1"/>
    <n v="42.6"/>
    <x v="464"/>
    <x v="29"/>
    <d v="2025-02-02T00:00:00"/>
    <s v="F"/>
    <x v="3"/>
    <x v="0"/>
    <x v="0"/>
    <x v="22"/>
    <x v="2"/>
    <x v="4"/>
    <x v="2"/>
  </r>
  <r>
    <s v="TX500697"/>
    <x v="8"/>
    <x v="1"/>
    <n v="15.9"/>
    <x v="627"/>
    <x v="29"/>
    <d v="2025-01-31T00:00:00"/>
    <s v="F"/>
    <x v="0"/>
    <x v="0"/>
    <x v="0"/>
    <x v="34"/>
    <x v="3"/>
    <x v="4"/>
    <x v="2"/>
  </r>
  <r>
    <s v="TX500698"/>
    <x v="9"/>
    <x v="1"/>
    <n v="63.2"/>
    <x v="628"/>
    <x v="29"/>
    <d v="2025-01-31T00:00:00"/>
    <s v="M"/>
    <x v="1"/>
    <x v="0"/>
    <x v="0"/>
    <x v="3"/>
    <x v="3"/>
    <x v="4"/>
    <x v="1"/>
  </r>
  <r>
    <s v="TX500699"/>
    <x v="7"/>
    <x v="12"/>
    <n v="64.8"/>
    <x v="629"/>
    <x v="29"/>
    <d v="2025-02-01T00:00:00"/>
    <s v=""/>
    <x v="4"/>
    <x v="1"/>
    <x v="0"/>
    <x v="3"/>
    <x v="1"/>
    <x v="4"/>
    <x v="0"/>
  </r>
  <r>
    <s v="TX500700"/>
    <x v="7"/>
    <x v="2"/>
    <n v="79.8"/>
    <x v="342"/>
    <x v="29"/>
    <d v="2025-01-31T00:00:00"/>
    <s v="M"/>
    <x v="0"/>
    <x v="0"/>
    <x v="0"/>
    <x v="3"/>
    <x v="3"/>
    <x v="4"/>
    <x v="1"/>
  </r>
  <r>
    <s v="TX500701"/>
    <x v="9"/>
    <x v="0"/>
    <n v="54.4"/>
    <x v="630"/>
    <x v="29"/>
    <d v="2025-02-01T00:00:00"/>
    <s v="F"/>
    <x v="4"/>
    <x v="2"/>
    <x v="0"/>
    <x v="3"/>
    <x v="1"/>
    <x v="4"/>
    <x v="2"/>
  </r>
  <r>
    <s v="TX500702"/>
    <x v="6"/>
    <x v="0"/>
    <n v="87.3"/>
    <x v="631"/>
    <x v="29"/>
    <d v="2025-01-31T00:00:00"/>
    <s v="M"/>
    <x v="1"/>
    <x v="0"/>
    <x v="0"/>
    <x v="3"/>
    <x v="3"/>
    <x v="4"/>
    <x v="1"/>
  </r>
  <r>
    <s v="TX500703"/>
    <x v="8"/>
    <x v="12"/>
    <n v="32.4"/>
    <x v="632"/>
    <x v="29"/>
    <d v="2025-01-30T00:00:00"/>
    <s v="M"/>
    <x v="1"/>
    <x v="0"/>
    <x v="0"/>
    <x v="3"/>
    <x v="7"/>
    <x v="4"/>
    <x v="1"/>
  </r>
  <r>
    <s v="TX500704"/>
    <x v="2"/>
    <x v="0"/>
    <n v="177.4"/>
    <x v="633"/>
    <x v="29"/>
    <d v="2025-02-03T00:00:00"/>
    <s v="M"/>
    <x v="0"/>
    <x v="2"/>
    <x v="0"/>
    <x v="3"/>
    <x v="5"/>
    <x v="4"/>
    <x v="1"/>
  </r>
  <r>
    <s v="TX500705"/>
    <x v="7"/>
    <x v="1"/>
    <n v="70.099999999999994"/>
    <x v="634"/>
    <x v="29"/>
    <d v="2025-01-31T00:00:00"/>
    <s v="M"/>
    <x v="3"/>
    <x v="1"/>
    <x v="0"/>
    <x v="3"/>
    <x v="3"/>
    <x v="4"/>
    <x v="1"/>
  </r>
  <r>
    <s v="TX500706"/>
    <x v="9"/>
    <x v="13"/>
    <n v="51.1"/>
    <x v="567"/>
    <x v="29"/>
    <d v="2025-01-31T00:00:00"/>
    <s v="F"/>
    <x v="0"/>
    <x v="0"/>
    <x v="0"/>
    <x v="3"/>
    <x v="3"/>
    <x v="4"/>
    <x v="2"/>
  </r>
  <r>
    <s v="TX500707"/>
    <x v="2"/>
    <x v="9"/>
    <n v="79.900000000000006"/>
    <x v="635"/>
    <x v="29"/>
    <d v="2025-02-01T00:00:00"/>
    <s v="M"/>
    <x v="3"/>
    <x v="2"/>
    <x v="0"/>
    <x v="24"/>
    <x v="1"/>
    <x v="4"/>
    <x v="1"/>
  </r>
  <r>
    <s v="TX500708"/>
    <x v="6"/>
    <x v="0"/>
    <n v="57.6"/>
    <x v="636"/>
    <x v="30"/>
    <d v="2025-02-05T00:00:00"/>
    <s v="M"/>
    <x v="0"/>
    <x v="2"/>
    <x v="0"/>
    <x v="49"/>
    <x v="0"/>
    <x v="4"/>
    <x v="1"/>
  </r>
  <r>
    <s v="TX500709"/>
    <x v="8"/>
    <x v="7"/>
    <n v="59.7"/>
    <x v="637"/>
    <x v="30"/>
    <d v="2025-02-04T00:00:00"/>
    <s v="M"/>
    <x v="2"/>
    <x v="0"/>
    <x v="0"/>
    <x v="25"/>
    <x v="5"/>
    <x v="4"/>
    <x v="1"/>
  </r>
  <r>
    <s v="TX500710"/>
    <x v="8"/>
    <x v="9"/>
    <n v="30"/>
    <x v="638"/>
    <x v="30"/>
    <d v="2025-02-02T00:00:00"/>
    <s v="M"/>
    <x v="1"/>
    <x v="0"/>
    <x v="0"/>
    <x v="6"/>
    <x v="1"/>
    <x v="4"/>
    <x v="1"/>
  </r>
  <r>
    <s v="TX500711"/>
    <x v="10"/>
    <x v="1"/>
    <n v="69.2"/>
    <x v="639"/>
    <x v="30"/>
    <d v="2025-02-02T00:00:00"/>
    <s v=""/>
    <x v="2"/>
    <x v="1"/>
    <x v="0"/>
    <x v="6"/>
    <x v="1"/>
    <x v="4"/>
    <x v="0"/>
  </r>
  <r>
    <s v="TX500712"/>
    <x v="0"/>
    <x v="8"/>
    <n v="10.9"/>
    <x v="640"/>
    <x v="30"/>
    <d v="2025-02-01T00:00:00"/>
    <s v="F"/>
    <x v="0"/>
    <x v="2"/>
    <x v="0"/>
    <x v="6"/>
    <x v="3"/>
    <x v="4"/>
    <x v="2"/>
  </r>
  <r>
    <s v="TX500713"/>
    <x v="16"/>
    <x v="1"/>
    <n v="48.6"/>
    <x v="451"/>
    <x v="30"/>
    <d v="2025-02-04T00:00:00"/>
    <s v="M"/>
    <x v="1"/>
    <x v="2"/>
    <x v="0"/>
    <x v="6"/>
    <x v="5"/>
    <x v="4"/>
    <x v="1"/>
  </r>
  <r>
    <s v="TX500714"/>
    <x v="2"/>
    <x v="1"/>
    <n v="61.1"/>
    <x v="641"/>
    <x v="30"/>
    <d v="2025-02-03T00:00:00"/>
    <s v="F"/>
    <x v="1"/>
    <x v="2"/>
    <x v="0"/>
    <x v="7"/>
    <x v="2"/>
    <x v="4"/>
    <x v="2"/>
  </r>
  <r>
    <s v="TX500715"/>
    <x v="8"/>
    <x v="1"/>
    <n v="23.2"/>
    <x v="434"/>
    <x v="30"/>
    <d v="2025-02-01T00:00:00"/>
    <s v="M"/>
    <x v="3"/>
    <x v="2"/>
    <x v="0"/>
    <x v="8"/>
    <x v="3"/>
    <x v="4"/>
    <x v="1"/>
  </r>
  <r>
    <s v="TX500716"/>
    <x v="12"/>
    <x v="12"/>
    <n v="55.8"/>
    <x v="642"/>
    <x v="30"/>
    <d v="2025-02-01T00:00:00"/>
    <s v="M"/>
    <x v="0"/>
    <x v="0"/>
    <x v="0"/>
    <x v="8"/>
    <x v="3"/>
    <x v="4"/>
    <x v="1"/>
  </r>
  <r>
    <s v="TX500717"/>
    <x v="9"/>
    <x v="12"/>
    <n v="24.8"/>
    <x v="643"/>
    <x v="30"/>
    <d v="2025-02-01T00:00:00"/>
    <s v="F"/>
    <x v="0"/>
    <x v="2"/>
    <x v="0"/>
    <x v="8"/>
    <x v="3"/>
    <x v="4"/>
    <x v="2"/>
  </r>
  <r>
    <s v="TX500718"/>
    <x v="10"/>
    <x v="1"/>
    <n v="27.9"/>
    <x v="391"/>
    <x v="30"/>
    <d v="2025-01-31T00:00:00"/>
    <s v="M"/>
    <x v="2"/>
    <x v="2"/>
    <x v="0"/>
    <x v="8"/>
    <x v="7"/>
    <x v="4"/>
    <x v="1"/>
  </r>
  <r>
    <s v="TX500719"/>
    <x v="10"/>
    <x v="13"/>
    <n v="51.1"/>
    <x v="567"/>
    <x v="30"/>
    <d v="2025-01-31T00:00:00"/>
    <s v="F"/>
    <x v="3"/>
    <x v="0"/>
    <x v="0"/>
    <x v="8"/>
    <x v="7"/>
    <x v="4"/>
    <x v="2"/>
  </r>
  <r>
    <s v="TX500720"/>
    <x v="17"/>
    <x v="5"/>
    <n v="32.700000000000003"/>
    <x v="644"/>
    <x v="30"/>
    <d v="2025-02-01T00:00:00"/>
    <s v="M"/>
    <x v="4"/>
    <x v="2"/>
    <x v="0"/>
    <x v="17"/>
    <x v="3"/>
    <x v="4"/>
    <x v="1"/>
  </r>
  <r>
    <s v="TX500721"/>
    <x v="8"/>
    <x v="12"/>
    <n v="22.5"/>
    <x v="645"/>
    <x v="30"/>
    <d v="2025-01-31T00:00:00"/>
    <s v="M"/>
    <x v="0"/>
    <x v="2"/>
    <x v="0"/>
    <x v="26"/>
    <x v="7"/>
    <x v="4"/>
    <x v="1"/>
  </r>
  <r>
    <s v="TX500722"/>
    <x v="0"/>
    <x v="3"/>
    <n v="14.6"/>
    <x v="646"/>
    <x v="30"/>
    <d v="2025-02-01T00:00:00"/>
    <s v="F"/>
    <x v="2"/>
    <x v="0"/>
    <x v="0"/>
    <x v="41"/>
    <x v="3"/>
    <x v="4"/>
    <x v="2"/>
  </r>
  <r>
    <s v="TX500723"/>
    <x v="5"/>
    <x v="2"/>
    <n v="32.5"/>
    <x v="647"/>
    <x v="30"/>
    <d v="2025-02-03T00:00:00"/>
    <s v="M"/>
    <x v="0"/>
    <x v="0"/>
    <x v="0"/>
    <x v="10"/>
    <x v="2"/>
    <x v="4"/>
    <x v="1"/>
  </r>
  <r>
    <s v="TX500724"/>
    <x v="18"/>
    <x v="0"/>
    <n v="78.099999999999994"/>
    <x v="648"/>
    <x v="30"/>
    <d v="2025-02-03T00:00:00"/>
    <s v="M"/>
    <x v="0"/>
    <x v="2"/>
    <x v="0"/>
    <x v="11"/>
    <x v="2"/>
    <x v="4"/>
    <x v="1"/>
  </r>
  <r>
    <s v="TX500725"/>
    <x v="12"/>
    <x v="13"/>
    <n v="110.2"/>
    <x v="649"/>
    <x v="30"/>
    <d v="2025-01-31T00:00:00"/>
    <s v="M"/>
    <x v="1"/>
    <x v="4"/>
    <x v="0"/>
    <x v="13"/>
    <x v="7"/>
    <x v="4"/>
    <x v="1"/>
  </r>
  <r>
    <s v="TX500726"/>
    <x v="6"/>
    <x v="2"/>
    <n v="86.3"/>
    <x v="650"/>
    <x v="30"/>
    <d v="2025-02-02T00:00:00"/>
    <s v="F"/>
    <x v="3"/>
    <x v="0"/>
    <x v="0"/>
    <x v="21"/>
    <x v="1"/>
    <x v="4"/>
    <x v="2"/>
  </r>
  <r>
    <s v="TX500727"/>
    <x v="1"/>
    <x v="13"/>
    <n v="73.599999999999994"/>
    <x v="651"/>
    <x v="30"/>
    <d v="2025-02-02T00:00:00"/>
    <s v="O"/>
    <x v="3"/>
    <x v="4"/>
    <x v="0"/>
    <x v="44"/>
    <x v="1"/>
    <x v="4"/>
    <x v="3"/>
  </r>
  <r>
    <s v="TX500728"/>
    <x v="6"/>
    <x v="15"/>
    <n v="67.7"/>
    <x v="652"/>
    <x v="30"/>
    <d v="2025-02-02T00:00:00"/>
    <s v="F"/>
    <x v="0"/>
    <x v="2"/>
    <x v="0"/>
    <x v="3"/>
    <x v="1"/>
    <x v="4"/>
    <x v="2"/>
  </r>
  <r>
    <s v="TX500729"/>
    <x v="7"/>
    <x v="13"/>
    <n v="142.19999999999999"/>
    <x v="653"/>
    <x v="30"/>
    <d v="2025-02-01T00:00:00"/>
    <s v="F"/>
    <x v="2"/>
    <x v="4"/>
    <x v="0"/>
    <x v="3"/>
    <x v="3"/>
    <x v="4"/>
    <x v="2"/>
  </r>
  <r>
    <s v="TX500730"/>
    <x v="1"/>
    <x v="11"/>
    <n v="45.8"/>
    <x v="654"/>
    <x v="30"/>
    <d v="2025-02-02T00:00:00"/>
    <s v="F"/>
    <x v="1"/>
    <x v="2"/>
    <x v="0"/>
    <x v="3"/>
    <x v="1"/>
    <x v="4"/>
    <x v="2"/>
  </r>
  <r>
    <s v="TX500731"/>
    <x v="10"/>
    <x v="1"/>
    <n v="24.2"/>
    <x v="655"/>
    <x v="31"/>
    <d v="2025-02-04T00:00:00"/>
    <s v="F"/>
    <x v="3"/>
    <x v="2"/>
    <x v="0"/>
    <x v="3"/>
    <x v="2"/>
    <x v="4"/>
    <x v="2"/>
  </r>
  <r>
    <s v="TX500732"/>
    <x v="2"/>
    <x v="2"/>
    <n v="144.9"/>
    <x v="656"/>
    <x v="31"/>
    <d v="2025-02-02T00:00:00"/>
    <s v="O"/>
    <x v="2"/>
    <x v="2"/>
    <x v="0"/>
    <x v="3"/>
    <x v="3"/>
    <x v="4"/>
    <x v="3"/>
  </r>
  <r>
    <s v="TX500733"/>
    <x v="11"/>
    <x v="9"/>
    <n v="32.799999999999997"/>
    <x v="657"/>
    <x v="31"/>
    <d v="2025-02-04T00:00:00"/>
    <s v="F"/>
    <x v="2"/>
    <x v="0"/>
    <x v="0"/>
    <x v="23"/>
    <x v="2"/>
    <x v="4"/>
    <x v="2"/>
  </r>
  <r>
    <s v="TX500734"/>
    <x v="7"/>
    <x v="7"/>
    <n v="35.700000000000003"/>
    <x v="658"/>
    <x v="31"/>
    <d v="2025-02-01T00:00:00"/>
    <s v="F"/>
    <x v="0"/>
    <x v="1"/>
    <x v="0"/>
    <x v="6"/>
    <x v="7"/>
    <x v="4"/>
    <x v="2"/>
  </r>
  <r>
    <s v="TX500735"/>
    <x v="9"/>
    <x v="1"/>
    <n v="54.6"/>
    <x v="659"/>
    <x v="31"/>
    <d v="2025-02-02T00:00:00"/>
    <s v="F"/>
    <x v="2"/>
    <x v="0"/>
    <x v="0"/>
    <x v="6"/>
    <x v="3"/>
    <x v="4"/>
    <x v="2"/>
  </r>
  <r>
    <s v="TX500736"/>
    <x v="8"/>
    <x v="1"/>
    <n v="35.700000000000003"/>
    <x v="660"/>
    <x v="31"/>
    <d v="2025-02-04T00:00:00"/>
    <s v=""/>
    <x v="0"/>
    <x v="1"/>
    <x v="0"/>
    <x v="6"/>
    <x v="2"/>
    <x v="4"/>
    <x v="0"/>
  </r>
  <r>
    <s v="TX500737"/>
    <x v="10"/>
    <x v="1"/>
    <n v="52.4"/>
    <x v="661"/>
    <x v="31"/>
    <d v="2025-02-01T00:00:00"/>
    <s v="F"/>
    <x v="0"/>
    <x v="3"/>
    <x v="0"/>
    <x v="6"/>
    <x v="7"/>
    <x v="4"/>
    <x v="2"/>
  </r>
  <r>
    <s v="TX500738"/>
    <x v="8"/>
    <x v="21"/>
    <n v="16.2"/>
    <x v="662"/>
    <x v="31"/>
    <d v="2025-02-02T00:00:00"/>
    <s v=""/>
    <x v="0"/>
    <x v="1"/>
    <x v="0"/>
    <x v="8"/>
    <x v="3"/>
    <x v="4"/>
    <x v="0"/>
  </r>
  <r>
    <s v="TX500739"/>
    <x v="6"/>
    <x v="35"/>
    <n v="42.8"/>
    <x v="663"/>
    <x v="31"/>
    <d v="2025-02-02T00:00:00"/>
    <s v="F"/>
    <x v="0"/>
    <x v="0"/>
    <x v="0"/>
    <x v="8"/>
    <x v="3"/>
    <x v="4"/>
    <x v="2"/>
  </r>
  <r>
    <s v="TX500740"/>
    <x v="6"/>
    <x v="11"/>
    <n v="144.4"/>
    <x v="664"/>
    <x v="31"/>
    <d v="2025-02-04T00:00:00"/>
    <s v="F"/>
    <x v="4"/>
    <x v="0"/>
    <x v="0"/>
    <x v="8"/>
    <x v="2"/>
    <x v="4"/>
    <x v="2"/>
  </r>
  <r>
    <s v="TX500741"/>
    <x v="3"/>
    <x v="34"/>
    <n v="30.6"/>
    <x v="665"/>
    <x v="31"/>
    <d v="2025-02-05T00:00:00"/>
    <s v="F"/>
    <x v="2"/>
    <x v="2"/>
    <x v="0"/>
    <x v="11"/>
    <x v="5"/>
    <x v="4"/>
    <x v="2"/>
  </r>
  <r>
    <s v="TX500742"/>
    <x v="2"/>
    <x v="1"/>
    <n v="117.5"/>
    <x v="666"/>
    <x v="31"/>
    <d v="2025-02-02T00:00:00"/>
    <s v="M"/>
    <x v="0"/>
    <x v="0"/>
    <x v="0"/>
    <x v="19"/>
    <x v="3"/>
    <x v="4"/>
    <x v="1"/>
  </r>
  <r>
    <s v="TX500743"/>
    <x v="6"/>
    <x v="1"/>
    <n v="105.7"/>
    <x v="667"/>
    <x v="31"/>
    <d v="2025-02-02T00:00:00"/>
    <s v="F"/>
    <x v="2"/>
    <x v="2"/>
    <x v="0"/>
    <x v="21"/>
    <x v="3"/>
    <x v="4"/>
    <x v="2"/>
  </r>
  <r>
    <s v="TX500744"/>
    <x v="3"/>
    <x v="2"/>
    <n v="133.69999999999999"/>
    <x v="668"/>
    <x v="31"/>
    <d v="2025-02-02T00:00:00"/>
    <s v=""/>
    <x v="4"/>
    <x v="2"/>
    <x v="0"/>
    <x v="21"/>
    <x v="3"/>
    <x v="4"/>
    <x v="0"/>
  </r>
  <r>
    <s v="TX500745"/>
    <x v="4"/>
    <x v="9"/>
    <n v="46.8"/>
    <x v="540"/>
    <x v="32"/>
    <d v="2025-02-10T00:00:00"/>
    <s v="F"/>
    <x v="0"/>
    <x v="1"/>
    <x v="0"/>
    <x v="21"/>
    <x v="9"/>
    <x v="5"/>
    <x v="2"/>
  </r>
  <r>
    <s v="TX500746"/>
    <x v="10"/>
    <x v="2"/>
    <n v="58.4"/>
    <x v="122"/>
    <x v="32"/>
    <d v="2025-02-04T00:00:00"/>
    <s v="F"/>
    <x v="0"/>
    <x v="0"/>
    <x v="0"/>
    <x v="1"/>
    <x v="1"/>
    <x v="5"/>
    <x v="2"/>
  </r>
  <r>
    <s v="TX500747"/>
    <x v="6"/>
    <x v="11"/>
    <n v="65.099999999999994"/>
    <x v="669"/>
    <x v="32"/>
    <d v="2025-02-06T00:00:00"/>
    <s v="M"/>
    <x v="1"/>
    <x v="2"/>
    <x v="0"/>
    <x v="22"/>
    <x v="5"/>
    <x v="5"/>
    <x v="1"/>
  </r>
  <r>
    <s v="TX500748"/>
    <x v="8"/>
    <x v="0"/>
    <n v="18.600000000000001"/>
    <x v="670"/>
    <x v="32"/>
    <d v="2025-02-05T00:00:00"/>
    <s v="F"/>
    <x v="0"/>
    <x v="4"/>
    <x v="0"/>
    <x v="22"/>
    <x v="2"/>
    <x v="5"/>
    <x v="2"/>
  </r>
  <r>
    <s v="TX500749"/>
    <x v="1"/>
    <x v="5"/>
    <n v="92.3"/>
    <x v="671"/>
    <x v="32"/>
    <d v="2025-02-04T00:00:00"/>
    <s v="M"/>
    <x v="1"/>
    <x v="0"/>
    <x v="0"/>
    <x v="3"/>
    <x v="1"/>
    <x v="5"/>
    <x v="1"/>
  </r>
  <r>
    <s v="TX500750"/>
    <x v="6"/>
    <x v="2"/>
    <n v="81.7"/>
    <x v="672"/>
    <x v="32"/>
    <d v="2025-02-03T00:00:00"/>
    <s v=""/>
    <x v="4"/>
    <x v="4"/>
    <x v="0"/>
    <x v="3"/>
    <x v="3"/>
    <x v="5"/>
    <x v="0"/>
  </r>
  <r>
    <s v="TX500751"/>
    <x v="8"/>
    <x v="1"/>
    <n v="40.9"/>
    <x v="673"/>
    <x v="32"/>
    <d v="2025-02-04T00:00:00"/>
    <s v="M"/>
    <x v="0"/>
    <x v="1"/>
    <x v="0"/>
    <x v="3"/>
    <x v="1"/>
    <x v="5"/>
    <x v="1"/>
  </r>
  <r>
    <s v="TX500752"/>
    <x v="6"/>
    <x v="12"/>
    <n v="43.2"/>
    <x v="162"/>
    <x v="32"/>
    <d v="2025-02-08T00:00:00"/>
    <s v="F"/>
    <x v="0"/>
    <x v="1"/>
    <x v="0"/>
    <x v="3"/>
    <x v="4"/>
    <x v="5"/>
    <x v="2"/>
  </r>
  <r>
    <s v="TX500753"/>
    <x v="8"/>
    <x v="5"/>
    <n v="25.8"/>
    <x v="674"/>
    <x v="32"/>
    <d v="2025-02-05T00:00:00"/>
    <s v="M"/>
    <x v="2"/>
    <x v="1"/>
    <x v="0"/>
    <x v="3"/>
    <x v="2"/>
    <x v="5"/>
    <x v="1"/>
  </r>
  <r>
    <s v="TX500754"/>
    <x v="15"/>
    <x v="12"/>
    <n v="36.4"/>
    <x v="675"/>
    <x v="32"/>
    <d v="2025-02-03T00:00:00"/>
    <s v="M"/>
    <x v="0"/>
    <x v="0"/>
    <x v="0"/>
    <x v="3"/>
    <x v="3"/>
    <x v="5"/>
    <x v="1"/>
  </r>
  <r>
    <s v="TX500755"/>
    <x v="10"/>
    <x v="0"/>
    <n v="59.1"/>
    <x v="676"/>
    <x v="32"/>
    <d v="2025-02-03T00:00:00"/>
    <s v="F"/>
    <x v="2"/>
    <x v="0"/>
    <x v="0"/>
    <x v="7"/>
    <x v="3"/>
    <x v="5"/>
    <x v="2"/>
  </r>
  <r>
    <s v="TX500756"/>
    <x v="2"/>
    <x v="14"/>
    <n v="74.5"/>
    <x v="677"/>
    <x v="32"/>
    <d v="2025-02-04T00:00:00"/>
    <s v="M"/>
    <x v="4"/>
    <x v="0"/>
    <x v="0"/>
    <x v="18"/>
    <x v="1"/>
    <x v="5"/>
    <x v="1"/>
  </r>
  <r>
    <s v="TX500757"/>
    <x v="5"/>
    <x v="0"/>
    <n v="72.8"/>
    <x v="236"/>
    <x v="32"/>
    <d v="2025-02-03T00:00:00"/>
    <s v="F"/>
    <x v="0"/>
    <x v="1"/>
    <x v="0"/>
    <x v="19"/>
    <x v="3"/>
    <x v="5"/>
    <x v="2"/>
  </r>
  <r>
    <s v="TX500758"/>
    <x v="6"/>
    <x v="12"/>
    <n v="137.30000000000001"/>
    <x v="678"/>
    <x v="32"/>
    <d v="2025-02-05T00:00:00"/>
    <s v="F"/>
    <x v="0"/>
    <x v="0"/>
    <x v="0"/>
    <x v="13"/>
    <x v="2"/>
    <x v="5"/>
    <x v="2"/>
  </r>
  <r>
    <s v="TX500759"/>
    <x v="1"/>
    <x v="2"/>
    <n v="48.7"/>
    <x v="599"/>
    <x v="32"/>
    <d v="2025-02-07T00:00:00"/>
    <s v="F"/>
    <x v="0"/>
    <x v="1"/>
    <x v="0"/>
    <x v="21"/>
    <x v="0"/>
    <x v="5"/>
    <x v="2"/>
  </r>
  <r>
    <s v="TX500760"/>
    <x v="6"/>
    <x v="12"/>
    <n v="53.7"/>
    <x v="679"/>
    <x v="32"/>
    <d v="2025-02-06T00:00:00"/>
    <s v="M"/>
    <x v="1"/>
    <x v="4"/>
    <x v="0"/>
    <x v="2"/>
    <x v="5"/>
    <x v="5"/>
    <x v="1"/>
  </r>
  <r>
    <s v="TX500761"/>
    <x v="2"/>
    <x v="3"/>
    <n v="100.9"/>
    <x v="680"/>
    <x v="32"/>
    <d v="2025-02-04T00:00:00"/>
    <s v="F"/>
    <x v="0"/>
    <x v="1"/>
    <x v="0"/>
    <x v="2"/>
    <x v="1"/>
    <x v="5"/>
    <x v="2"/>
  </r>
  <r>
    <s v="TX500762"/>
    <x v="10"/>
    <x v="1"/>
    <n v="41.8"/>
    <x v="681"/>
    <x v="32"/>
    <d v="2025-02-06T00:00:00"/>
    <s v="M"/>
    <x v="3"/>
    <x v="2"/>
    <x v="0"/>
    <x v="22"/>
    <x v="5"/>
    <x v="5"/>
    <x v="1"/>
  </r>
  <r>
    <s v="TX500763"/>
    <x v="4"/>
    <x v="8"/>
    <n v="28.5"/>
    <x v="416"/>
    <x v="32"/>
    <d v="2025-02-04T00:00:00"/>
    <s v="M"/>
    <x v="2"/>
    <x v="1"/>
    <x v="0"/>
    <x v="3"/>
    <x v="1"/>
    <x v="5"/>
    <x v="1"/>
  </r>
  <r>
    <s v="TX500764"/>
    <x v="7"/>
    <x v="12"/>
    <n v="88.9"/>
    <x v="682"/>
    <x v="32"/>
    <d v="2025-02-05T00:00:00"/>
    <s v="F"/>
    <x v="0"/>
    <x v="2"/>
    <x v="0"/>
    <x v="3"/>
    <x v="2"/>
    <x v="5"/>
    <x v="2"/>
  </r>
  <r>
    <s v="TX500765"/>
    <x v="6"/>
    <x v="0"/>
    <n v="62.5"/>
    <x v="683"/>
    <x v="32"/>
    <d v="2025-02-11T00:00:00"/>
    <s v="F"/>
    <x v="0"/>
    <x v="2"/>
    <x v="0"/>
    <x v="3"/>
    <x v="8"/>
    <x v="5"/>
    <x v="2"/>
  </r>
  <r>
    <s v="TX500766"/>
    <x v="1"/>
    <x v="2"/>
    <n v="46.9"/>
    <x v="684"/>
    <x v="32"/>
    <d v="2025-02-03T00:00:00"/>
    <s v="M"/>
    <x v="0"/>
    <x v="2"/>
    <x v="0"/>
    <x v="3"/>
    <x v="3"/>
    <x v="5"/>
    <x v="1"/>
  </r>
  <r>
    <s v="TX500767"/>
    <x v="8"/>
    <x v="2"/>
    <n v="45"/>
    <x v="340"/>
    <x v="32"/>
    <d v="2025-02-16T00:00:00"/>
    <s v="M"/>
    <x v="1"/>
    <x v="0"/>
    <x v="0"/>
    <x v="3"/>
    <x v="12"/>
    <x v="5"/>
    <x v="1"/>
  </r>
  <r>
    <s v="TX500768"/>
    <x v="6"/>
    <x v="2"/>
    <n v="45.2"/>
    <x v="685"/>
    <x v="32"/>
    <d v="2025-02-04T00:00:00"/>
    <s v="M"/>
    <x v="4"/>
    <x v="2"/>
    <x v="0"/>
    <x v="3"/>
    <x v="1"/>
    <x v="5"/>
    <x v="1"/>
  </r>
  <r>
    <s v="TX500769"/>
    <x v="4"/>
    <x v="1"/>
    <n v="60.1"/>
    <x v="493"/>
    <x v="32"/>
    <d v="2025-02-03T00:00:00"/>
    <s v="F"/>
    <x v="0"/>
    <x v="2"/>
    <x v="0"/>
    <x v="3"/>
    <x v="3"/>
    <x v="5"/>
    <x v="2"/>
  </r>
  <r>
    <s v="TX500770"/>
    <x v="12"/>
    <x v="12"/>
    <n v="118.7"/>
    <x v="686"/>
    <x v="32"/>
    <d v="2025-02-04T00:00:00"/>
    <s v="F"/>
    <x v="0"/>
    <x v="0"/>
    <x v="0"/>
    <x v="3"/>
    <x v="1"/>
    <x v="5"/>
    <x v="2"/>
  </r>
  <r>
    <s v="TX500771"/>
    <x v="9"/>
    <x v="0"/>
    <n v="57.8"/>
    <x v="687"/>
    <x v="32"/>
    <d v="2025-02-11T00:00:00"/>
    <s v="F"/>
    <x v="1"/>
    <x v="0"/>
    <x v="0"/>
    <x v="3"/>
    <x v="8"/>
    <x v="5"/>
    <x v="2"/>
  </r>
  <r>
    <s v="TX500772"/>
    <x v="4"/>
    <x v="0"/>
    <n v="19.5"/>
    <x v="688"/>
    <x v="32"/>
    <d v="2025-02-03T00:00:00"/>
    <s v="M"/>
    <x v="1"/>
    <x v="1"/>
    <x v="0"/>
    <x v="3"/>
    <x v="3"/>
    <x v="5"/>
    <x v="1"/>
  </r>
  <r>
    <s v="TX500773"/>
    <x v="12"/>
    <x v="0"/>
    <n v="42.6"/>
    <x v="440"/>
    <x v="32"/>
    <d v="2025-02-03T00:00:00"/>
    <s v="M"/>
    <x v="0"/>
    <x v="1"/>
    <x v="0"/>
    <x v="3"/>
    <x v="3"/>
    <x v="5"/>
    <x v="1"/>
  </r>
  <r>
    <s v="TX500774"/>
    <x v="6"/>
    <x v="1"/>
    <n v="74.8"/>
    <x v="689"/>
    <x v="32"/>
    <d v="2025-02-03T00:00:00"/>
    <s v="F"/>
    <x v="3"/>
    <x v="2"/>
    <x v="0"/>
    <x v="37"/>
    <x v="3"/>
    <x v="5"/>
    <x v="2"/>
  </r>
  <r>
    <s v="TX500775"/>
    <x v="8"/>
    <x v="2"/>
    <n v="32.5"/>
    <x v="647"/>
    <x v="32"/>
    <d v="2025-02-03T00:00:00"/>
    <s v="M"/>
    <x v="2"/>
    <x v="4"/>
    <x v="0"/>
    <x v="16"/>
    <x v="3"/>
    <x v="5"/>
    <x v="1"/>
  </r>
  <r>
    <s v="TX500776"/>
    <x v="2"/>
    <x v="2"/>
    <n v="60.5"/>
    <x v="690"/>
    <x v="32"/>
    <d v="2025-02-02T00:00:00"/>
    <s v="F"/>
    <x v="1"/>
    <x v="2"/>
    <x v="0"/>
    <x v="25"/>
    <x v="7"/>
    <x v="5"/>
    <x v="2"/>
  </r>
  <r>
    <s v="TX500777"/>
    <x v="1"/>
    <x v="3"/>
    <n v="57.2"/>
    <x v="691"/>
    <x v="32"/>
    <d v="2025-02-04T00:00:00"/>
    <s v=""/>
    <x v="2"/>
    <x v="0"/>
    <x v="0"/>
    <x v="25"/>
    <x v="1"/>
    <x v="5"/>
    <x v="0"/>
  </r>
  <r>
    <s v="TX500778"/>
    <x v="16"/>
    <x v="1"/>
    <n v="112"/>
    <x v="692"/>
    <x v="32"/>
    <d v="2025-02-03T00:00:00"/>
    <s v="F"/>
    <x v="1"/>
    <x v="1"/>
    <x v="0"/>
    <x v="5"/>
    <x v="3"/>
    <x v="5"/>
    <x v="2"/>
  </r>
  <r>
    <s v="TX500779"/>
    <x v="7"/>
    <x v="7"/>
    <n v="49"/>
    <x v="157"/>
    <x v="32"/>
    <d v="2025-02-03T00:00:00"/>
    <s v="O"/>
    <x v="2"/>
    <x v="1"/>
    <x v="0"/>
    <x v="6"/>
    <x v="3"/>
    <x v="5"/>
    <x v="3"/>
  </r>
  <r>
    <s v="TX500780"/>
    <x v="0"/>
    <x v="1"/>
    <n v="33.700000000000003"/>
    <x v="693"/>
    <x v="32"/>
    <d v="2025-02-06T00:00:00"/>
    <s v="F"/>
    <x v="3"/>
    <x v="0"/>
    <x v="0"/>
    <x v="6"/>
    <x v="5"/>
    <x v="5"/>
    <x v="2"/>
  </r>
  <r>
    <s v="TX500781"/>
    <x v="4"/>
    <x v="2"/>
    <n v="35.6"/>
    <x v="694"/>
    <x v="32"/>
    <d v="2025-02-05T00:00:00"/>
    <s v="F"/>
    <x v="0"/>
    <x v="2"/>
    <x v="0"/>
    <x v="6"/>
    <x v="2"/>
    <x v="5"/>
    <x v="2"/>
  </r>
  <r>
    <s v="TX500782"/>
    <x v="4"/>
    <x v="36"/>
    <n v="30.4"/>
    <x v="695"/>
    <x v="33"/>
    <d v="2025-02-03T00:00:00"/>
    <s v="F"/>
    <x v="0"/>
    <x v="1"/>
    <x v="0"/>
    <x v="7"/>
    <x v="7"/>
    <x v="5"/>
    <x v="2"/>
  </r>
  <r>
    <s v="TX500783"/>
    <x v="10"/>
    <x v="4"/>
    <n v="50.2"/>
    <x v="696"/>
    <x v="33"/>
    <d v="2025-02-04T00:00:00"/>
    <s v="M"/>
    <x v="4"/>
    <x v="0"/>
    <x v="0"/>
    <x v="8"/>
    <x v="3"/>
    <x v="5"/>
    <x v="1"/>
  </r>
  <r>
    <s v="TX500784"/>
    <x v="1"/>
    <x v="1"/>
    <n v="43.7"/>
    <x v="697"/>
    <x v="33"/>
    <d v="2025-02-05T00:00:00"/>
    <s v="F"/>
    <x v="0"/>
    <x v="0"/>
    <x v="0"/>
    <x v="8"/>
    <x v="1"/>
    <x v="5"/>
    <x v="2"/>
  </r>
  <r>
    <s v="TX500785"/>
    <x v="10"/>
    <x v="0"/>
    <n v="33.299999999999997"/>
    <x v="698"/>
    <x v="33"/>
    <d v="2025-02-04T00:00:00"/>
    <s v="F"/>
    <x v="2"/>
    <x v="1"/>
    <x v="0"/>
    <x v="8"/>
    <x v="3"/>
    <x v="5"/>
    <x v="2"/>
  </r>
  <r>
    <s v="TX500786"/>
    <x v="8"/>
    <x v="12"/>
    <n v="15.1"/>
    <x v="266"/>
    <x v="33"/>
    <d v="2025-02-05T00:00:00"/>
    <s v="F"/>
    <x v="4"/>
    <x v="2"/>
    <x v="0"/>
    <x v="8"/>
    <x v="1"/>
    <x v="5"/>
    <x v="2"/>
  </r>
  <r>
    <s v="TX500787"/>
    <x v="6"/>
    <x v="9"/>
    <n v="118.2"/>
    <x v="699"/>
    <x v="33"/>
    <d v="2025-02-04T00:00:00"/>
    <s v="F"/>
    <x v="3"/>
    <x v="4"/>
    <x v="0"/>
    <x v="8"/>
    <x v="3"/>
    <x v="5"/>
    <x v="2"/>
  </r>
  <r>
    <s v="TX500788"/>
    <x v="10"/>
    <x v="2"/>
    <n v="28.9"/>
    <x v="700"/>
    <x v="33"/>
    <d v="2025-02-05T00:00:00"/>
    <s v="F"/>
    <x v="2"/>
    <x v="1"/>
    <x v="0"/>
    <x v="8"/>
    <x v="1"/>
    <x v="5"/>
    <x v="2"/>
  </r>
  <r>
    <s v="TX500789"/>
    <x v="4"/>
    <x v="2"/>
    <n v="55.6"/>
    <x v="701"/>
    <x v="33"/>
    <d v="2025-02-04T00:00:00"/>
    <s v="M"/>
    <x v="0"/>
    <x v="1"/>
    <x v="0"/>
    <x v="8"/>
    <x v="3"/>
    <x v="5"/>
    <x v="1"/>
  </r>
  <r>
    <s v="TX500790"/>
    <x v="9"/>
    <x v="12"/>
    <n v="25.6"/>
    <x v="298"/>
    <x v="33"/>
    <d v="2025-02-05T00:00:00"/>
    <s v="F"/>
    <x v="0"/>
    <x v="1"/>
    <x v="0"/>
    <x v="8"/>
    <x v="1"/>
    <x v="5"/>
    <x v="2"/>
  </r>
  <r>
    <s v="TX500791"/>
    <x v="7"/>
    <x v="2"/>
    <n v="31.3"/>
    <x v="442"/>
    <x v="33"/>
    <d v="2025-02-04T00:00:00"/>
    <s v="M"/>
    <x v="0"/>
    <x v="0"/>
    <x v="0"/>
    <x v="17"/>
    <x v="3"/>
    <x v="5"/>
    <x v="1"/>
  </r>
  <r>
    <s v="TX500792"/>
    <x v="0"/>
    <x v="2"/>
    <n v="22.1"/>
    <x v="702"/>
    <x v="33"/>
    <d v="2025-02-07T00:00:00"/>
    <s v="M"/>
    <x v="0"/>
    <x v="0"/>
    <x v="0"/>
    <x v="17"/>
    <x v="5"/>
    <x v="5"/>
    <x v="1"/>
  </r>
  <r>
    <s v="TX500793"/>
    <x v="2"/>
    <x v="21"/>
    <n v="99.4"/>
    <x v="703"/>
    <x v="33"/>
    <d v="2025-02-04T00:00:00"/>
    <s v="M"/>
    <x v="1"/>
    <x v="0"/>
    <x v="0"/>
    <x v="11"/>
    <x v="3"/>
    <x v="5"/>
    <x v="1"/>
  </r>
  <r>
    <s v="TX500794"/>
    <x v="7"/>
    <x v="13"/>
    <n v="66.599999999999994"/>
    <x v="704"/>
    <x v="33"/>
    <d v="2025-02-04T00:00:00"/>
    <s v="F"/>
    <x v="0"/>
    <x v="0"/>
    <x v="0"/>
    <x v="11"/>
    <x v="3"/>
    <x v="5"/>
    <x v="2"/>
  </r>
  <r>
    <s v="TX500795"/>
    <x v="8"/>
    <x v="1"/>
    <n v="22.6"/>
    <x v="705"/>
    <x v="33"/>
    <d v="2025-02-06T00:00:00"/>
    <s v="M"/>
    <x v="0"/>
    <x v="0"/>
    <x v="0"/>
    <x v="11"/>
    <x v="2"/>
    <x v="5"/>
    <x v="1"/>
  </r>
  <r>
    <s v="TX500796"/>
    <x v="2"/>
    <x v="16"/>
    <n v="66.8"/>
    <x v="706"/>
    <x v="33"/>
    <d v="2025-02-04T00:00:00"/>
    <s v="F"/>
    <x v="0"/>
    <x v="4"/>
    <x v="0"/>
    <x v="13"/>
    <x v="3"/>
    <x v="5"/>
    <x v="2"/>
  </r>
  <r>
    <s v="TX500797"/>
    <x v="0"/>
    <x v="12"/>
    <n v="20.8"/>
    <x v="707"/>
    <x v="33"/>
    <d v="2025-02-10T00:00:00"/>
    <s v="M"/>
    <x v="1"/>
    <x v="4"/>
    <x v="0"/>
    <x v="1"/>
    <x v="6"/>
    <x v="5"/>
    <x v="1"/>
  </r>
  <r>
    <s v="TX500798"/>
    <x v="2"/>
    <x v="3"/>
    <n v="102.5"/>
    <x v="708"/>
    <x v="33"/>
    <d v="2025-02-04T00:00:00"/>
    <s v="F"/>
    <x v="4"/>
    <x v="2"/>
    <x v="0"/>
    <x v="3"/>
    <x v="3"/>
    <x v="5"/>
    <x v="2"/>
  </r>
  <r>
    <s v="TX500799"/>
    <x v="0"/>
    <x v="16"/>
    <n v="24.8"/>
    <x v="709"/>
    <x v="33"/>
    <d v="2025-02-07T00:00:00"/>
    <s v="F"/>
    <x v="0"/>
    <x v="0"/>
    <x v="0"/>
    <x v="3"/>
    <x v="5"/>
    <x v="5"/>
    <x v="2"/>
  </r>
  <r>
    <s v="TX500800"/>
    <x v="4"/>
    <x v="37"/>
    <n v="31.4"/>
    <x v="710"/>
    <x v="33"/>
    <d v="2025-02-04T00:00:00"/>
    <s v="F"/>
    <x v="3"/>
    <x v="0"/>
    <x v="0"/>
    <x v="3"/>
    <x v="3"/>
    <x v="5"/>
    <x v="2"/>
  </r>
  <r>
    <s v="TX500801"/>
    <x v="9"/>
    <x v="9"/>
    <n v="59.3"/>
    <x v="711"/>
    <x v="33"/>
    <d v="2025-02-06T00:00:00"/>
    <s v="M"/>
    <x v="1"/>
    <x v="2"/>
    <x v="0"/>
    <x v="43"/>
    <x v="2"/>
    <x v="5"/>
    <x v="1"/>
  </r>
  <r>
    <s v="TX500802"/>
    <x v="11"/>
    <x v="13"/>
    <n v="39"/>
    <x v="540"/>
    <x v="33"/>
    <d v="2025-02-06T00:00:00"/>
    <s v="M"/>
    <x v="1"/>
    <x v="0"/>
    <x v="0"/>
    <x v="6"/>
    <x v="2"/>
    <x v="5"/>
    <x v="1"/>
  </r>
  <r>
    <s v="TX500803"/>
    <x v="5"/>
    <x v="13"/>
    <n v="98.6"/>
    <x v="712"/>
    <x v="33"/>
    <d v="2025-02-05T00:00:00"/>
    <s v="F"/>
    <x v="1"/>
    <x v="0"/>
    <x v="0"/>
    <x v="6"/>
    <x v="1"/>
    <x v="5"/>
    <x v="2"/>
  </r>
  <r>
    <s v="TX500804"/>
    <x v="8"/>
    <x v="0"/>
    <n v="20"/>
    <x v="614"/>
    <x v="34"/>
    <d v="2025-02-05T00:00:00"/>
    <s v="M"/>
    <x v="3"/>
    <x v="2"/>
    <x v="0"/>
    <x v="8"/>
    <x v="3"/>
    <x v="5"/>
    <x v="1"/>
  </r>
  <r>
    <s v="TX500805"/>
    <x v="1"/>
    <x v="1"/>
    <n v="42.9"/>
    <x v="550"/>
    <x v="34"/>
    <d v="2025-02-06T00:00:00"/>
    <s v="F"/>
    <x v="0"/>
    <x v="2"/>
    <x v="0"/>
    <x v="8"/>
    <x v="1"/>
    <x v="5"/>
    <x v="2"/>
  </r>
  <r>
    <s v="TX500806"/>
    <x v="7"/>
    <x v="3"/>
    <n v="55.6"/>
    <x v="713"/>
    <x v="34"/>
    <d v="2025-02-06T00:00:00"/>
    <s v="F"/>
    <x v="2"/>
    <x v="1"/>
    <x v="0"/>
    <x v="8"/>
    <x v="1"/>
    <x v="5"/>
    <x v="2"/>
  </r>
  <r>
    <s v="TX500807"/>
    <x v="8"/>
    <x v="12"/>
    <n v="19.2"/>
    <x v="714"/>
    <x v="34"/>
    <d v="2025-02-09T00:00:00"/>
    <s v="F"/>
    <x v="0"/>
    <x v="0"/>
    <x v="0"/>
    <x v="41"/>
    <x v="0"/>
    <x v="5"/>
    <x v="2"/>
  </r>
  <r>
    <s v="TX500808"/>
    <x v="5"/>
    <x v="1"/>
    <n v="28.8"/>
    <x v="636"/>
    <x v="34"/>
    <d v="2025-02-06T00:00:00"/>
    <s v="M"/>
    <x v="1"/>
    <x v="0"/>
    <x v="0"/>
    <x v="18"/>
    <x v="1"/>
    <x v="5"/>
    <x v="1"/>
  </r>
  <r>
    <s v="TX500809"/>
    <x v="4"/>
    <x v="0"/>
    <n v="29.7"/>
    <x v="47"/>
    <x v="34"/>
    <d v="2025-02-06T00:00:00"/>
    <s v="F"/>
    <x v="2"/>
    <x v="4"/>
    <x v="0"/>
    <x v="20"/>
    <x v="1"/>
    <x v="5"/>
    <x v="2"/>
  </r>
  <r>
    <s v="TX500810"/>
    <x v="6"/>
    <x v="13"/>
    <n v="63.3"/>
    <x v="715"/>
    <x v="34"/>
    <d v="2025-02-05T00:00:00"/>
    <s v=""/>
    <x v="0"/>
    <x v="2"/>
    <x v="0"/>
    <x v="21"/>
    <x v="3"/>
    <x v="5"/>
    <x v="0"/>
  </r>
  <r>
    <s v="TX500811"/>
    <x v="4"/>
    <x v="0"/>
    <n v="46"/>
    <x v="716"/>
    <x v="34"/>
    <d v="2025-02-05T00:00:00"/>
    <s v="F"/>
    <x v="0"/>
    <x v="2"/>
    <x v="0"/>
    <x v="21"/>
    <x v="3"/>
    <x v="5"/>
    <x v="2"/>
  </r>
  <r>
    <s v="TX500812"/>
    <x v="11"/>
    <x v="2"/>
    <n v="38"/>
    <x v="717"/>
    <x v="34"/>
    <d v="2025-02-06T00:00:00"/>
    <s v="F"/>
    <x v="1"/>
    <x v="2"/>
    <x v="0"/>
    <x v="21"/>
    <x v="1"/>
    <x v="5"/>
    <x v="2"/>
  </r>
  <r>
    <s v="TX500813"/>
    <x v="10"/>
    <x v="15"/>
    <n v="34.6"/>
    <x v="327"/>
    <x v="34"/>
    <d v="2025-02-06T00:00:00"/>
    <s v="F"/>
    <x v="0"/>
    <x v="1"/>
    <x v="0"/>
    <x v="21"/>
    <x v="1"/>
    <x v="5"/>
    <x v="2"/>
  </r>
  <r>
    <s v="TX500814"/>
    <x v="3"/>
    <x v="7"/>
    <n v="79.7"/>
    <x v="718"/>
    <x v="34"/>
    <d v="2025-02-05T00:00:00"/>
    <s v="F"/>
    <x v="4"/>
    <x v="1"/>
    <x v="0"/>
    <x v="21"/>
    <x v="3"/>
    <x v="5"/>
    <x v="2"/>
  </r>
  <r>
    <s v="TX500815"/>
    <x v="8"/>
    <x v="8"/>
    <n v="30.5"/>
    <x v="719"/>
    <x v="34"/>
    <d v="2025-02-08T00:00:00"/>
    <s v="M"/>
    <x v="3"/>
    <x v="0"/>
    <x v="0"/>
    <x v="1"/>
    <x v="5"/>
    <x v="5"/>
    <x v="1"/>
  </r>
  <r>
    <s v="TX500816"/>
    <x v="0"/>
    <x v="1"/>
    <n v="20.8"/>
    <x v="480"/>
    <x v="34"/>
    <d v="2025-02-05T00:00:00"/>
    <s v="F"/>
    <x v="0"/>
    <x v="0"/>
    <x v="0"/>
    <x v="2"/>
    <x v="3"/>
    <x v="5"/>
    <x v="2"/>
  </r>
  <r>
    <s v="TX500817"/>
    <x v="11"/>
    <x v="3"/>
    <n v="48.5"/>
    <x v="720"/>
    <x v="34"/>
    <d v="2025-02-08T00:00:00"/>
    <s v="F"/>
    <x v="2"/>
    <x v="2"/>
    <x v="0"/>
    <x v="2"/>
    <x v="5"/>
    <x v="5"/>
    <x v="2"/>
  </r>
  <r>
    <s v="TX500818"/>
    <x v="2"/>
    <x v="12"/>
    <n v="61.8"/>
    <x v="721"/>
    <x v="34"/>
    <d v="2025-02-08T00:00:00"/>
    <s v="F"/>
    <x v="4"/>
    <x v="0"/>
    <x v="0"/>
    <x v="22"/>
    <x v="5"/>
    <x v="5"/>
    <x v="2"/>
  </r>
  <r>
    <s v="TX500819"/>
    <x v="10"/>
    <x v="0"/>
    <n v="46.1"/>
    <x v="722"/>
    <x v="34"/>
    <d v="2025-02-05T00:00:00"/>
    <s v="O"/>
    <x v="2"/>
    <x v="0"/>
    <x v="0"/>
    <x v="3"/>
    <x v="3"/>
    <x v="5"/>
    <x v="3"/>
  </r>
  <r>
    <s v="TX500820"/>
    <x v="4"/>
    <x v="13"/>
    <n v="44"/>
    <x v="723"/>
    <x v="34"/>
    <d v="2025-02-05T00:00:00"/>
    <s v="F"/>
    <x v="0"/>
    <x v="0"/>
    <x v="0"/>
    <x v="3"/>
    <x v="3"/>
    <x v="5"/>
    <x v="2"/>
  </r>
  <r>
    <s v="TX500821"/>
    <x v="18"/>
    <x v="1"/>
    <n v="95.7"/>
    <x v="724"/>
    <x v="34"/>
    <d v="2025-02-10T00:00:00"/>
    <s v="F"/>
    <x v="3"/>
    <x v="2"/>
    <x v="0"/>
    <x v="3"/>
    <x v="4"/>
    <x v="5"/>
    <x v="2"/>
  </r>
  <r>
    <s v="TX500822"/>
    <x v="7"/>
    <x v="9"/>
    <n v="46.4"/>
    <x v="615"/>
    <x v="34"/>
    <d v="2025-02-07T00:00:00"/>
    <s v="F"/>
    <x v="0"/>
    <x v="0"/>
    <x v="0"/>
    <x v="3"/>
    <x v="2"/>
    <x v="5"/>
    <x v="2"/>
  </r>
  <r>
    <s v="TX500823"/>
    <x v="6"/>
    <x v="1"/>
    <n v="47.2"/>
    <x v="725"/>
    <x v="34"/>
    <d v="2025-02-06T00:00:00"/>
    <s v="F"/>
    <x v="0"/>
    <x v="2"/>
    <x v="0"/>
    <x v="3"/>
    <x v="1"/>
    <x v="5"/>
    <x v="2"/>
  </r>
  <r>
    <s v="TX500824"/>
    <x v="7"/>
    <x v="1"/>
    <n v="58.6"/>
    <x v="726"/>
    <x v="34"/>
    <d v="2025-02-05T00:00:00"/>
    <s v="F"/>
    <x v="2"/>
    <x v="1"/>
    <x v="0"/>
    <x v="3"/>
    <x v="3"/>
    <x v="5"/>
    <x v="2"/>
  </r>
  <r>
    <s v="TX500825"/>
    <x v="4"/>
    <x v="2"/>
    <n v="57"/>
    <x v="727"/>
    <x v="34"/>
    <d v="2025-02-05T00:00:00"/>
    <s v="M"/>
    <x v="0"/>
    <x v="2"/>
    <x v="0"/>
    <x v="3"/>
    <x v="3"/>
    <x v="5"/>
    <x v="1"/>
  </r>
  <r>
    <s v="TX500826"/>
    <x v="8"/>
    <x v="12"/>
    <n v="28.9"/>
    <x v="446"/>
    <x v="34"/>
    <d v="2025-02-08T00:00:00"/>
    <s v="M"/>
    <x v="2"/>
    <x v="0"/>
    <x v="0"/>
    <x v="3"/>
    <x v="5"/>
    <x v="5"/>
    <x v="1"/>
  </r>
  <r>
    <s v="TX500827"/>
    <x v="12"/>
    <x v="9"/>
    <n v="60.7"/>
    <x v="728"/>
    <x v="34"/>
    <d v="2025-02-08T00:00:00"/>
    <s v=""/>
    <x v="1"/>
    <x v="1"/>
    <x v="0"/>
    <x v="3"/>
    <x v="5"/>
    <x v="5"/>
    <x v="0"/>
  </r>
  <r>
    <s v="TX500828"/>
    <x v="6"/>
    <x v="9"/>
    <n v="60.8"/>
    <x v="729"/>
    <x v="34"/>
    <d v="2025-02-08T00:00:00"/>
    <s v="M"/>
    <x v="0"/>
    <x v="1"/>
    <x v="0"/>
    <x v="3"/>
    <x v="5"/>
    <x v="5"/>
    <x v="1"/>
  </r>
  <r>
    <s v="TX500829"/>
    <x v="6"/>
    <x v="9"/>
    <n v="64.599999999999994"/>
    <x v="730"/>
    <x v="34"/>
    <d v="2025-02-05T00:00:00"/>
    <s v="F"/>
    <x v="3"/>
    <x v="0"/>
    <x v="0"/>
    <x v="3"/>
    <x v="3"/>
    <x v="5"/>
    <x v="2"/>
  </r>
  <r>
    <s v="TX500830"/>
    <x v="8"/>
    <x v="0"/>
    <n v="21.9"/>
    <x v="731"/>
    <x v="34"/>
    <d v="2025-02-07T00:00:00"/>
    <s v="M"/>
    <x v="1"/>
    <x v="2"/>
    <x v="0"/>
    <x v="4"/>
    <x v="2"/>
    <x v="5"/>
    <x v="1"/>
  </r>
  <r>
    <s v="TX500831"/>
    <x v="4"/>
    <x v="4"/>
    <n v="33.4"/>
    <x v="732"/>
    <x v="34"/>
    <d v="2025-02-06T00:00:00"/>
    <s v="F"/>
    <x v="0"/>
    <x v="0"/>
    <x v="0"/>
    <x v="23"/>
    <x v="1"/>
    <x v="5"/>
    <x v="2"/>
  </r>
  <r>
    <s v="TX500832"/>
    <x v="2"/>
    <x v="0"/>
    <n v="51.7"/>
    <x v="733"/>
    <x v="34"/>
    <d v="2025-02-05T00:00:00"/>
    <s v=""/>
    <x v="0"/>
    <x v="0"/>
    <x v="0"/>
    <x v="6"/>
    <x v="3"/>
    <x v="5"/>
    <x v="0"/>
  </r>
  <r>
    <s v="TX500833"/>
    <x v="1"/>
    <x v="12"/>
    <n v="84.9"/>
    <x v="734"/>
    <x v="34"/>
    <d v="2025-02-05T00:00:00"/>
    <s v="F"/>
    <x v="1"/>
    <x v="1"/>
    <x v="0"/>
    <x v="6"/>
    <x v="3"/>
    <x v="5"/>
    <x v="2"/>
  </r>
  <r>
    <s v="TX500834"/>
    <x v="1"/>
    <x v="5"/>
    <n v="62.3"/>
    <x v="735"/>
    <x v="34"/>
    <d v="2025-02-05T00:00:00"/>
    <s v="F"/>
    <x v="2"/>
    <x v="2"/>
    <x v="0"/>
    <x v="7"/>
    <x v="3"/>
    <x v="5"/>
    <x v="2"/>
  </r>
  <r>
    <s v="TX500835"/>
    <x v="4"/>
    <x v="0"/>
    <n v="50.7"/>
    <x v="163"/>
    <x v="34"/>
    <d v="2025-02-06T00:00:00"/>
    <s v="M"/>
    <x v="2"/>
    <x v="2"/>
    <x v="0"/>
    <x v="8"/>
    <x v="1"/>
    <x v="5"/>
    <x v="1"/>
  </r>
  <r>
    <s v="TX500836"/>
    <x v="18"/>
    <x v="0"/>
    <n v="39.5"/>
    <x v="736"/>
    <x v="34"/>
    <d v="2025-02-05T00:00:00"/>
    <s v="M"/>
    <x v="4"/>
    <x v="1"/>
    <x v="0"/>
    <x v="8"/>
    <x v="3"/>
    <x v="5"/>
    <x v="1"/>
  </r>
  <r>
    <s v="TX500837"/>
    <x v="12"/>
    <x v="2"/>
    <n v="30.9"/>
    <x v="737"/>
    <x v="34"/>
    <d v="2025-02-05T00:00:00"/>
    <s v=""/>
    <x v="4"/>
    <x v="2"/>
    <x v="0"/>
    <x v="8"/>
    <x v="3"/>
    <x v="5"/>
    <x v="0"/>
  </r>
  <r>
    <s v="TX500838"/>
    <x v="1"/>
    <x v="3"/>
    <n v="36.4"/>
    <x v="133"/>
    <x v="34"/>
    <d v="2025-02-07T00:00:00"/>
    <s v="F"/>
    <x v="0"/>
    <x v="2"/>
    <x v="0"/>
    <x v="8"/>
    <x v="2"/>
    <x v="5"/>
    <x v="2"/>
  </r>
  <r>
    <s v="TX500839"/>
    <x v="6"/>
    <x v="8"/>
    <n v="105.6"/>
    <x v="738"/>
    <x v="34"/>
    <d v="2025-02-14T00:00:00"/>
    <s v="F"/>
    <x v="0"/>
    <x v="0"/>
    <x v="0"/>
    <x v="8"/>
    <x v="14"/>
    <x v="5"/>
    <x v="2"/>
  </r>
  <r>
    <s v="TX500840"/>
    <x v="8"/>
    <x v="1"/>
    <n v="22.1"/>
    <x v="573"/>
    <x v="34"/>
    <d v="2025-02-05T00:00:00"/>
    <s v="F"/>
    <x v="0"/>
    <x v="2"/>
    <x v="0"/>
    <x v="17"/>
    <x v="3"/>
    <x v="5"/>
    <x v="2"/>
  </r>
  <r>
    <s v="TX500841"/>
    <x v="0"/>
    <x v="2"/>
    <n v="22.6"/>
    <x v="418"/>
    <x v="34"/>
    <d v="2025-02-05T00:00:00"/>
    <s v="F"/>
    <x v="2"/>
    <x v="0"/>
    <x v="0"/>
    <x v="17"/>
    <x v="3"/>
    <x v="5"/>
    <x v="2"/>
  </r>
  <r>
    <s v="TX500842"/>
    <x v="10"/>
    <x v="13"/>
    <n v="26.3"/>
    <x v="739"/>
    <x v="34"/>
    <d v="2025-02-04T00:00:00"/>
    <s v="F"/>
    <x v="2"/>
    <x v="0"/>
    <x v="0"/>
    <x v="9"/>
    <x v="7"/>
    <x v="5"/>
    <x v="2"/>
  </r>
  <r>
    <s v="TX500843"/>
    <x v="1"/>
    <x v="12"/>
    <n v="37.799999999999997"/>
    <x v="277"/>
    <x v="34"/>
    <d v="2025-02-05T00:00:00"/>
    <s v="F"/>
    <x v="0"/>
    <x v="2"/>
    <x v="0"/>
    <x v="11"/>
    <x v="3"/>
    <x v="5"/>
    <x v="2"/>
  </r>
  <r>
    <s v="TX500844"/>
    <x v="6"/>
    <x v="14"/>
    <n v="96"/>
    <x v="740"/>
    <x v="34"/>
    <d v="2025-02-07T00:00:00"/>
    <s v="F"/>
    <x v="4"/>
    <x v="1"/>
    <x v="0"/>
    <x v="18"/>
    <x v="2"/>
    <x v="5"/>
    <x v="2"/>
  </r>
  <r>
    <s v="TX500845"/>
    <x v="1"/>
    <x v="0"/>
    <n v="83.6"/>
    <x v="681"/>
    <x v="34"/>
    <d v="2025-02-07T00:00:00"/>
    <s v="F"/>
    <x v="2"/>
    <x v="1"/>
    <x v="0"/>
    <x v="19"/>
    <x v="2"/>
    <x v="5"/>
    <x v="2"/>
  </r>
  <r>
    <s v="TX500846"/>
    <x v="2"/>
    <x v="13"/>
    <n v="72.599999999999994"/>
    <x v="349"/>
    <x v="34"/>
    <d v="2025-02-05T00:00:00"/>
    <s v="F"/>
    <x v="0"/>
    <x v="0"/>
    <x v="0"/>
    <x v="21"/>
    <x v="3"/>
    <x v="5"/>
    <x v="2"/>
  </r>
  <r>
    <s v="TX500847"/>
    <x v="5"/>
    <x v="28"/>
    <n v="69.099999999999994"/>
    <x v="741"/>
    <x v="35"/>
    <d v="2025-02-11T00:00:00"/>
    <s v="M"/>
    <x v="0"/>
    <x v="2"/>
    <x v="0"/>
    <x v="21"/>
    <x v="4"/>
    <x v="5"/>
    <x v="1"/>
  </r>
  <r>
    <s v="TX500848"/>
    <x v="4"/>
    <x v="1"/>
    <n v="22.6"/>
    <x v="705"/>
    <x v="35"/>
    <d v="2025-02-07T00:00:00"/>
    <s v="F"/>
    <x v="1"/>
    <x v="2"/>
    <x v="0"/>
    <x v="21"/>
    <x v="1"/>
    <x v="5"/>
    <x v="2"/>
  </r>
  <r>
    <s v="TX500849"/>
    <x v="6"/>
    <x v="1"/>
    <n v="45.3"/>
    <x v="742"/>
    <x v="35"/>
    <d v="2025-02-09T00:00:00"/>
    <s v="M"/>
    <x v="4"/>
    <x v="2"/>
    <x v="0"/>
    <x v="21"/>
    <x v="5"/>
    <x v="5"/>
    <x v="1"/>
  </r>
  <r>
    <s v="TX500850"/>
    <x v="2"/>
    <x v="1"/>
    <n v="115.1"/>
    <x v="743"/>
    <x v="35"/>
    <d v="2025-02-06T00:00:00"/>
    <s v="F"/>
    <x v="1"/>
    <x v="0"/>
    <x v="0"/>
    <x v="1"/>
    <x v="3"/>
    <x v="5"/>
    <x v="2"/>
  </r>
  <r>
    <s v="TX500851"/>
    <x v="18"/>
    <x v="12"/>
    <n v="79"/>
    <x v="744"/>
    <x v="35"/>
    <d v="2025-02-07T00:00:00"/>
    <s v="M"/>
    <x v="2"/>
    <x v="4"/>
    <x v="0"/>
    <x v="1"/>
    <x v="1"/>
    <x v="5"/>
    <x v="1"/>
  </r>
  <r>
    <s v="TX500852"/>
    <x v="6"/>
    <x v="9"/>
    <n v="52.8"/>
    <x v="723"/>
    <x v="35"/>
    <d v="2025-02-06T00:00:00"/>
    <s v="F"/>
    <x v="0"/>
    <x v="0"/>
    <x v="0"/>
    <x v="42"/>
    <x v="3"/>
    <x v="5"/>
    <x v="2"/>
  </r>
  <r>
    <s v="TX500853"/>
    <x v="8"/>
    <x v="1"/>
    <n v="34.1"/>
    <x v="745"/>
    <x v="35"/>
    <d v="2025-02-06T00:00:00"/>
    <s v="M"/>
    <x v="3"/>
    <x v="2"/>
    <x v="0"/>
    <x v="44"/>
    <x v="3"/>
    <x v="5"/>
    <x v="1"/>
  </r>
  <r>
    <s v="TX500854"/>
    <x v="6"/>
    <x v="9"/>
    <n v="107.9"/>
    <x v="746"/>
    <x v="35"/>
    <d v="2025-02-05T00:00:00"/>
    <s v="F"/>
    <x v="0"/>
    <x v="2"/>
    <x v="0"/>
    <x v="50"/>
    <x v="7"/>
    <x v="5"/>
    <x v="2"/>
  </r>
  <r>
    <s v="TX500855"/>
    <x v="8"/>
    <x v="15"/>
    <n v="48.5"/>
    <x v="747"/>
    <x v="35"/>
    <d v="2025-02-05T00:00:00"/>
    <s v="M"/>
    <x v="2"/>
    <x v="2"/>
    <x v="0"/>
    <x v="3"/>
    <x v="7"/>
    <x v="5"/>
    <x v="1"/>
  </r>
  <r>
    <s v="TX500856"/>
    <x v="5"/>
    <x v="2"/>
    <n v="34.700000000000003"/>
    <x v="748"/>
    <x v="35"/>
    <d v="2025-02-06T00:00:00"/>
    <s v=""/>
    <x v="4"/>
    <x v="1"/>
    <x v="0"/>
    <x v="3"/>
    <x v="3"/>
    <x v="5"/>
    <x v="0"/>
  </r>
  <r>
    <s v="TX500857"/>
    <x v="8"/>
    <x v="0"/>
    <n v="16.8"/>
    <x v="749"/>
    <x v="35"/>
    <d v="2025-02-07T00:00:00"/>
    <s v="F"/>
    <x v="3"/>
    <x v="0"/>
    <x v="0"/>
    <x v="3"/>
    <x v="1"/>
    <x v="5"/>
    <x v="2"/>
  </r>
  <r>
    <s v="TX500858"/>
    <x v="8"/>
    <x v="13"/>
    <n v="18.3"/>
    <x v="17"/>
    <x v="35"/>
    <d v="2025-02-08T00:00:00"/>
    <s v="F"/>
    <x v="0"/>
    <x v="0"/>
    <x v="0"/>
    <x v="3"/>
    <x v="2"/>
    <x v="5"/>
    <x v="2"/>
  </r>
  <r>
    <s v="TX500859"/>
    <x v="18"/>
    <x v="2"/>
    <n v="55.9"/>
    <x v="750"/>
    <x v="35"/>
    <d v="2025-02-11T00:00:00"/>
    <s v="M"/>
    <x v="3"/>
    <x v="1"/>
    <x v="0"/>
    <x v="3"/>
    <x v="4"/>
    <x v="5"/>
    <x v="1"/>
  </r>
  <r>
    <s v="TX500860"/>
    <x v="8"/>
    <x v="2"/>
    <n v="39.200000000000003"/>
    <x v="557"/>
    <x v="35"/>
    <d v="2025-02-07T00:00:00"/>
    <s v="F"/>
    <x v="0"/>
    <x v="1"/>
    <x v="0"/>
    <x v="3"/>
    <x v="1"/>
    <x v="5"/>
    <x v="2"/>
  </r>
  <r>
    <s v="TX500861"/>
    <x v="15"/>
    <x v="12"/>
    <n v="66.5"/>
    <x v="751"/>
    <x v="35"/>
    <d v="2025-02-07T00:00:00"/>
    <s v=""/>
    <x v="3"/>
    <x v="1"/>
    <x v="0"/>
    <x v="3"/>
    <x v="1"/>
    <x v="5"/>
    <x v="0"/>
  </r>
  <r>
    <s v="TX500862"/>
    <x v="6"/>
    <x v="13"/>
    <n v="52.1"/>
    <x v="752"/>
    <x v="35"/>
    <d v="2025-02-07T00:00:00"/>
    <s v="M"/>
    <x v="1"/>
    <x v="1"/>
    <x v="0"/>
    <x v="16"/>
    <x v="1"/>
    <x v="5"/>
    <x v="1"/>
  </r>
  <r>
    <s v="TX500863"/>
    <x v="8"/>
    <x v="1"/>
    <n v="19"/>
    <x v="753"/>
    <x v="35"/>
    <d v="2025-02-06T00:00:00"/>
    <s v="M"/>
    <x v="4"/>
    <x v="2"/>
    <x v="0"/>
    <x v="6"/>
    <x v="3"/>
    <x v="5"/>
    <x v="1"/>
  </r>
  <r>
    <s v="TX500864"/>
    <x v="7"/>
    <x v="2"/>
    <n v="84.8"/>
    <x v="754"/>
    <x v="35"/>
    <d v="2025-02-07T00:00:00"/>
    <s v="F"/>
    <x v="2"/>
    <x v="0"/>
    <x v="0"/>
    <x v="8"/>
    <x v="1"/>
    <x v="5"/>
    <x v="2"/>
  </r>
  <r>
    <s v="TX500865"/>
    <x v="2"/>
    <x v="12"/>
    <n v="63.9"/>
    <x v="755"/>
    <x v="35"/>
    <d v="2025-02-08T00:00:00"/>
    <s v="F"/>
    <x v="0"/>
    <x v="0"/>
    <x v="0"/>
    <x v="8"/>
    <x v="2"/>
    <x v="5"/>
    <x v="2"/>
  </r>
  <r>
    <s v="TX500866"/>
    <x v="2"/>
    <x v="2"/>
    <n v="65.5"/>
    <x v="756"/>
    <x v="35"/>
    <d v="2025-02-05T00:00:00"/>
    <s v="F"/>
    <x v="1"/>
    <x v="1"/>
    <x v="0"/>
    <x v="8"/>
    <x v="7"/>
    <x v="5"/>
    <x v="2"/>
  </r>
  <r>
    <s v="TX500867"/>
    <x v="12"/>
    <x v="1"/>
    <n v="116.2"/>
    <x v="757"/>
    <x v="35"/>
    <d v="2025-02-11T00:00:00"/>
    <s v="M"/>
    <x v="3"/>
    <x v="0"/>
    <x v="0"/>
    <x v="17"/>
    <x v="4"/>
    <x v="5"/>
    <x v="1"/>
  </r>
  <r>
    <s v="TX500868"/>
    <x v="10"/>
    <x v="12"/>
    <n v="22.9"/>
    <x v="758"/>
    <x v="35"/>
    <d v="2025-02-07T00:00:00"/>
    <s v="F"/>
    <x v="2"/>
    <x v="1"/>
    <x v="0"/>
    <x v="38"/>
    <x v="1"/>
    <x v="5"/>
    <x v="2"/>
  </r>
  <r>
    <s v="TX500869"/>
    <x v="10"/>
    <x v="2"/>
    <n v="53.7"/>
    <x v="759"/>
    <x v="35"/>
    <d v="2025-02-06T00:00:00"/>
    <s v="M"/>
    <x v="0"/>
    <x v="4"/>
    <x v="0"/>
    <x v="18"/>
    <x v="3"/>
    <x v="5"/>
    <x v="1"/>
  </r>
  <r>
    <s v="TX500870"/>
    <x v="6"/>
    <x v="9"/>
    <n v="43.2"/>
    <x v="760"/>
    <x v="35"/>
    <d v="2025-02-07T00:00:00"/>
    <s v="F"/>
    <x v="0"/>
    <x v="0"/>
    <x v="0"/>
    <x v="19"/>
    <x v="1"/>
    <x v="5"/>
    <x v="2"/>
  </r>
  <r>
    <s v="TX500871"/>
    <x v="1"/>
    <x v="2"/>
    <n v="84.5"/>
    <x v="103"/>
    <x v="35"/>
    <d v="2025-02-07T00:00:00"/>
    <s v="M"/>
    <x v="2"/>
    <x v="2"/>
    <x v="0"/>
    <x v="51"/>
    <x v="1"/>
    <x v="5"/>
    <x v="1"/>
  </r>
  <r>
    <s v="TX500872"/>
    <x v="3"/>
    <x v="1"/>
    <n v="42.2"/>
    <x v="533"/>
    <x v="35"/>
    <d v="2025-02-06T00:00:00"/>
    <s v="F"/>
    <x v="1"/>
    <x v="2"/>
    <x v="0"/>
    <x v="1"/>
    <x v="3"/>
    <x v="5"/>
    <x v="2"/>
  </r>
  <r>
    <s v="TX500873"/>
    <x v="2"/>
    <x v="13"/>
    <n v="94.7"/>
    <x v="761"/>
    <x v="35"/>
    <d v="2025-02-08T00:00:00"/>
    <s v="F"/>
    <x v="1"/>
    <x v="2"/>
    <x v="0"/>
    <x v="2"/>
    <x v="2"/>
    <x v="5"/>
    <x v="2"/>
  </r>
  <r>
    <s v="TX500874"/>
    <x v="8"/>
    <x v="16"/>
    <n v="16.7"/>
    <x v="182"/>
    <x v="35"/>
    <d v="2025-02-17T00:00:00"/>
    <s v="F"/>
    <x v="0"/>
    <x v="2"/>
    <x v="0"/>
    <x v="2"/>
    <x v="13"/>
    <x v="5"/>
    <x v="2"/>
  </r>
  <r>
    <s v="TX500875"/>
    <x v="2"/>
    <x v="1"/>
    <n v="83.6"/>
    <x v="762"/>
    <x v="35"/>
    <d v="2025-02-11T00:00:00"/>
    <s v="F"/>
    <x v="1"/>
    <x v="0"/>
    <x v="0"/>
    <x v="3"/>
    <x v="4"/>
    <x v="5"/>
    <x v="2"/>
  </r>
  <r>
    <s v="TX500876"/>
    <x v="7"/>
    <x v="13"/>
    <n v="33.6"/>
    <x v="763"/>
    <x v="36"/>
    <d v="2025-02-07T00:00:00"/>
    <s v="F"/>
    <x v="3"/>
    <x v="0"/>
    <x v="0"/>
    <x v="3"/>
    <x v="3"/>
    <x v="5"/>
    <x v="2"/>
  </r>
  <r>
    <s v="TX500877"/>
    <x v="7"/>
    <x v="1"/>
    <n v="64.7"/>
    <x v="385"/>
    <x v="36"/>
    <d v="2025-02-08T00:00:00"/>
    <s v="M"/>
    <x v="1"/>
    <x v="2"/>
    <x v="0"/>
    <x v="3"/>
    <x v="1"/>
    <x v="5"/>
    <x v="1"/>
  </r>
  <r>
    <s v="TX500878"/>
    <x v="0"/>
    <x v="2"/>
    <n v="15.7"/>
    <x v="179"/>
    <x v="36"/>
    <d v="2025-02-12T00:00:00"/>
    <s v="F"/>
    <x v="0"/>
    <x v="0"/>
    <x v="0"/>
    <x v="3"/>
    <x v="4"/>
    <x v="5"/>
    <x v="2"/>
  </r>
  <r>
    <s v="TX500879"/>
    <x v="15"/>
    <x v="13"/>
    <n v="49.4"/>
    <x v="764"/>
    <x v="36"/>
    <d v="2025-02-06T00:00:00"/>
    <s v="M"/>
    <x v="1"/>
    <x v="0"/>
    <x v="0"/>
    <x v="3"/>
    <x v="7"/>
    <x v="5"/>
    <x v="1"/>
  </r>
  <r>
    <s v="TX500880"/>
    <x v="10"/>
    <x v="13"/>
    <n v="37"/>
    <x v="765"/>
    <x v="36"/>
    <d v="2025-02-09T00:00:00"/>
    <s v="F"/>
    <x v="1"/>
    <x v="2"/>
    <x v="0"/>
    <x v="3"/>
    <x v="2"/>
    <x v="5"/>
    <x v="2"/>
  </r>
  <r>
    <s v="TX500881"/>
    <x v="2"/>
    <x v="1"/>
    <n v="83.7"/>
    <x v="589"/>
    <x v="36"/>
    <d v="2025-02-08T00:00:00"/>
    <s v="F"/>
    <x v="3"/>
    <x v="2"/>
    <x v="0"/>
    <x v="3"/>
    <x v="1"/>
    <x v="5"/>
    <x v="2"/>
  </r>
  <r>
    <s v="TX500882"/>
    <x v="1"/>
    <x v="9"/>
    <n v="35.1"/>
    <x v="766"/>
    <x v="36"/>
    <d v="2025-02-07T00:00:00"/>
    <s v="F"/>
    <x v="0"/>
    <x v="0"/>
    <x v="0"/>
    <x v="3"/>
    <x v="3"/>
    <x v="5"/>
    <x v="2"/>
  </r>
  <r>
    <s v="TX500883"/>
    <x v="16"/>
    <x v="8"/>
    <n v="74"/>
    <x v="767"/>
    <x v="36"/>
    <d v="2025-02-07T00:00:00"/>
    <s v="F"/>
    <x v="4"/>
    <x v="0"/>
    <x v="0"/>
    <x v="37"/>
    <x v="3"/>
    <x v="5"/>
    <x v="2"/>
  </r>
  <r>
    <s v="TX500884"/>
    <x v="6"/>
    <x v="25"/>
    <n v="55.5"/>
    <x v="768"/>
    <x v="36"/>
    <d v="2025-02-09T00:00:00"/>
    <s v="M"/>
    <x v="3"/>
    <x v="0"/>
    <x v="0"/>
    <x v="49"/>
    <x v="2"/>
    <x v="5"/>
    <x v="1"/>
  </r>
  <r>
    <s v="TX500885"/>
    <x v="11"/>
    <x v="1"/>
    <n v="38.9"/>
    <x v="482"/>
    <x v="36"/>
    <d v="2025-02-08T00:00:00"/>
    <s v="F"/>
    <x v="1"/>
    <x v="2"/>
    <x v="0"/>
    <x v="25"/>
    <x v="1"/>
    <x v="5"/>
    <x v="2"/>
  </r>
  <r>
    <s v="TX500886"/>
    <x v="16"/>
    <x v="1"/>
    <n v="64.599999999999994"/>
    <x v="769"/>
    <x v="36"/>
    <d v="2025-02-13T00:00:00"/>
    <s v="M"/>
    <x v="2"/>
    <x v="1"/>
    <x v="0"/>
    <x v="25"/>
    <x v="6"/>
    <x v="5"/>
    <x v="1"/>
  </r>
  <r>
    <s v="TX500887"/>
    <x v="2"/>
    <x v="2"/>
    <n v="95.3"/>
    <x v="770"/>
    <x v="36"/>
    <d v="2025-02-07T00:00:00"/>
    <s v="M"/>
    <x v="0"/>
    <x v="0"/>
    <x v="0"/>
    <x v="5"/>
    <x v="3"/>
    <x v="5"/>
    <x v="1"/>
  </r>
  <r>
    <s v="TX500888"/>
    <x v="13"/>
    <x v="2"/>
    <n v="25.8"/>
    <x v="771"/>
    <x v="36"/>
    <d v="2025-02-07T00:00:00"/>
    <s v="F"/>
    <x v="1"/>
    <x v="1"/>
    <x v="0"/>
    <x v="6"/>
    <x v="3"/>
    <x v="5"/>
    <x v="2"/>
  </r>
  <r>
    <s v="TX500889"/>
    <x v="0"/>
    <x v="1"/>
    <n v="11.6"/>
    <x v="772"/>
    <x v="36"/>
    <d v="2025-02-10T00:00:00"/>
    <s v="F"/>
    <x v="1"/>
    <x v="1"/>
    <x v="0"/>
    <x v="6"/>
    <x v="5"/>
    <x v="5"/>
    <x v="2"/>
  </r>
  <r>
    <s v="TX500890"/>
    <x v="7"/>
    <x v="0"/>
    <n v="52.3"/>
    <x v="773"/>
    <x v="36"/>
    <d v="2025-02-07T00:00:00"/>
    <s v="F"/>
    <x v="1"/>
    <x v="0"/>
    <x v="0"/>
    <x v="8"/>
    <x v="3"/>
    <x v="5"/>
    <x v="2"/>
  </r>
  <r>
    <s v="TX500891"/>
    <x v="2"/>
    <x v="7"/>
    <n v="112.2"/>
    <x v="774"/>
    <x v="36"/>
    <d v="2025-02-07T00:00:00"/>
    <s v="F"/>
    <x v="1"/>
    <x v="1"/>
    <x v="0"/>
    <x v="8"/>
    <x v="3"/>
    <x v="5"/>
    <x v="2"/>
  </r>
  <r>
    <s v="TX500892"/>
    <x v="4"/>
    <x v="9"/>
    <n v="34.6"/>
    <x v="775"/>
    <x v="36"/>
    <d v="2025-02-08T00:00:00"/>
    <s v="M"/>
    <x v="2"/>
    <x v="0"/>
    <x v="0"/>
    <x v="8"/>
    <x v="1"/>
    <x v="5"/>
    <x v="1"/>
  </r>
  <r>
    <s v="TX500893"/>
    <x v="14"/>
    <x v="12"/>
    <n v="20.100000000000001"/>
    <x v="48"/>
    <x v="36"/>
    <d v="2025-02-12T00:00:00"/>
    <s v="M"/>
    <x v="1"/>
    <x v="2"/>
    <x v="0"/>
    <x v="8"/>
    <x v="4"/>
    <x v="5"/>
    <x v="1"/>
  </r>
  <r>
    <s v="TX500894"/>
    <x v="2"/>
    <x v="12"/>
    <n v="56.4"/>
    <x v="776"/>
    <x v="36"/>
    <d v="2025-02-08T00:00:00"/>
    <s v="F"/>
    <x v="2"/>
    <x v="0"/>
    <x v="0"/>
    <x v="10"/>
    <x v="1"/>
    <x v="5"/>
    <x v="2"/>
  </r>
  <r>
    <s v="TX500895"/>
    <x v="13"/>
    <x v="11"/>
    <n v="55.3"/>
    <x v="777"/>
    <x v="36"/>
    <d v="2025-02-08T00:00:00"/>
    <s v="F"/>
    <x v="1"/>
    <x v="4"/>
    <x v="0"/>
    <x v="11"/>
    <x v="1"/>
    <x v="5"/>
    <x v="2"/>
  </r>
  <r>
    <s v="TX500896"/>
    <x v="2"/>
    <x v="31"/>
    <n v="75.5"/>
    <x v="778"/>
    <x v="36"/>
    <d v="2025-02-07T00:00:00"/>
    <s v="F"/>
    <x v="0"/>
    <x v="0"/>
    <x v="0"/>
    <x v="11"/>
    <x v="3"/>
    <x v="5"/>
    <x v="2"/>
  </r>
  <r>
    <s v="TX500897"/>
    <x v="8"/>
    <x v="0"/>
    <n v="23.6"/>
    <x v="779"/>
    <x v="36"/>
    <d v="2025-02-11T00:00:00"/>
    <s v="F"/>
    <x v="0"/>
    <x v="0"/>
    <x v="0"/>
    <x v="19"/>
    <x v="0"/>
    <x v="5"/>
    <x v="2"/>
  </r>
  <r>
    <s v="TX500898"/>
    <x v="9"/>
    <x v="1"/>
    <n v="70.7"/>
    <x v="780"/>
    <x v="36"/>
    <d v="2025-02-08T00:00:00"/>
    <s v="F"/>
    <x v="2"/>
    <x v="0"/>
    <x v="0"/>
    <x v="19"/>
    <x v="1"/>
    <x v="5"/>
    <x v="2"/>
  </r>
  <r>
    <s v="TX500899"/>
    <x v="12"/>
    <x v="1"/>
    <n v="43.2"/>
    <x v="781"/>
    <x v="36"/>
    <d v="2025-02-07T00:00:00"/>
    <s v="F"/>
    <x v="2"/>
    <x v="0"/>
    <x v="0"/>
    <x v="31"/>
    <x v="3"/>
    <x v="5"/>
    <x v="2"/>
  </r>
  <r>
    <s v="TX500900"/>
    <x v="9"/>
    <x v="11"/>
    <n v="70"/>
    <x v="782"/>
    <x v="36"/>
    <d v="2025-02-07T00:00:00"/>
    <s v=""/>
    <x v="1"/>
    <x v="0"/>
    <x v="0"/>
    <x v="52"/>
    <x v="3"/>
    <x v="5"/>
    <x v="0"/>
  </r>
  <r>
    <s v="TX500901"/>
    <x v="0"/>
    <x v="1"/>
    <n v="20.5"/>
    <x v="783"/>
    <x v="36"/>
    <d v="2025-02-08T00:00:00"/>
    <s v="F"/>
    <x v="2"/>
    <x v="4"/>
    <x v="0"/>
    <x v="13"/>
    <x v="1"/>
    <x v="5"/>
    <x v="2"/>
  </r>
  <r>
    <s v="TX500902"/>
    <x v="0"/>
    <x v="12"/>
    <n v="29.1"/>
    <x v="565"/>
    <x v="36"/>
    <d v="2025-02-07T00:00:00"/>
    <s v="F"/>
    <x v="3"/>
    <x v="0"/>
    <x v="0"/>
    <x v="28"/>
    <x v="3"/>
    <x v="5"/>
    <x v="2"/>
  </r>
  <r>
    <s v="TX500903"/>
    <x v="6"/>
    <x v="11"/>
    <n v="53.6"/>
    <x v="784"/>
    <x v="36"/>
    <d v="2025-02-07T00:00:00"/>
    <s v="M"/>
    <x v="2"/>
    <x v="1"/>
    <x v="0"/>
    <x v="3"/>
    <x v="3"/>
    <x v="5"/>
    <x v="1"/>
  </r>
  <r>
    <s v="TX500904"/>
    <x v="6"/>
    <x v="9"/>
    <n v="72.3"/>
    <x v="785"/>
    <x v="36"/>
    <d v="2025-02-08T00:00:00"/>
    <s v="F"/>
    <x v="1"/>
    <x v="0"/>
    <x v="0"/>
    <x v="3"/>
    <x v="1"/>
    <x v="5"/>
    <x v="2"/>
  </r>
  <r>
    <s v="TX500905"/>
    <x v="13"/>
    <x v="12"/>
    <n v="22.6"/>
    <x v="786"/>
    <x v="36"/>
    <d v="2025-02-09T00:00:00"/>
    <s v="O"/>
    <x v="0"/>
    <x v="1"/>
    <x v="0"/>
    <x v="3"/>
    <x v="2"/>
    <x v="5"/>
    <x v="3"/>
  </r>
  <r>
    <s v="TX500906"/>
    <x v="9"/>
    <x v="1"/>
    <n v="44.2"/>
    <x v="787"/>
    <x v="36"/>
    <d v="2025-02-10T00:00:00"/>
    <s v=""/>
    <x v="2"/>
    <x v="4"/>
    <x v="0"/>
    <x v="3"/>
    <x v="5"/>
    <x v="5"/>
    <x v="0"/>
  </r>
  <r>
    <s v="TX500907"/>
    <x v="9"/>
    <x v="2"/>
    <n v="94.1"/>
    <x v="788"/>
    <x v="36"/>
    <d v="2025-02-19T00:00:00"/>
    <s v="F"/>
    <x v="2"/>
    <x v="2"/>
    <x v="0"/>
    <x v="3"/>
    <x v="10"/>
    <x v="5"/>
    <x v="2"/>
  </r>
  <r>
    <s v="TX500908"/>
    <x v="8"/>
    <x v="2"/>
    <n v="17.899999999999999"/>
    <x v="789"/>
    <x v="36"/>
    <d v="2025-02-08T00:00:00"/>
    <s v="M"/>
    <x v="1"/>
    <x v="1"/>
    <x v="0"/>
    <x v="3"/>
    <x v="1"/>
    <x v="5"/>
    <x v="1"/>
  </r>
  <r>
    <s v="TX500909"/>
    <x v="12"/>
    <x v="3"/>
    <n v="52.7"/>
    <x v="790"/>
    <x v="36"/>
    <d v="2025-02-07T00:00:00"/>
    <s v="M"/>
    <x v="1"/>
    <x v="1"/>
    <x v="0"/>
    <x v="3"/>
    <x v="3"/>
    <x v="5"/>
    <x v="1"/>
  </r>
  <r>
    <s v="TX500910"/>
    <x v="8"/>
    <x v="0"/>
    <n v="36.799999999999997"/>
    <x v="791"/>
    <x v="36"/>
    <d v="2025-02-06T00:00:00"/>
    <s v=""/>
    <x v="0"/>
    <x v="2"/>
    <x v="0"/>
    <x v="3"/>
    <x v="7"/>
    <x v="5"/>
    <x v="0"/>
  </r>
  <r>
    <s v="TX500911"/>
    <x v="4"/>
    <x v="0"/>
    <n v="52.5"/>
    <x v="413"/>
    <x v="36"/>
    <d v="2025-02-07T00:00:00"/>
    <s v="M"/>
    <x v="0"/>
    <x v="1"/>
    <x v="0"/>
    <x v="6"/>
    <x v="3"/>
    <x v="5"/>
    <x v="1"/>
  </r>
  <r>
    <s v="TX500912"/>
    <x v="2"/>
    <x v="1"/>
    <n v="133.80000000000001"/>
    <x v="792"/>
    <x v="36"/>
    <d v="2025-02-08T00:00:00"/>
    <s v="M"/>
    <x v="0"/>
    <x v="1"/>
    <x v="0"/>
    <x v="7"/>
    <x v="1"/>
    <x v="5"/>
    <x v="1"/>
  </r>
  <r>
    <s v="TX500913"/>
    <x v="6"/>
    <x v="1"/>
    <n v="53.2"/>
    <x v="793"/>
    <x v="36"/>
    <d v="2025-02-08T00:00:00"/>
    <s v="M"/>
    <x v="0"/>
    <x v="0"/>
    <x v="0"/>
    <x v="17"/>
    <x v="1"/>
    <x v="5"/>
    <x v="1"/>
  </r>
  <r>
    <s v="TX500914"/>
    <x v="14"/>
    <x v="13"/>
    <n v="18.7"/>
    <x v="794"/>
    <x v="36"/>
    <d v="2025-02-08T00:00:00"/>
    <s v=""/>
    <x v="0"/>
    <x v="1"/>
    <x v="0"/>
    <x v="10"/>
    <x v="1"/>
    <x v="5"/>
    <x v="0"/>
  </r>
  <r>
    <s v="TX500915"/>
    <x v="6"/>
    <x v="12"/>
    <n v="108.8"/>
    <x v="795"/>
    <x v="36"/>
    <d v="2025-02-07T00:00:00"/>
    <s v="F"/>
    <x v="3"/>
    <x v="2"/>
    <x v="0"/>
    <x v="11"/>
    <x v="3"/>
    <x v="5"/>
    <x v="2"/>
  </r>
  <r>
    <s v="TX500916"/>
    <x v="15"/>
    <x v="9"/>
    <n v="38.5"/>
    <x v="796"/>
    <x v="36"/>
    <d v="2025-02-10T00:00:00"/>
    <s v="F"/>
    <x v="0"/>
    <x v="1"/>
    <x v="0"/>
    <x v="14"/>
    <x v="5"/>
    <x v="5"/>
    <x v="2"/>
  </r>
  <r>
    <s v="TX500917"/>
    <x v="10"/>
    <x v="7"/>
    <n v="46.5"/>
    <x v="797"/>
    <x v="36"/>
    <d v="2025-02-08T00:00:00"/>
    <s v="M"/>
    <x v="2"/>
    <x v="1"/>
    <x v="0"/>
    <x v="2"/>
    <x v="1"/>
    <x v="5"/>
    <x v="1"/>
  </r>
  <r>
    <s v="TX500918"/>
    <x v="2"/>
    <x v="2"/>
    <n v="75.8"/>
    <x v="129"/>
    <x v="36"/>
    <d v="2025-02-10T00:00:00"/>
    <s v="F"/>
    <x v="1"/>
    <x v="4"/>
    <x v="0"/>
    <x v="44"/>
    <x v="5"/>
    <x v="5"/>
    <x v="2"/>
  </r>
  <r>
    <s v="TX500919"/>
    <x v="8"/>
    <x v="0"/>
    <n v="20.9"/>
    <x v="798"/>
    <x v="36"/>
    <d v="2025-02-10T00:00:00"/>
    <s v="M"/>
    <x v="0"/>
    <x v="0"/>
    <x v="0"/>
    <x v="22"/>
    <x v="5"/>
    <x v="5"/>
    <x v="1"/>
  </r>
  <r>
    <s v="TX500920"/>
    <x v="18"/>
    <x v="2"/>
    <n v="47.4"/>
    <x v="60"/>
    <x v="36"/>
    <d v="2025-02-09T00:00:00"/>
    <s v="F"/>
    <x v="0"/>
    <x v="0"/>
    <x v="0"/>
    <x v="3"/>
    <x v="2"/>
    <x v="5"/>
    <x v="2"/>
  </r>
  <r>
    <s v="TX500921"/>
    <x v="9"/>
    <x v="1"/>
    <n v="53.8"/>
    <x v="799"/>
    <x v="36"/>
    <d v="2025-02-07T00:00:00"/>
    <s v=""/>
    <x v="0"/>
    <x v="1"/>
    <x v="0"/>
    <x v="3"/>
    <x v="3"/>
    <x v="5"/>
    <x v="0"/>
  </r>
  <r>
    <s v="TX500922"/>
    <x v="8"/>
    <x v="2"/>
    <n v="24.6"/>
    <x v="800"/>
    <x v="36"/>
    <d v="2025-02-08T00:00:00"/>
    <s v="O"/>
    <x v="1"/>
    <x v="2"/>
    <x v="0"/>
    <x v="3"/>
    <x v="1"/>
    <x v="5"/>
    <x v="3"/>
  </r>
  <r>
    <s v="TX500923"/>
    <x v="9"/>
    <x v="2"/>
    <n v="70.900000000000006"/>
    <x v="801"/>
    <x v="36"/>
    <d v="2025-02-11T00:00:00"/>
    <s v="F"/>
    <x v="2"/>
    <x v="2"/>
    <x v="0"/>
    <x v="3"/>
    <x v="0"/>
    <x v="5"/>
    <x v="2"/>
  </r>
  <r>
    <s v="TX500924"/>
    <x v="17"/>
    <x v="2"/>
    <n v="31.9"/>
    <x v="802"/>
    <x v="36"/>
    <d v="2025-02-08T00:00:00"/>
    <s v="F"/>
    <x v="2"/>
    <x v="2"/>
    <x v="0"/>
    <x v="3"/>
    <x v="1"/>
    <x v="5"/>
    <x v="2"/>
  </r>
  <r>
    <s v="TX500925"/>
    <x v="0"/>
    <x v="1"/>
    <n v="20.399999999999999"/>
    <x v="803"/>
    <x v="36"/>
    <d v="2025-02-10T00:00:00"/>
    <s v="M"/>
    <x v="3"/>
    <x v="2"/>
    <x v="0"/>
    <x v="3"/>
    <x v="5"/>
    <x v="5"/>
    <x v="1"/>
  </r>
  <r>
    <s v="TX500926"/>
    <x v="8"/>
    <x v="1"/>
    <n v="18.600000000000001"/>
    <x v="804"/>
    <x v="36"/>
    <d v="2025-02-08T00:00:00"/>
    <s v=""/>
    <x v="0"/>
    <x v="1"/>
    <x v="0"/>
    <x v="3"/>
    <x v="1"/>
    <x v="5"/>
    <x v="0"/>
  </r>
  <r>
    <s v="TX500927"/>
    <x v="4"/>
    <x v="9"/>
    <n v="48.3"/>
    <x v="805"/>
    <x v="36"/>
    <d v="2025-02-08T00:00:00"/>
    <s v="F"/>
    <x v="1"/>
    <x v="0"/>
    <x v="0"/>
    <x v="3"/>
    <x v="1"/>
    <x v="5"/>
    <x v="2"/>
  </r>
  <r>
    <s v="TX500928"/>
    <x v="0"/>
    <x v="12"/>
    <n v="27.7"/>
    <x v="806"/>
    <x v="36"/>
    <d v="2025-02-08T00:00:00"/>
    <s v="F"/>
    <x v="0"/>
    <x v="0"/>
    <x v="0"/>
    <x v="3"/>
    <x v="1"/>
    <x v="5"/>
    <x v="2"/>
  </r>
  <r>
    <s v="TX500929"/>
    <x v="4"/>
    <x v="9"/>
    <n v="22.5"/>
    <x v="158"/>
    <x v="36"/>
    <d v="2025-02-08T00:00:00"/>
    <s v="F"/>
    <x v="4"/>
    <x v="2"/>
    <x v="0"/>
    <x v="3"/>
    <x v="1"/>
    <x v="5"/>
    <x v="2"/>
  </r>
  <r>
    <s v="TX500930"/>
    <x v="17"/>
    <x v="9"/>
    <n v="21.6"/>
    <x v="807"/>
    <x v="36"/>
    <d v="2025-02-14T00:00:00"/>
    <s v="F"/>
    <x v="0"/>
    <x v="1"/>
    <x v="0"/>
    <x v="3"/>
    <x v="9"/>
    <x v="5"/>
    <x v="2"/>
  </r>
  <r>
    <s v="TX500931"/>
    <x v="10"/>
    <x v="3"/>
    <n v="26.3"/>
    <x v="808"/>
    <x v="36"/>
    <d v="2025-02-06T00:00:00"/>
    <s v="F"/>
    <x v="2"/>
    <x v="1"/>
    <x v="0"/>
    <x v="3"/>
    <x v="7"/>
    <x v="5"/>
    <x v="2"/>
  </r>
  <r>
    <s v="TX500932"/>
    <x v="6"/>
    <x v="3"/>
    <n v="103"/>
    <x v="809"/>
    <x v="37"/>
    <d v="2025-02-08T00:00:00"/>
    <s v="M"/>
    <x v="0"/>
    <x v="2"/>
    <x v="0"/>
    <x v="6"/>
    <x v="3"/>
    <x v="5"/>
    <x v="1"/>
  </r>
  <r>
    <s v="TX500933"/>
    <x v="5"/>
    <x v="20"/>
    <n v="46.6"/>
    <x v="810"/>
    <x v="37"/>
    <d v="2025-02-08T00:00:00"/>
    <s v="F"/>
    <x v="0"/>
    <x v="1"/>
    <x v="0"/>
    <x v="6"/>
    <x v="3"/>
    <x v="5"/>
    <x v="2"/>
  </r>
  <r>
    <s v="TX500934"/>
    <x v="0"/>
    <x v="9"/>
    <n v="32.200000000000003"/>
    <x v="811"/>
    <x v="37"/>
    <d v="2025-02-10T00:00:00"/>
    <s v="F"/>
    <x v="0"/>
    <x v="2"/>
    <x v="0"/>
    <x v="36"/>
    <x v="2"/>
    <x v="5"/>
    <x v="2"/>
  </r>
  <r>
    <s v="TX500935"/>
    <x v="8"/>
    <x v="2"/>
    <n v="22"/>
    <x v="812"/>
    <x v="37"/>
    <d v="2025-02-14T00:00:00"/>
    <s v="M"/>
    <x v="1"/>
    <x v="0"/>
    <x v="0"/>
    <x v="7"/>
    <x v="6"/>
    <x v="5"/>
    <x v="1"/>
  </r>
  <r>
    <s v="TX500936"/>
    <x v="0"/>
    <x v="1"/>
    <n v="25.2"/>
    <x v="813"/>
    <x v="37"/>
    <d v="2025-02-11T00:00:00"/>
    <s v="F"/>
    <x v="0"/>
    <x v="0"/>
    <x v="0"/>
    <x v="7"/>
    <x v="5"/>
    <x v="5"/>
    <x v="2"/>
  </r>
  <r>
    <s v="TX500937"/>
    <x v="1"/>
    <x v="13"/>
    <n v="68.7"/>
    <x v="814"/>
    <x v="37"/>
    <d v="2025-02-09T00:00:00"/>
    <s v="M"/>
    <x v="4"/>
    <x v="0"/>
    <x v="0"/>
    <x v="8"/>
    <x v="1"/>
    <x v="5"/>
    <x v="1"/>
  </r>
  <r>
    <s v="TX500938"/>
    <x v="0"/>
    <x v="2"/>
    <n v="22.2"/>
    <x v="815"/>
    <x v="37"/>
    <d v="2025-02-10T00:00:00"/>
    <s v="M"/>
    <x v="2"/>
    <x v="2"/>
    <x v="0"/>
    <x v="8"/>
    <x v="2"/>
    <x v="5"/>
    <x v="1"/>
  </r>
  <r>
    <s v="TX500939"/>
    <x v="1"/>
    <x v="3"/>
    <n v="36"/>
    <x v="816"/>
    <x v="37"/>
    <d v="2025-02-08T00:00:00"/>
    <s v="F"/>
    <x v="1"/>
    <x v="0"/>
    <x v="0"/>
    <x v="8"/>
    <x v="3"/>
    <x v="5"/>
    <x v="2"/>
  </r>
  <r>
    <s v="TX500940"/>
    <x v="18"/>
    <x v="0"/>
    <n v="50.6"/>
    <x v="578"/>
    <x v="37"/>
    <d v="2025-02-09T00:00:00"/>
    <s v="F"/>
    <x v="0"/>
    <x v="1"/>
    <x v="0"/>
    <x v="8"/>
    <x v="1"/>
    <x v="5"/>
    <x v="2"/>
  </r>
  <r>
    <s v="TX500941"/>
    <x v="15"/>
    <x v="1"/>
    <n v="44.9"/>
    <x v="817"/>
    <x v="37"/>
    <d v="2025-02-09T00:00:00"/>
    <s v="M"/>
    <x v="0"/>
    <x v="1"/>
    <x v="0"/>
    <x v="8"/>
    <x v="1"/>
    <x v="5"/>
    <x v="1"/>
  </r>
  <r>
    <s v="TX500942"/>
    <x v="6"/>
    <x v="2"/>
    <n v="71.599999999999994"/>
    <x v="818"/>
    <x v="37"/>
    <d v="2025-02-11T00:00:00"/>
    <s v="M"/>
    <x v="1"/>
    <x v="2"/>
    <x v="0"/>
    <x v="10"/>
    <x v="5"/>
    <x v="5"/>
    <x v="1"/>
  </r>
  <r>
    <s v="TX500943"/>
    <x v="6"/>
    <x v="13"/>
    <n v="51.5"/>
    <x v="15"/>
    <x v="37"/>
    <d v="2025-02-09T00:00:00"/>
    <s v=""/>
    <x v="4"/>
    <x v="0"/>
    <x v="0"/>
    <x v="11"/>
    <x v="1"/>
    <x v="5"/>
    <x v="0"/>
  </r>
  <r>
    <s v="TX500944"/>
    <x v="7"/>
    <x v="9"/>
    <n v="55.5"/>
    <x v="819"/>
    <x v="37"/>
    <d v="2025-02-08T00:00:00"/>
    <s v="M"/>
    <x v="1"/>
    <x v="1"/>
    <x v="0"/>
    <x v="11"/>
    <x v="3"/>
    <x v="5"/>
    <x v="1"/>
  </r>
  <r>
    <s v="TX500945"/>
    <x v="6"/>
    <x v="0"/>
    <n v="51.7"/>
    <x v="733"/>
    <x v="37"/>
    <d v="2025-02-21T00:00:00"/>
    <s v="M"/>
    <x v="2"/>
    <x v="0"/>
    <x v="0"/>
    <x v="19"/>
    <x v="12"/>
    <x v="5"/>
    <x v="1"/>
  </r>
  <r>
    <s v="TX500946"/>
    <x v="8"/>
    <x v="38"/>
    <n v="45.5"/>
    <x v="820"/>
    <x v="37"/>
    <d v="2025-02-08T00:00:00"/>
    <s v="F"/>
    <x v="3"/>
    <x v="2"/>
    <x v="0"/>
    <x v="19"/>
    <x v="3"/>
    <x v="5"/>
    <x v="2"/>
  </r>
  <r>
    <s v="TX500947"/>
    <x v="8"/>
    <x v="1"/>
    <n v="33.799999999999997"/>
    <x v="821"/>
    <x v="37"/>
    <d v="2025-02-13T00:00:00"/>
    <s v="F"/>
    <x v="3"/>
    <x v="0"/>
    <x v="0"/>
    <x v="20"/>
    <x v="4"/>
    <x v="5"/>
    <x v="2"/>
  </r>
  <r>
    <s v="TX500948"/>
    <x v="3"/>
    <x v="2"/>
    <n v="76.5"/>
    <x v="822"/>
    <x v="37"/>
    <d v="2025-02-08T00:00:00"/>
    <s v="F"/>
    <x v="0"/>
    <x v="1"/>
    <x v="0"/>
    <x v="21"/>
    <x v="3"/>
    <x v="5"/>
    <x v="2"/>
  </r>
  <r>
    <s v="TX500949"/>
    <x v="9"/>
    <x v="2"/>
    <n v="42.6"/>
    <x v="823"/>
    <x v="37"/>
    <d v="2025-02-13T00:00:00"/>
    <s v="F"/>
    <x v="2"/>
    <x v="2"/>
    <x v="0"/>
    <x v="2"/>
    <x v="4"/>
    <x v="5"/>
    <x v="2"/>
  </r>
  <r>
    <s v="TX500950"/>
    <x v="6"/>
    <x v="2"/>
    <n v="44.1"/>
    <x v="431"/>
    <x v="37"/>
    <d v="2025-02-09T00:00:00"/>
    <s v="F"/>
    <x v="1"/>
    <x v="1"/>
    <x v="0"/>
    <x v="22"/>
    <x v="1"/>
    <x v="5"/>
    <x v="2"/>
  </r>
  <r>
    <s v="TX500951"/>
    <x v="8"/>
    <x v="1"/>
    <n v="40.9"/>
    <x v="673"/>
    <x v="37"/>
    <d v="2025-02-11T00:00:00"/>
    <s v="M"/>
    <x v="0"/>
    <x v="0"/>
    <x v="0"/>
    <x v="3"/>
    <x v="5"/>
    <x v="5"/>
    <x v="1"/>
  </r>
  <r>
    <s v="TX500952"/>
    <x v="9"/>
    <x v="2"/>
    <n v="49.1"/>
    <x v="824"/>
    <x v="37"/>
    <d v="2025-02-11T00:00:00"/>
    <s v="F"/>
    <x v="3"/>
    <x v="1"/>
    <x v="0"/>
    <x v="3"/>
    <x v="5"/>
    <x v="5"/>
    <x v="2"/>
  </r>
  <r>
    <s v="TX500953"/>
    <x v="18"/>
    <x v="0"/>
    <n v="85.3"/>
    <x v="825"/>
    <x v="37"/>
    <d v="2025-02-11T00:00:00"/>
    <s v="M"/>
    <x v="1"/>
    <x v="1"/>
    <x v="0"/>
    <x v="3"/>
    <x v="5"/>
    <x v="5"/>
    <x v="1"/>
  </r>
  <r>
    <s v="TX500954"/>
    <x v="6"/>
    <x v="12"/>
    <n v="43.1"/>
    <x v="826"/>
    <x v="38"/>
    <d v="2025-02-11T00:00:00"/>
    <s v="M"/>
    <x v="0"/>
    <x v="0"/>
    <x v="0"/>
    <x v="3"/>
    <x v="2"/>
    <x v="5"/>
    <x v="1"/>
  </r>
  <r>
    <s v="TX500955"/>
    <x v="4"/>
    <x v="12"/>
    <n v="46.2"/>
    <x v="827"/>
    <x v="38"/>
    <d v="2025-02-09T00:00:00"/>
    <s v="M"/>
    <x v="2"/>
    <x v="0"/>
    <x v="0"/>
    <x v="3"/>
    <x v="3"/>
    <x v="5"/>
    <x v="1"/>
  </r>
  <r>
    <s v="TX500956"/>
    <x v="1"/>
    <x v="0"/>
    <n v="74.400000000000006"/>
    <x v="610"/>
    <x v="38"/>
    <d v="2025-02-10T00:00:00"/>
    <s v="M"/>
    <x v="4"/>
    <x v="2"/>
    <x v="0"/>
    <x v="3"/>
    <x v="1"/>
    <x v="5"/>
    <x v="1"/>
  </r>
  <r>
    <s v="TX500957"/>
    <x v="17"/>
    <x v="1"/>
    <n v="51.2"/>
    <x v="298"/>
    <x v="38"/>
    <d v="2025-02-09T00:00:00"/>
    <s v="M"/>
    <x v="1"/>
    <x v="0"/>
    <x v="0"/>
    <x v="3"/>
    <x v="3"/>
    <x v="5"/>
    <x v="1"/>
  </r>
  <r>
    <s v="TX500958"/>
    <x v="14"/>
    <x v="12"/>
    <n v="11.8"/>
    <x v="828"/>
    <x v="38"/>
    <d v="2025-02-08T00:00:00"/>
    <s v="M"/>
    <x v="2"/>
    <x v="0"/>
    <x v="0"/>
    <x v="3"/>
    <x v="7"/>
    <x v="5"/>
    <x v="1"/>
  </r>
  <r>
    <s v="TX500959"/>
    <x v="10"/>
    <x v="6"/>
    <n v="40.799999999999997"/>
    <x v="829"/>
    <x v="38"/>
    <d v="2025-02-09T00:00:00"/>
    <s v="F"/>
    <x v="3"/>
    <x v="2"/>
    <x v="0"/>
    <x v="3"/>
    <x v="3"/>
    <x v="5"/>
    <x v="2"/>
  </r>
  <r>
    <s v="TX500960"/>
    <x v="8"/>
    <x v="0"/>
    <n v="24.7"/>
    <x v="830"/>
    <x v="38"/>
    <d v="2025-02-10T00:00:00"/>
    <s v="F"/>
    <x v="2"/>
    <x v="1"/>
    <x v="0"/>
    <x v="3"/>
    <x v="1"/>
    <x v="5"/>
    <x v="2"/>
  </r>
  <r>
    <s v="TX500961"/>
    <x v="8"/>
    <x v="3"/>
    <n v="22.1"/>
    <x v="831"/>
    <x v="38"/>
    <d v="2025-02-08T00:00:00"/>
    <s v="F"/>
    <x v="2"/>
    <x v="4"/>
    <x v="0"/>
    <x v="3"/>
    <x v="7"/>
    <x v="5"/>
    <x v="2"/>
  </r>
  <r>
    <s v="TX500962"/>
    <x v="8"/>
    <x v="0"/>
    <n v="18.100000000000001"/>
    <x v="832"/>
    <x v="38"/>
    <d v="2025-02-12T00:00:00"/>
    <s v="M"/>
    <x v="3"/>
    <x v="2"/>
    <x v="0"/>
    <x v="3"/>
    <x v="5"/>
    <x v="5"/>
    <x v="1"/>
  </r>
  <r>
    <s v="TX500963"/>
    <x v="17"/>
    <x v="1"/>
    <n v="58.8"/>
    <x v="833"/>
    <x v="38"/>
    <d v="2025-02-11T00:00:00"/>
    <s v="F"/>
    <x v="0"/>
    <x v="0"/>
    <x v="0"/>
    <x v="25"/>
    <x v="2"/>
    <x v="5"/>
    <x v="2"/>
  </r>
  <r>
    <s v="TX500964"/>
    <x v="18"/>
    <x v="1"/>
    <n v="30.8"/>
    <x v="834"/>
    <x v="38"/>
    <d v="2025-02-09T00:00:00"/>
    <s v="F"/>
    <x v="0"/>
    <x v="0"/>
    <x v="0"/>
    <x v="6"/>
    <x v="3"/>
    <x v="5"/>
    <x v="2"/>
  </r>
  <r>
    <s v="TX500965"/>
    <x v="0"/>
    <x v="1"/>
    <n v="12"/>
    <x v="835"/>
    <x v="38"/>
    <d v="2025-02-12T00:00:00"/>
    <s v="F"/>
    <x v="0"/>
    <x v="0"/>
    <x v="0"/>
    <x v="6"/>
    <x v="5"/>
    <x v="5"/>
    <x v="2"/>
  </r>
  <r>
    <s v="TX500966"/>
    <x v="0"/>
    <x v="12"/>
    <n v="13.6"/>
    <x v="630"/>
    <x v="38"/>
    <d v="2025-02-11T00:00:00"/>
    <s v="M"/>
    <x v="2"/>
    <x v="0"/>
    <x v="0"/>
    <x v="6"/>
    <x v="2"/>
    <x v="5"/>
    <x v="1"/>
  </r>
  <r>
    <s v="TX500967"/>
    <x v="0"/>
    <x v="0"/>
    <n v="17.899999999999999"/>
    <x v="836"/>
    <x v="38"/>
    <d v="2025-02-09T00:00:00"/>
    <s v="M"/>
    <x v="3"/>
    <x v="0"/>
    <x v="0"/>
    <x v="6"/>
    <x v="3"/>
    <x v="5"/>
    <x v="1"/>
  </r>
  <r>
    <s v="TX500968"/>
    <x v="9"/>
    <x v="1"/>
    <n v="38.6"/>
    <x v="837"/>
    <x v="38"/>
    <d v="2025-02-12T00:00:00"/>
    <s v="F"/>
    <x v="4"/>
    <x v="0"/>
    <x v="0"/>
    <x v="7"/>
    <x v="5"/>
    <x v="5"/>
    <x v="2"/>
  </r>
  <r>
    <s v="TX500969"/>
    <x v="5"/>
    <x v="9"/>
    <n v="32.700000000000003"/>
    <x v="838"/>
    <x v="38"/>
    <d v="2025-02-09T00:00:00"/>
    <s v="M"/>
    <x v="2"/>
    <x v="2"/>
    <x v="0"/>
    <x v="8"/>
    <x v="3"/>
    <x v="5"/>
    <x v="1"/>
  </r>
  <r>
    <s v="TX500970"/>
    <x v="3"/>
    <x v="1"/>
    <n v="111.4"/>
    <x v="839"/>
    <x v="38"/>
    <d v="2025-02-09T00:00:00"/>
    <s v="F"/>
    <x v="1"/>
    <x v="0"/>
    <x v="0"/>
    <x v="8"/>
    <x v="3"/>
    <x v="5"/>
    <x v="2"/>
  </r>
  <r>
    <s v="TX500971"/>
    <x v="2"/>
    <x v="13"/>
    <n v="80.3"/>
    <x v="840"/>
    <x v="38"/>
    <d v="2025-02-10T00:00:00"/>
    <s v="F"/>
    <x v="1"/>
    <x v="0"/>
    <x v="0"/>
    <x v="8"/>
    <x v="1"/>
    <x v="5"/>
    <x v="2"/>
  </r>
  <r>
    <s v="TX500972"/>
    <x v="6"/>
    <x v="1"/>
    <n v="58.9"/>
    <x v="841"/>
    <x v="38"/>
    <d v="2025-02-09T00:00:00"/>
    <s v="M"/>
    <x v="1"/>
    <x v="0"/>
    <x v="0"/>
    <x v="8"/>
    <x v="3"/>
    <x v="5"/>
    <x v="1"/>
  </r>
  <r>
    <s v="TX500973"/>
    <x v="6"/>
    <x v="2"/>
    <n v="51.9"/>
    <x v="515"/>
    <x v="38"/>
    <d v="2025-02-10T00:00:00"/>
    <s v="F"/>
    <x v="1"/>
    <x v="4"/>
    <x v="0"/>
    <x v="8"/>
    <x v="1"/>
    <x v="5"/>
    <x v="2"/>
  </r>
  <r>
    <s v="TX500974"/>
    <x v="2"/>
    <x v="2"/>
    <n v="50.3"/>
    <x v="842"/>
    <x v="38"/>
    <d v="2025-02-09T00:00:00"/>
    <s v="M"/>
    <x v="2"/>
    <x v="0"/>
    <x v="0"/>
    <x v="17"/>
    <x v="3"/>
    <x v="5"/>
    <x v="1"/>
  </r>
  <r>
    <s v="TX500975"/>
    <x v="11"/>
    <x v="13"/>
    <n v="45"/>
    <x v="843"/>
    <x v="38"/>
    <d v="2025-02-14T00:00:00"/>
    <s v="F"/>
    <x v="3"/>
    <x v="0"/>
    <x v="0"/>
    <x v="9"/>
    <x v="4"/>
    <x v="5"/>
    <x v="2"/>
  </r>
  <r>
    <s v="TX500976"/>
    <x v="10"/>
    <x v="13"/>
    <n v="44.7"/>
    <x v="844"/>
    <x v="38"/>
    <d v="2025-02-10T00:00:00"/>
    <s v="F"/>
    <x v="2"/>
    <x v="0"/>
    <x v="0"/>
    <x v="11"/>
    <x v="1"/>
    <x v="5"/>
    <x v="2"/>
  </r>
  <r>
    <s v="TX500977"/>
    <x v="18"/>
    <x v="20"/>
    <n v="33"/>
    <x v="845"/>
    <x v="38"/>
    <d v="2025-02-09T00:00:00"/>
    <s v="F"/>
    <x v="2"/>
    <x v="0"/>
    <x v="0"/>
    <x v="11"/>
    <x v="3"/>
    <x v="5"/>
    <x v="2"/>
  </r>
  <r>
    <s v="TX500978"/>
    <x v="1"/>
    <x v="9"/>
    <n v="44.9"/>
    <x v="846"/>
    <x v="38"/>
    <d v="2025-02-11T00:00:00"/>
    <s v="F"/>
    <x v="2"/>
    <x v="2"/>
    <x v="0"/>
    <x v="18"/>
    <x v="2"/>
    <x v="5"/>
    <x v="2"/>
  </r>
  <r>
    <s v="TX500979"/>
    <x v="10"/>
    <x v="1"/>
    <n v="34.6"/>
    <x v="564"/>
    <x v="38"/>
    <d v="2025-02-12T00:00:00"/>
    <s v="F"/>
    <x v="0"/>
    <x v="1"/>
    <x v="0"/>
    <x v="19"/>
    <x v="5"/>
    <x v="5"/>
    <x v="2"/>
  </r>
  <r>
    <s v="TX500980"/>
    <x v="7"/>
    <x v="3"/>
    <n v="47.1"/>
    <x v="847"/>
    <x v="38"/>
    <d v="2025-02-13T00:00:00"/>
    <s v="F"/>
    <x v="0"/>
    <x v="0"/>
    <x v="0"/>
    <x v="13"/>
    <x v="0"/>
    <x v="5"/>
    <x v="2"/>
  </r>
  <r>
    <s v="TX500981"/>
    <x v="4"/>
    <x v="9"/>
    <n v="26.1"/>
    <x v="848"/>
    <x v="38"/>
    <d v="2025-02-13T00:00:00"/>
    <s v="M"/>
    <x v="0"/>
    <x v="2"/>
    <x v="0"/>
    <x v="21"/>
    <x v="0"/>
    <x v="5"/>
    <x v="1"/>
  </r>
  <r>
    <s v="TX500982"/>
    <x v="12"/>
    <x v="9"/>
    <n v="66.8"/>
    <x v="849"/>
    <x v="38"/>
    <d v="2025-02-11T00:00:00"/>
    <s v="F"/>
    <x v="0"/>
    <x v="0"/>
    <x v="0"/>
    <x v="21"/>
    <x v="2"/>
    <x v="5"/>
    <x v="2"/>
  </r>
  <r>
    <s v="TX500983"/>
    <x v="2"/>
    <x v="1"/>
    <n v="167.9"/>
    <x v="850"/>
    <x v="38"/>
    <d v="2025-02-09T00:00:00"/>
    <s v="F"/>
    <x v="3"/>
    <x v="2"/>
    <x v="0"/>
    <x v="21"/>
    <x v="3"/>
    <x v="5"/>
    <x v="2"/>
  </r>
  <r>
    <s v="TX500984"/>
    <x v="10"/>
    <x v="11"/>
    <n v="34.6"/>
    <x v="851"/>
    <x v="38"/>
    <d v="2025-02-09T00:00:00"/>
    <s v="F"/>
    <x v="2"/>
    <x v="1"/>
    <x v="0"/>
    <x v="21"/>
    <x v="3"/>
    <x v="5"/>
    <x v="2"/>
  </r>
  <r>
    <s v="TX500985"/>
    <x v="8"/>
    <x v="2"/>
    <n v="35.1"/>
    <x v="852"/>
    <x v="39"/>
    <d v="2025-02-13T00:00:00"/>
    <s v="M"/>
    <x v="4"/>
    <x v="2"/>
    <x v="0"/>
    <x v="1"/>
    <x v="5"/>
    <x v="6"/>
    <x v="1"/>
  </r>
  <r>
    <s v="TX500986"/>
    <x v="6"/>
    <x v="12"/>
    <n v="104.5"/>
    <x v="378"/>
    <x v="39"/>
    <d v="2025-02-10T00:00:00"/>
    <s v="M"/>
    <x v="1"/>
    <x v="1"/>
    <x v="0"/>
    <x v="1"/>
    <x v="3"/>
    <x v="6"/>
    <x v="1"/>
  </r>
  <r>
    <s v="TX500987"/>
    <x v="8"/>
    <x v="0"/>
    <n v="37.9"/>
    <x v="853"/>
    <x v="39"/>
    <d v="2025-02-11T00:00:00"/>
    <s v=""/>
    <x v="1"/>
    <x v="2"/>
    <x v="0"/>
    <x v="2"/>
    <x v="1"/>
    <x v="6"/>
    <x v="0"/>
  </r>
  <r>
    <s v="TX500988"/>
    <x v="4"/>
    <x v="2"/>
    <n v="25.5"/>
    <x v="514"/>
    <x v="39"/>
    <d v="2025-02-12T00:00:00"/>
    <s v="M"/>
    <x v="3"/>
    <x v="0"/>
    <x v="0"/>
    <x v="2"/>
    <x v="2"/>
    <x v="6"/>
    <x v="1"/>
  </r>
  <r>
    <s v="TX500989"/>
    <x v="0"/>
    <x v="2"/>
    <n v="32"/>
    <x v="854"/>
    <x v="39"/>
    <d v="2025-02-13T00:00:00"/>
    <s v="F"/>
    <x v="1"/>
    <x v="0"/>
    <x v="0"/>
    <x v="22"/>
    <x v="5"/>
    <x v="6"/>
    <x v="2"/>
  </r>
  <r>
    <s v="TX500990"/>
    <x v="1"/>
    <x v="0"/>
    <n v="47.1"/>
    <x v="392"/>
    <x v="39"/>
    <d v="2025-02-10T00:00:00"/>
    <s v="F"/>
    <x v="0"/>
    <x v="0"/>
    <x v="0"/>
    <x v="34"/>
    <x v="3"/>
    <x v="6"/>
    <x v="2"/>
  </r>
  <r>
    <s v="TX500991"/>
    <x v="6"/>
    <x v="1"/>
    <n v="50.6"/>
    <x v="855"/>
    <x v="39"/>
    <d v="2025-02-15T00:00:00"/>
    <s v=""/>
    <x v="0"/>
    <x v="0"/>
    <x v="0"/>
    <x v="3"/>
    <x v="4"/>
    <x v="6"/>
    <x v="0"/>
  </r>
  <r>
    <s v="TX500992"/>
    <x v="6"/>
    <x v="9"/>
    <n v="81.7"/>
    <x v="856"/>
    <x v="39"/>
    <d v="2025-02-10T00:00:00"/>
    <s v="F"/>
    <x v="1"/>
    <x v="2"/>
    <x v="0"/>
    <x v="3"/>
    <x v="3"/>
    <x v="6"/>
    <x v="2"/>
  </r>
  <r>
    <s v="TX500993"/>
    <x v="5"/>
    <x v="1"/>
    <n v="50.7"/>
    <x v="857"/>
    <x v="39"/>
    <d v="2025-02-10T00:00:00"/>
    <s v="O"/>
    <x v="2"/>
    <x v="2"/>
    <x v="0"/>
    <x v="3"/>
    <x v="3"/>
    <x v="6"/>
    <x v="3"/>
  </r>
  <r>
    <s v="TX500994"/>
    <x v="2"/>
    <x v="10"/>
    <n v="67.3"/>
    <x v="858"/>
    <x v="39"/>
    <d v="2025-02-13T00:00:00"/>
    <s v="F"/>
    <x v="2"/>
    <x v="0"/>
    <x v="0"/>
    <x v="3"/>
    <x v="5"/>
    <x v="6"/>
    <x v="2"/>
  </r>
  <r>
    <s v="TX500995"/>
    <x v="2"/>
    <x v="12"/>
    <n v="64.8"/>
    <x v="629"/>
    <x v="39"/>
    <d v="2025-02-12T00:00:00"/>
    <s v="F"/>
    <x v="3"/>
    <x v="0"/>
    <x v="0"/>
    <x v="3"/>
    <x v="2"/>
    <x v="6"/>
    <x v="2"/>
  </r>
  <r>
    <s v="TX500996"/>
    <x v="5"/>
    <x v="32"/>
    <n v="61.3"/>
    <x v="859"/>
    <x v="39"/>
    <d v="2025-02-10T00:00:00"/>
    <s v="F"/>
    <x v="0"/>
    <x v="2"/>
    <x v="0"/>
    <x v="3"/>
    <x v="3"/>
    <x v="6"/>
    <x v="2"/>
  </r>
  <r>
    <s v="TX500997"/>
    <x v="14"/>
    <x v="0"/>
    <n v="32.9"/>
    <x v="860"/>
    <x v="39"/>
    <d v="2025-02-12T00:00:00"/>
    <s v="F"/>
    <x v="4"/>
    <x v="0"/>
    <x v="0"/>
    <x v="3"/>
    <x v="2"/>
    <x v="6"/>
    <x v="2"/>
  </r>
  <r>
    <s v="TX500998"/>
    <x v="6"/>
    <x v="1"/>
    <n v="100.8"/>
    <x v="861"/>
    <x v="39"/>
    <d v="2025-02-12T00:00:00"/>
    <s v="F"/>
    <x v="0"/>
    <x v="0"/>
    <x v="0"/>
    <x v="3"/>
    <x v="2"/>
    <x v="6"/>
    <x v="2"/>
  </r>
  <r>
    <s v="TX500999"/>
    <x v="8"/>
    <x v="12"/>
    <n v="25.1"/>
    <x v="862"/>
    <x v="39"/>
    <d v="2025-02-11T00:00:00"/>
    <s v="F"/>
    <x v="1"/>
    <x v="0"/>
    <x v="0"/>
    <x v="3"/>
    <x v="1"/>
    <x v="6"/>
    <x v="2"/>
  </r>
  <r>
    <s v="TX501000"/>
    <x v="17"/>
    <x v="0"/>
    <n v="48.5"/>
    <x v="319"/>
    <x v="39"/>
    <d v="2025-02-10T00:00:00"/>
    <s v="F"/>
    <x v="0"/>
    <x v="1"/>
    <x v="0"/>
    <x v="3"/>
    <x v="3"/>
    <x v="6"/>
    <x v="2"/>
  </r>
  <r>
    <s v="TX501001"/>
    <x v="7"/>
    <x v="1"/>
    <n v="33.6"/>
    <x v="863"/>
    <x v="39"/>
    <d v="2025-02-13T00:00:00"/>
    <s v="F"/>
    <x v="2"/>
    <x v="2"/>
    <x v="0"/>
    <x v="3"/>
    <x v="5"/>
    <x v="6"/>
    <x v="2"/>
  </r>
  <r>
    <s v="TX501002"/>
    <x v="8"/>
    <x v="0"/>
    <n v="39.299999999999997"/>
    <x v="864"/>
    <x v="39"/>
    <d v="2025-02-20T00:00:00"/>
    <s v="F"/>
    <x v="1"/>
    <x v="1"/>
    <x v="0"/>
    <x v="49"/>
    <x v="11"/>
    <x v="6"/>
    <x v="2"/>
  </r>
  <r>
    <s v="TX501003"/>
    <x v="4"/>
    <x v="7"/>
    <n v="48.8"/>
    <x v="865"/>
    <x v="39"/>
    <d v="2025-02-11T00:00:00"/>
    <s v="F"/>
    <x v="3"/>
    <x v="1"/>
    <x v="0"/>
    <x v="25"/>
    <x v="1"/>
    <x v="6"/>
    <x v="2"/>
  </r>
  <r>
    <s v="TX501004"/>
    <x v="6"/>
    <x v="8"/>
    <n v="72.8"/>
    <x v="866"/>
    <x v="39"/>
    <d v="2025-02-11T00:00:00"/>
    <s v="M"/>
    <x v="1"/>
    <x v="2"/>
    <x v="0"/>
    <x v="5"/>
    <x v="1"/>
    <x v="6"/>
    <x v="1"/>
  </r>
  <r>
    <s v="TX501005"/>
    <x v="10"/>
    <x v="8"/>
    <n v="46.2"/>
    <x v="867"/>
    <x v="39"/>
    <d v="2025-02-10T00:00:00"/>
    <s v="M"/>
    <x v="3"/>
    <x v="4"/>
    <x v="0"/>
    <x v="5"/>
    <x v="3"/>
    <x v="6"/>
    <x v="1"/>
  </r>
  <r>
    <s v="TX501006"/>
    <x v="4"/>
    <x v="1"/>
    <n v="20.7"/>
    <x v="50"/>
    <x v="39"/>
    <d v="2025-02-10T00:00:00"/>
    <s v="F"/>
    <x v="2"/>
    <x v="3"/>
    <x v="0"/>
    <x v="6"/>
    <x v="3"/>
    <x v="6"/>
    <x v="2"/>
  </r>
  <r>
    <s v="TX501007"/>
    <x v="0"/>
    <x v="0"/>
    <n v="35.700000000000003"/>
    <x v="519"/>
    <x v="39"/>
    <d v="2025-02-11T00:00:00"/>
    <s v="F"/>
    <x v="3"/>
    <x v="0"/>
    <x v="0"/>
    <x v="6"/>
    <x v="1"/>
    <x v="6"/>
    <x v="2"/>
  </r>
  <r>
    <s v="TX501008"/>
    <x v="2"/>
    <x v="27"/>
    <n v="166.2"/>
    <x v="868"/>
    <x v="39"/>
    <d v="2025-02-11T00:00:00"/>
    <s v=""/>
    <x v="2"/>
    <x v="0"/>
    <x v="0"/>
    <x v="7"/>
    <x v="1"/>
    <x v="6"/>
    <x v="0"/>
  </r>
  <r>
    <s v="TX501009"/>
    <x v="6"/>
    <x v="12"/>
    <n v="85.8"/>
    <x v="869"/>
    <x v="39"/>
    <d v="2025-02-10T00:00:00"/>
    <s v="F"/>
    <x v="1"/>
    <x v="1"/>
    <x v="0"/>
    <x v="7"/>
    <x v="3"/>
    <x v="6"/>
    <x v="2"/>
  </r>
  <r>
    <s v="TX501010"/>
    <x v="8"/>
    <x v="2"/>
    <n v="26"/>
    <x v="292"/>
    <x v="39"/>
    <d v="2025-02-11T00:00:00"/>
    <s v="O"/>
    <x v="1"/>
    <x v="0"/>
    <x v="0"/>
    <x v="7"/>
    <x v="1"/>
    <x v="6"/>
    <x v="3"/>
  </r>
  <r>
    <s v="TX501011"/>
    <x v="2"/>
    <x v="15"/>
    <n v="116.6"/>
    <x v="870"/>
    <x v="39"/>
    <d v="2025-02-12T00:00:00"/>
    <s v="F"/>
    <x v="0"/>
    <x v="0"/>
    <x v="0"/>
    <x v="8"/>
    <x v="2"/>
    <x v="6"/>
    <x v="2"/>
  </r>
  <r>
    <s v="TX501012"/>
    <x v="9"/>
    <x v="3"/>
    <n v="53.9"/>
    <x v="871"/>
    <x v="39"/>
    <d v="2025-02-12T00:00:00"/>
    <s v="O"/>
    <x v="0"/>
    <x v="2"/>
    <x v="0"/>
    <x v="8"/>
    <x v="2"/>
    <x v="6"/>
    <x v="3"/>
  </r>
  <r>
    <s v="TX501013"/>
    <x v="12"/>
    <x v="9"/>
    <n v="72.3"/>
    <x v="785"/>
    <x v="39"/>
    <d v="2025-02-11T00:00:00"/>
    <s v=""/>
    <x v="2"/>
    <x v="2"/>
    <x v="0"/>
    <x v="8"/>
    <x v="1"/>
    <x v="6"/>
    <x v="0"/>
  </r>
  <r>
    <s v="TX501014"/>
    <x v="5"/>
    <x v="1"/>
    <n v="31.4"/>
    <x v="143"/>
    <x v="39"/>
    <d v="2025-02-11T00:00:00"/>
    <s v="F"/>
    <x v="0"/>
    <x v="0"/>
    <x v="0"/>
    <x v="8"/>
    <x v="1"/>
    <x v="6"/>
    <x v="2"/>
  </r>
  <r>
    <s v="TX501015"/>
    <x v="13"/>
    <x v="1"/>
    <n v="53.1"/>
    <x v="872"/>
    <x v="39"/>
    <d v="2025-02-12T00:00:00"/>
    <s v="M"/>
    <x v="1"/>
    <x v="0"/>
    <x v="0"/>
    <x v="8"/>
    <x v="2"/>
    <x v="6"/>
    <x v="1"/>
  </r>
  <r>
    <s v="TX501016"/>
    <x v="2"/>
    <x v="12"/>
    <n v="56.2"/>
    <x v="873"/>
    <x v="39"/>
    <d v="2025-02-10T00:00:00"/>
    <s v="F"/>
    <x v="0"/>
    <x v="0"/>
    <x v="0"/>
    <x v="8"/>
    <x v="3"/>
    <x v="6"/>
    <x v="2"/>
  </r>
  <r>
    <s v="TX501017"/>
    <x v="1"/>
    <x v="7"/>
    <n v="77.3"/>
    <x v="874"/>
    <x v="39"/>
    <d v="2025-02-10T00:00:00"/>
    <s v="F"/>
    <x v="2"/>
    <x v="0"/>
    <x v="0"/>
    <x v="11"/>
    <x v="3"/>
    <x v="6"/>
    <x v="2"/>
  </r>
  <r>
    <s v="TX501018"/>
    <x v="6"/>
    <x v="15"/>
    <n v="57.8"/>
    <x v="875"/>
    <x v="39"/>
    <d v="2025-02-10T00:00:00"/>
    <s v=""/>
    <x v="0"/>
    <x v="0"/>
    <x v="0"/>
    <x v="53"/>
    <x v="3"/>
    <x v="6"/>
    <x v="0"/>
  </r>
  <r>
    <s v="TX501019"/>
    <x v="12"/>
    <x v="20"/>
    <n v="42.1"/>
    <x v="876"/>
    <x v="39"/>
    <d v="2025-02-11T00:00:00"/>
    <s v="F"/>
    <x v="1"/>
    <x v="1"/>
    <x v="0"/>
    <x v="53"/>
    <x v="1"/>
    <x v="6"/>
    <x v="2"/>
  </r>
  <r>
    <s v="TX501020"/>
    <x v="8"/>
    <x v="11"/>
    <n v="22.8"/>
    <x v="877"/>
    <x v="39"/>
    <d v="2025-02-13T00:00:00"/>
    <s v="M"/>
    <x v="2"/>
    <x v="2"/>
    <x v="0"/>
    <x v="19"/>
    <x v="5"/>
    <x v="6"/>
    <x v="1"/>
  </r>
  <r>
    <s v="TX501021"/>
    <x v="2"/>
    <x v="2"/>
    <n v="171.1"/>
    <x v="878"/>
    <x v="40"/>
    <d v="2025-02-17T00:00:00"/>
    <s v="F"/>
    <x v="2"/>
    <x v="1"/>
    <x v="0"/>
    <x v="19"/>
    <x v="6"/>
    <x v="6"/>
    <x v="2"/>
  </r>
  <r>
    <s v="TX501022"/>
    <x v="8"/>
    <x v="0"/>
    <n v="28"/>
    <x v="879"/>
    <x v="40"/>
    <d v="2025-02-12T00:00:00"/>
    <s v="M"/>
    <x v="2"/>
    <x v="2"/>
    <x v="0"/>
    <x v="21"/>
    <x v="1"/>
    <x v="6"/>
    <x v="1"/>
  </r>
  <r>
    <s v="TX501023"/>
    <x v="6"/>
    <x v="3"/>
    <n v="50.2"/>
    <x v="880"/>
    <x v="40"/>
    <d v="2025-02-12T00:00:00"/>
    <s v="M"/>
    <x v="2"/>
    <x v="0"/>
    <x v="0"/>
    <x v="21"/>
    <x v="1"/>
    <x v="6"/>
    <x v="1"/>
  </r>
  <r>
    <s v="TX501024"/>
    <x v="6"/>
    <x v="1"/>
    <n v="56"/>
    <x v="881"/>
    <x v="40"/>
    <d v="2025-02-10T00:00:00"/>
    <s v="M"/>
    <x v="0"/>
    <x v="2"/>
    <x v="0"/>
    <x v="22"/>
    <x v="7"/>
    <x v="6"/>
    <x v="1"/>
  </r>
  <r>
    <s v="TX501025"/>
    <x v="1"/>
    <x v="1"/>
    <n v="38.299999999999997"/>
    <x v="882"/>
    <x v="40"/>
    <d v="2025-02-11T00:00:00"/>
    <s v="F"/>
    <x v="1"/>
    <x v="0"/>
    <x v="0"/>
    <x v="3"/>
    <x v="3"/>
    <x v="6"/>
    <x v="2"/>
  </r>
  <r>
    <s v="TX501026"/>
    <x v="0"/>
    <x v="9"/>
    <n v="22.3"/>
    <x v="883"/>
    <x v="40"/>
    <d v="2025-02-14T00:00:00"/>
    <s v="F"/>
    <x v="2"/>
    <x v="1"/>
    <x v="0"/>
    <x v="3"/>
    <x v="5"/>
    <x v="6"/>
    <x v="2"/>
  </r>
  <r>
    <s v="TX501027"/>
    <x v="0"/>
    <x v="2"/>
    <n v="22.3"/>
    <x v="884"/>
    <x v="40"/>
    <d v="2025-02-13T00:00:00"/>
    <s v="F"/>
    <x v="2"/>
    <x v="0"/>
    <x v="0"/>
    <x v="3"/>
    <x v="2"/>
    <x v="6"/>
    <x v="2"/>
  </r>
  <r>
    <s v="TX501028"/>
    <x v="1"/>
    <x v="0"/>
    <n v="32.9"/>
    <x v="860"/>
    <x v="40"/>
    <d v="2025-02-15T00:00:00"/>
    <s v="F"/>
    <x v="0"/>
    <x v="0"/>
    <x v="0"/>
    <x v="3"/>
    <x v="0"/>
    <x v="6"/>
    <x v="2"/>
  </r>
  <r>
    <s v="TX501029"/>
    <x v="10"/>
    <x v="2"/>
    <n v="31.9"/>
    <x v="802"/>
    <x v="40"/>
    <d v="2025-02-15T00:00:00"/>
    <s v="F"/>
    <x v="0"/>
    <x v="0"/>
    <x v="0"/>
    <x v="3"/>
    <x v="0"/>
    <x v="6"/>
    <x v="2"/>
  </r>
  <r>
    <s v="TX501030"/>
    <x v="6"/>
    <x v="1"/>
    <n v="94"/>
    <x v="885"/>
    <x v="40"/>
    <d v="2025-02-11T00:00:00"/>
    <s v="M"/>
    <x v="2"/>
    <x v="2"/>
    <x v="0"/>
    <x v="3"/>
    <x v="3"/>
    <x v="6"/>
    <x v="1"/>
  </r>
  <r>
    <s v="TX501031"/>
    <x v="10"/>
    <x v="1"/>
    <n v="30.7"/>
    <x v="886"/>
    <x v="40"/>
    <d v="2025-02-11T00:00:00"/>
    <s v="F"/>
    <x v="0"/>
    <x v="1"/>
    <x v="0"/>
    <x v="3"/>
    <x v="3"/>
    <x v="6"/>
    <x v="2"/>
  </r>
  <r>
    <s v="TX501032"/>
    <x v="5"/>
    <x v="9"/>
    <n v="90.5"/>
    <x v="887"/>
    <x v="40"/>
    <d v="2025-02-17T00:00:00"/>
    <s v="M"/>
    <x v="0"/>
    <x v="2"/>
    <x v="0"/>
    <x v="3"/>
    <x v="6"/>
    <x v="6"/>
    <x v="1"/>
  </r>
  <r>
    <s v="TX501033"/>
    <x v="8"/>
    <x v="9"/>
    <n v="25.3"/>
    <x v="888"/>
    <x v="40"/>
    <d v="2025-02-14T00:00:00"/>
    <s v="F"/>
    <x v="0"/>
    <x v="2"/>
    <x v="0"/>
    <x v="3"/>
    <x v="5"/>
    <x v="6"/>
    <x v="2"/>
  </r>
  <r>
    <s v="TX501034"/>
    <x v="6"/>
    <x v="2"/>
    <n v="58.1"/>
    <x v="889"/>
    <x v="40"/>
    <d v="2025-02-14T00:00:00"/>
    <s v=""/>
    <x v="0"/>
    <x v="2"/>
    <x v="0"/>
    <x v="3"/>
    <x v="5"/>
    <x v="6"/>
    <x v="0"/>
  </r>
  <r>
    <s v="TX501035"/>
    <x v="2"/>
    <x v="2"/>
    <n v="74.900000000000006"/>
    <x v="890"/>
    <x v="40"/>
    <d v="2025-02-11T00:00:00"/>
    <s v="F"/>
    <x v="4"/>
    <x v="0"/>
    <x v="0"/>
    <x v="3"/>
    <x v="3"/>
    <x v="6"/>
    <x v="2"/>
  </r>
  <r>
    <s v="TX501036"/>
    <x v="4"/>
    <x v="1"/>
    <n v="32.5"/>
    <x v="891"/>
    <x v="40"/>
    <d v="2025-02-11T00:00:00"/>
    <s v="M"/>
    <x v="2"/>
    <x v="2"/>
    <x v="0"/>
    <x v="43"/>
    <x v="3"/>
    <x v="6"/>
    <x v="1"/>
  </r>
  <r>
    <s v="TX501037"/>
    <x v="4"/>
    <x v="9"/>
    <n v="62"/>
    <x v="892"/>
    <x v="40"/>
    <d v="2025-02-11T00:00:00"/>
    <s v="M"/>
    <x v="4"/>
    <x v="2"/>
    <x v="0"/>
    <x v="25"/>
    <x v="3"/>
    <x v="6"/>
    <x v="1"/>
  </r>
  <r>
    <s v="TX501038"/>
    <x v="13"/>
    <x v="13"/>
    <n v="28.9"/>
    <x v="893"/>
    <x v="40"/>
    <d v="2025-02-13T00:00:00"/>
    <s v="F"/>
    <x v="0"/>
    <x v="1"/>
    <x v="0"/>
    <x v="6"/>
    <x v="2"/>
    <x v="6"/>
    <x v="2"/>
  </r>
  <r>
    <s v="TX501039"/>
    <x v="6"/>
    <x v="8"/>
    <n v="42.8"/>
    <x v="894"/>
    <x v="40"/>
    <d v="2025-02-12T00:00:00"/>
    <s v="F"/>
    <x v="0"/>
    <x v="2"/>
    <x v="0"/>
    <x v="6"/>
    <x v="1"/>
    <x v="6"/>
    <x v="2"/>
  </r>
  <r>
    <s v="TX501040"/>
    <x v="8"/>
    <x v="8"/>
    <n v="39.4"/>
    <x v="895"/>
    <x v="40"/>
    <d v="2025-02-12T00:00:00"/>
    <s v="M"/>
    <x v="0"/>
    <x v="0"/>
    <x v="0"/>
    <x v="36"/>
    <x v="1"/>
    <x v="6"/>
    <x v="1"/>
  </r>
  <r>
    <s v="TX501041"/>
    <x v="18"/>
    <x v="2"/>
    <n v="66.400000000000006"/>
    <x v="896"/>
    <x v="40"/>
    <d v="2025-02-11T00:00:00"/>
    <s v=""/>
    <x v="2"/>
    <x v="1"/>
    <x v="0"/>
    <x v="7"/>
    <x v="3"/>
    <x v="6"/>
    <x v="0"/>
  </r>
  <r>
    <s v="TX501042"/>
    <x v="17"/>
    <x v="12"/>
    <n v="35.9"/>
    <x v="897"/>
    <x v="40"/>
    <d v="2025-02-17T00:00:00"/>
    <s v="F"/>
    <x v="1"/>
    <x v="0"/>
    <x v="0"/>
    <x v="7"/>
    <x v="6"/>
    <x v="6"/>
    <x v="2"/>
  </r>
  <r>
    <s v="TX501043"/>
    <x v="0"/>
    <x v="12"/>
    <n v="26.9"/>
    <x v="799"/>
    <x v="40"/>
    <d v="2025-02-11T00:00:00"/>
    <s v="M"/>
    <x v="1"/>
    <x v="0"/>
    <x v="0"/>
    <x v="7"/>
    <x v="3"/>
    <x v="6"/>
    <x v="1"/>
  </r>
  <r>
    <s v="TX501044"/>
    <x v="2"/>
    <x v="0"/>
    <n v="55.1"/>
    <x v="898"/>
    <x v="40"/>
    <d v="2025-02-11T00:00:00"/>
    <s v="F"/>
    <x v="0"/>
    <x v="0"/>
    <x v="0"/>
    <x v="7"/>
    <x v="3"/>
    <x v="6"/>
    <x v="2"/>
  </r>
  <r>
    <s v="TX501045"/>
    <x v="4"/>
    <x v="1"/>
    <n v="23.9"/>
    <x v="538"/>
    <x v="40"/>
    <d v="2025-02-11T00:00:00"/>
    <s v="M"/>
    <x v="0"/>
    <x v="2"/>
    <x v="0"/>
    <x v="8"/>
    <x v="3"/>
    <x v="6"/>
    <x v="1"/>
  </r>
  <r>
    <s v="TX501046"/>
    <x v="9"/>
    <x v="15"/>
    <n v="21.1"/>
    <x v="899"/>
    <x v="40"/>
    <d v="2025-02-18T00:00:00"/>
    <s v="F"/>
    <x v="0"/>
    <x v="1"/>
    <x v="0"/>
    <x v="8"/>
    <x v="9"/>
    <x v="6"/>
    <x v="2"/>
  </r>
  <r>
    <s v="TX501047"/>
    <x v="8"/>
    <x v="9"/>
    <n v="33.799999999999997"/>
    <x v="900"/>
    <x v="40"/>
    <d v="2025-02-12T00:00:00"/>
    <s v="F"/>
    <x v="0"/>
    <x v="0"/>
    <x v="0"/>
    <x v="8"/>
    <x v="1"/>
    <x v="6"/>
    <x v="2"/>
  </r>
  <r>
    <s v="TX501048"/>
    <x v="2"/>
    <x v="12"/>
    <n v="56.1"/>
    <x v="901"/>
    <x v="40"/>
    <d v="2025-02-10T00:00:00"/>
    <s v="F"/>
    <x v="3"/>
    <x v="2"/>
    <x v="0"/>
    <x v="9"/>
    <x v="7"/>
    <x v="6"/>
    <x v="2"/>
  </r>
  <r>
    <s v="TX501049"/>
    <x v="3"/>
    <x v="0"/>
    <n v="58.5"/>
    <x v="902"/>
    <x v="41"/>
    <d v="2025-02-15T00:00:00"/>
    <s v="F"/>
    <x v="1"/>
    <x v="2"/>
    <x v="0"/>
    <x v="9"/>
    <x v="5"/>
    <x v="6"/>
    <x v="2"/>
  </r>
  <r>
    <s v="TX501050"/>
    <x v="6"/>
    <x v="0"/>
    <n v="84.2"/>
    <x v="903"/>
    <x v="41"/>
    <d v="2025-02-13T00:00:00"/>
    <s v="M"/>
    <x v="3"/>
    <x v="0"/>
    <x v="0"/>
    <x v="11"/>
    <x v="1"/>
    <x v="6"/>
    <x v="1"/>
  </r>
  <r>
    <s v="TX501051"/>
    <x v="11"/>
    <x v="12"/>
    <n v="52"/>
    <x v="904"/>
    <x v="41"/>
    <d v="2025-02-14T00:00:00"/>
    <s v="M"/>
    <x v="0"/>
    <x v="0"/>
    <x v="0"/>
    <x v="11"/>
    <x v="2"/>
    <x v="6"/>
    <x v="1"/>
  </r>
  <r>
    <s v="TX501052"/>
    <x v="4"/>
    <x v="9"/>
    <n v="31.5"/>
    <x v="905"/>
    <x v="41"/>
    <d v="2025-02-12T00:00:00"/>
    <s v="F"/>
    <x v="0"/>
    <x v="2"/>
    <x v="0"/>
    <x v="11"/>
    <x v="3"/>
    <x v="6"/>
    <x v="2"/>
  </r>
  <r>
    <s v="TX501053"/>
    <x v="16"/>
    <x v="2"/>
    <n v="46.2"/>
    <x v="209"/>
    <x v="41"/>
    <d v="2025-02-12T00:00:00"/>
    <s v="M"/>
    <x v="0"/>
    <x v="0"/>
    <x v="0"/>
    <x v="53"/>
    <x v="3"/>
    <x v="6"/>
    <x v="1"/>
  </r>
  <r>
    <s v="TX501054"/>
    <x v="2"/>
    <x v="13"/>
    <n v="135"/>
    <x v="906"/>
    <x v="41"/>
    <d v="2025-02-12T00:00:00"/>
    <s v="F"/>
    <x v="1"/>
    <x v="2"/>
    <x v="0"/>
    <x v="18"/>
    <x v="3"/>
    <x v="6"/>
    <x v="2"/>
  </r>
  <r>
    <s v="TX501055"/>
    <x v="12"/>
    <x v="2"/>
    <n v="92.2"/>
    <x v="907"/>
    <x v="41"/>
    <d v="2025-02-15T00:00:00"/>
    <s v="M"/>
    <x v="0"/>
    <x v="0"/>
    <x v="0"/>
    <x v="21"/>
    <x v="5"/>
    <x v="6"/>
    <x v="1"/>
  </r>
  <r>
    <s v="TX501056"/>
    <x v="8"/>
    <x v="0"/>
    <n v="36.6"/>
    <x v="547"/>
    <x v="41"/>
    <d v="2025-02-13T00:00:00"/>
    <s v="M"/>
    <x v="2"/>
    <x v="2"/>
    <x v="0"/>
    <x v="21"/>
    <x v="1"/>
    <x v="6"/>
    <x v="1"/>
  </r>
  <r>
    <s v="TX501057"/>
    <x v="9"/>
    <x v="1"/>
    <n v="50.6"/>
    <x v="855"/>
    <x v="41"/>
    <d v="2025-02-14T00:00:00"/>
    <s v="F"/>
    <x v="0"/>
    <x v="0"/>
    <x v="0"/>
    <x v="2"/>
    <x v="2"/>
    <x v="6"/>
    <x v="2"/>
  </r>
  <r>
    <s v="TX501058"/>
    <x v="18"/>
    <x v="3"/>
    <n v="56.7"/>
    <x v="908"/>
    <x v="41"/>
    <d v="2025-02-14T00:00:00"/>
    <s v="F"/>
    <x v="0"/>
    <x v="0"/>
    <x v="0"/>
    <x v="2"/>
    <x v="2"/>
    <x v="6"/>
    <x v="2"/>
  </r>
  <r>
    <s v="TX501059"/>
    <x v="9"/>
    <x v="15"/>
    <n v="22.9"/>
    <x v="909"/>
    <x v="41"/>
    <d v="2025-02-12T00:00:00"/>
    <s v="F"/>
    <x v="0"/>
    <x v="1"/>
    <x v="0"/>
    <x v="44"/>
    <x v="3"/>
    <x v="6"/>
    <x v="2"/>
  </r>
  <r>
    <s v="TX501060"/>
    <x v="15"/>
    <x v="10"/>
    <n v="53.6"/>
    <x v="910"/>
    <x v="41"/>
    <d v="2025-02-12T00:00:00"/>
    <s v="M"/>
    <x v="0"/>
    <x v="0"/>
    <x v="0"/>
    <x v="22"/>
    <x v="3"/>
    <x v="6"/>
    <x v="1"/>
  </r>
  <r>
    <s v="TX501061"/>
    <x v="18"/>
    <x v="1"/>
    <n v="30.2"/>
    <x v="266"/>
    <x v="41"/>
    <d v="2025-02-13T00:00:00"/>
    <s v=""/>
    <x v="2"/>
    <x v="2"/>
    <x v="0"/>
    <x v="3"/>
    <x v="1"/>
    <x v="6"/>
    <x v="0"/>
  </r>
  <r>
    <s v="TX501062"/>
    <x v="15"/>
    <x v="13"/>
    <n v="83.4"/>
    <x v="911"/>
    <x v="41"/>
    <d v="2025-02-12T00:00:00"/>
    <s v="M"/>
    <x v="1"/>
    <x v="2"/>
    <x v="0"/>
    <x v="3"/>
    <x v="3"/>
    <x v="6"/>
    <x v="1"/>
  </r>
  <r>
    <s v="TX501063"/>
    <x v="13"/>
    <x v="4"/>
    <n v="16.600000000000001"/>
    <x v="896"/>
    <x v="41"/>
    <d v="2025-02-13T00:00:00"/>
    <s v="M"/>
    <x v="1"/>
    <x v="0"/>
    <x v="0"/>
    <x v="3"/>
    <x v="1"/>
    <x v="6"/>
    <x v="1"/>
  </r>
  <r>
    <s v="TX501064"/>
    <x v="8"/>
    <x v="14"/>
    <n v="21.9"/>
    <x v="912"/>
    <x v="41"/>
    <d v="2025-02-13T00:00:00"/>
    <s v="F"/>
    <x v="4"/>
    <x v="1"/>
    <x v="0"/>
    <x v="3"/>
    <x v="1"/>
    <x v="6"/>
    <x v="2"/>
  </r>
  <r>
    <s v="TX501065"/>
    <x v="8"/>
    <x v="31"/>
    <n v="33.799999999999997"/>
    <x v="913"/>
    <x v="41"/>
    <d v="2025-02-13T00:00:00"/>
    <s v="M"/>
    <x v="2"/>
    <x v="4"/>
    <x v="0"/>
    <x v="3"/>
    <x v="1"/>
    <x v="6"/>
    <x v="1"/>
  </r>
  <r>
    <s v="TX501066"/>
    <x v="18"/>
    <x v="1"/>
    <n v="53.2"/>
    <x v="793"/>
    <x v="41"/>
    <d v="2025-02-11T00:00:00"/>
    <s v="M"/>
    <x v="1"/>
    <x v="0"/>
    <x v="0"/>
    <x v="3"/>
    <x v="7"/>
    <x v="6"/>
    <x v="1"/>
  </r>
  <r>
    <s v="TX501067"/>
    <x v="2"/>
    <x v="1"/>
    <n v="176.7"/>
    <x v="914"/>
    <x v="41"/>
    <d v="2025-02-14T00:00:00"/>
    <s v="F"/>
    <x v="2"/>
    <x v="0"/>
    <x v="0"/>
    <x v="3"/>
    <x v="2"/>
    <x v="6"/>
    <x v="2"/>
  </r>
  <r>
    <s v="TX501068"/>
    <x v="12"/>
    <x v="2"/>
    <n v="54"/>
    <x v="915"/>
    <x v="41"/>
    <d v="2025-02-14T00:00:00"/>
    <s v="M"/>
    <x v="0"/>
    <x v="1"/>
    <x v="0"/>
    <x v="3"/>
    <x v="2"/>
    <x v="6"/>
    <x v="1"/>
  </r>
  <r>
    <s v="TX501069"/>
    <x v="9"/>
    <x v="1"/>
    <n v="70.099999999999994"/>
    <x v="634"/>
    <x v="41"/>
    <d v="2025-02-19T00:00:00"/>
    <s v="F"/>
    <x v="3"/>
    <x v="2"/>
    <x v="0"/>
    <x v="3"/>
    <x v="9"/>
    <x v="6"/>
    <x v="2"/>
  </r>
  <r>
    <s v="TX501070"/>
    <x v="8"/>
    <x v="0"/>
    <n v="26.5"/>
    <x v="38"/>
    <x v="41"/>
    <d v="2025-02-13T00:00:00"/>
    <s v="F"/>
    <x v="1"/>
    <x v="0"/>
    <x v="0"/>
    <x v="3"/>
    <x v="1"/>
    <x v="6"/>
    <x v="2"/>
  </r>
  <r>
    <s v="TX501071"/>
    <x v="7"/>
    <x v="9"/>
    <n v="89"/>
    <x v="916"/>
    <x v="41"/>
    <d v="2025-02-13T00:00:00"/>
    <s v="M"/>
    <x v="2"/>
    <x v="4"/>
    <x v="0"/>
    <x v="3"/>
    <x v="1"/>
    <x v="6"/>
    <x v="1"/>
  </r>
  <r>
    <s v="TX501072"/>
    <x v="1"/>
    <x v="13"/>
    <n v="47"/>
    <x v="917"/>
    <x v="41"/>
    <d v="2025-02-14T00:00:00"/>
    <s v="F"/>
    <x v="3"/>
    <x v="0"/>
    <x v="0"/>
    <x v="24"/>
    <x v="2"/>
    <x v="6"/>
    <x v="2"/>
  </r>
  <r>
    <s v="TX501073"/>
    <x v="3"/>
    <x v="1"/>
    <n v="55.2"/>
    <x v="918"/>
    <x v="41"/>
    <d v="2025-02-14T00:00:00"/>
    <s v="M"/>
    <x v="1"/>
    <x v="1"/>
    <x v="0"/>
    <x v="6"/>
    <x v="2"/>
    <x v="6"/>
    <x v="1"/>
  </r>
  <r>
    <s v="TX501074"/>
    <x v="8"/>
    <x v="39"/>
    <n v="33.299999999999997"/>
    <x v="919"/>
    <x v="41"/>
    <d v="2025-02-25T00:00:00"/>
    <s v="M"/>
    <x v="1"/>
    <x v="2"/>
    <x v="0"/>
    <x v="6"/>
    <x v="12"/>
    <x v="6"/>
    <x v="1"/>
  </r>
  <r>
    <s v="TX501075"/>
    <x v="2"/>
    <x v="12"/>
    <n v="110.9"/>
    <x v="920"/>
    <x v="42"/>
    <d v="2025-02-12T00:00:00"/>
    <s v="M"/>
    <x v="2"/>
    <x v="4"/>
    <x v="0"/>
    <x v="6"/>
    <x v="7"/>
    <x v="6"/>
    <x v="1"/>
  </r>
  <r>
    <s v="TX501076"/>
    <x v="2"/>
    <x v="13"/>
    <n v="67.3"/>
    <x v="921"/>
    <x v="42"/>
    <d v="2025-02-13T00:00:00"/>
    <s v="M"/>
    <x v="0"/>
    <x v="0"/>
    <x v="0"/>
    <x v="8"/>
    <x v="3"/>
    <x v="6"/>
    <x v="1"/>
  </r>
  <r>
    <s v="TX501077"/>
    <x v="6"/>
    <x v="2"/>
    <n v="69.7"/>
    <x v="922"/>
    <x v="42"/>
    <d v="2025-02-13T00:00:00"/>
    <s v="M"/>
    <x v="2"/>
    <x v="1"/>
    <x v="0"/>
    <x v="8"/>
    <x v="3"/>
    <x v="6"/>
    <x v="1"/>
  </r>
  <r>
    <s v="TX501078"/>
    <x v="5"/>
    <x v="0"/>
    <n v="39.1"/>
    <x v="923"/>
    <x v="42"/>
    <d v="2025-02-17T00:00:00"/>
    <s v="M"/>
    <x v="0"/>
    <x v="1"/>
    <x v="0"/>
    <x v="17"/>
    <x v="0"/>
    <x v="6"/>
    <x v="1"/>
  </r>
  <r>
    <s v="TX501079"/>
    <x v="2"/>
    <x v="2"/>
    <n v="208.6"/>
    <x v="924"/>
    <x v="42"/>
    <d v="2025-02-12T00:00:00"/>
    <s v="M"/>
    <x v="4"/>
    <x v="2"/>
    <x v="0"/>
    <x v="17"/>
    <x v="7"/>
    <x v="6"/>
    <x v="1"/>
  </r>
  <r>
    <s v="TX501080"/>
    <x v="15"/>
    <x v="2"/>
    <n v="27.8"/>
    <x v="925"/>
    <x v="42"/>
    <d v="2025-02-13T00:00:00"/>
    <s v="M"/>
    <x v="3"/>
    <x v="1"/>
    <x v="0"/>
    <x v="11"/>
    <x v="3"/>
    <x v="6"/>
    <x v="1"/>
  </r>
  <r>
    <s v="TX501081"/>
    <x v="10"/>
    <x v="9"/>
    <n v="29.4"/>
    <x v="926"/>
    <x v="42"/>
    <d v="2025-02-14T00:00:00"/>
    <s v="F"/>
    <x v="0"/>
    <x v="0"/>
    <x v="0"/>
    <x v="11"/>
    <x v="1"/>
    <x v="6"/>
    <x v="2"/>
  </r>
  <r>
    <s v="TX501082"/>
    <x v="9"/>
    <x v="1"/>
    <n v="29.2"/>
    <x v="305"/>
    <x v="42"/>
    <d v="2025-02-14T00:00:00"/>
    <s v="F"/>
    <x v="1"/>
    <x v="2"/>
    <x v="0"/>
    <x v="20"/>
    <x v="1"/>
    <x v="6"/>
    <x v="2"/>
  </r>
  <r>
    <s v="TX501083"/>
    <x v="10"/>
    <x v="9"/>
    <n v="26.5"/>
    <x v="927"/>
    <x v="42"/>
    <d v="2025-02-14T00:00:00"/>
    <s v="F"/>
    <x v="0"/>
    <x v="0"/>
    <x v="0"/>
    <x v="52"/>
    <x v="1"/>
    <x v="6"/>
    <x v="2"/>
  </r>
  <r>
    <s v="TX501084"/>
    <x v="5"/>
    <x v="0"/>
    <n v="30.3"/>
    <x v="928"/>
    <x v="42"/>
    <d v="2025-02-13T00:00:00"/>
    <s v="F"/>
    <x v="4"/>
    <x v="1"/>
    <x v="0"/>
    <x v="13"/>
    <x v="3"/>
    <x v="6"/>
    <x v="2"/>
  </r>
  <r>
    <s v="TX501085"/>
    <x v="16"/>
    <x v="4"/>
    <n v="39.700000000000003"/>
    <x v="929"/>
    <x v="42"/>
    <d v="2025-02-13T00:00:00"/>
    <s v="F"/>
    <x v="0"/>
    <x v="0"/>
    <x v="0"/>
    <x v="21"/>
    <x v="3"/>
    <x v="6"/>
    <x v="2"/>
  </r>
  <r>
    <s v="TX501086"/>
    <x v="7"/>
    <x v="7"/>
    <n v="58.9"/>
    <x v="930"/>
    <x v="42"/>
    <d v="2025-02-14T00:00:00"/>
    <s v="F"/>
    <x v="1"/>
    <x v="4"/>
    <x v="0"/>
    <x v="21"/>
    <x v="1"/>
    <x v="6"/>
    <x v="2"/>
  </r>
  <r>
    <s v="TX501087"/>
    <x v="2"/>
    <x v="1"/>
    <n v="174.1"/>
    <x v="931"/>
    <x v="42"/>
    <d v="2025-02-14T00:00:00"/>
    <s v="F"/>
    <x v="0"/>
    <x v="1"/>
    <x v="0"/>
    <x v="46"/>
    <x v="1"/>
    <x v="6"/>
    <x v="2"/>
  </r>
  <r>
    <s v="TX501088"/>
    <x v="6"/>
    <x v="1"/>
    <n v="70.8"/>
    <x v="932"/>
    <x v="42"/>
    <d v="2025-02-15T00:00:00"/>
    <s v="M"/>
    <x v="2"/>
    <x v="0"/>
    <x v="0"/>
    <x v="22"/>
    <x v="2"/>
    <x v="6"/>
    <x v="1"/>
  </r>
  <r>
    <s v="TX501089"/>
    <x v="7"/>
    <x v="1"/>
    <n v="57.4"/>
    <x v="311"/>
    <x v="42"/>
    <d v="2025-02-14T00:00:00"/>
    <s v="F"/>
    <x v="1"/>
    <x v="1"/>
    <x v="0"/>
    <x v="34"/>
    <x v="1"/>
    <x v="6"/>
    <x v="2"/>
  </r>
  <r>
    <s v="TX501090"/>
    <x v="0"/>
    <x v="1"/>
    <n v="28.5"/>
    <x v="933"/>
    <x v="42"/>
    <d v="2025-02-14T00:00:00"/>
    <s v="M"/>
    <x v="3"/>
    <x v="1"/>
    <x v="0"/>
    <x v="3"/>
    <x v="1"/>
    <x v="6"/>
    <x v="1"/>
  </r>
  <r>
    <s v="TX501091"/>
    <x v="2"/>
    <x v="28"/>
    <n v="106.6"/>
    <x v="934"/>
    <x v="42"/>
    <d v="2025-02-13T00:00:00"/>
    <s v=""/>
    <x v="1"/>
    <x v="4"/>
    <x v="0"/>
    <x v="3"/>
    <x v="3"/>
    <x v="6"/>
    <x v="0"/>
  </r>
  <r>
    <s v="TX501092"/>
    <x v="2"/>
    <x v="2"/>
    <n v="119.7"/>
    <x v="935"/>
    <x v="42"/>
    <d v="2025-02-13T00:00:00"/>
    <s v="F"/>
    <x v="1"/>
    <x v="4"/>
    <x v="0"/>
    <x v="3"/>
    <x v="3"/>
    <x v="6"/>
    <x v="2"/>
  </r>
  <r>
    <s v="TX501093"/>
    <x v="18"/>
    <x v="0"/>
    <n v="73.3"/>
    <x v="936"/>
    <x v="42"/>
    <d v="2025-02-17T00:00:00"/>
    <s v="F"/>
    <x v="0"/>
    <x v="2"/>
    <x v="0"/>
    <x v="3"/>
    <x v="0"/>
    <x v="6"/>
    <x v="2"/>
  </r>
  <r>
    <s v="TX501094"/>
    <x v="0"/>
    <x v="1"/>
    <n v="25.8"/>
    <x v="937"/>
    <x v="42"/>
    <d v="2025-02-26T00:00:00"/>
    <s v="M"/>
    <x v="2"/>
    <x v="0"/>
    <x v="0"/>
    <x v="3"/>
    <x v="12"/>
    <x v="6"/>
    <x v="1"/>
  </r>
  <r>
    <s v="TX501095"/>
    <x v="17"/>
    <x v="2"/>
    <n v="49.1"/>
    <x v="824"/>
    <x v="42"/>
    <d v="2025-02-14T00:00:00"/>
    <s v="F"/>
    <x v="0"/>
    <x v="0"/>
    <x v="0"/>
    <x v="24"/>
    <x v="1"/>
    <x v="6"/>
    <x v="2"/>
  </r>
  <r>
    <s v="TX501096"/>
    <x v="1"/>
    <x v="0"/>
    <n v="44.9"/>
    <x v="938"/>
    <x v="42"/>
    <d v="2025-02-15T00:00:00"/>
    <s v="F"/>
    <x v="3"/>
    <x v="2"/>
    <x v="0"/>
    <x v="6"/>
    <x v="2"/>
    <x v="6"/>
    <x v="2"/>
  </r>
  <r>
    <s v="TX501097"/>
    <x v="15"/>
    <x v="3"/>
    <n v="29.9"/>
    <x v="549"/>
    <x v="42"/>
    <d v="2025-02-13T00:00:00"/>
    <s v="F"/>
    <x v="0"/>
    <x v="0"/>
    <x v="0"/>
    <x v="6"/>
    <x v="3"/>
    <x v="6"/>
    <x v="2"/>
  </r>
  <r>
    <s v="TX501098"/>
    <x v="7"/>
    <x v="1"/>
    <n v="54.3"/>
    <x v="939"/>
    <x v="43"/>
    <d v="2025-02-14T00:00:00"/>
    <s v="M"/>
    <x v="3"/>
    <x v="0"/>
    <x v="0"/>
    <x v="36"/>
    <x v="3"/>
    <x v="6"/>
    <x v="1"/>
  </r>
  <r>
    <s v="TX501099"/>
    <x v="9"/>
    <x v="12"/>
    <n v="57"/>
    <x v="416"/>
    <x v="43"/>
    <d v="2025-02-15T00:00:00"/>
    <s v="F"/>
    <x v="0"/>
    <x v="0"/>
    <x v="0"/>
    <x v="8"/>
    <x v="1"/>
    <x v="6"/>
    <x v="2"/>
  </r>
  <r>
    <s v="TX501100"/>
    <x v="2"/>
    <x v="0"/>
    <n v="139.19999999999999"/>
    <x v="388"/>
    <x v="43"/>
    <d v="2025-02-14T00:00:00"/>
    <s v="F"/>
    <x v="3"/>
    <x v="2"/>
    <x v="0"/>
    <x v="8"/>
    <x v="3"/>
    <x v="6"/>
    <x v="2"/>
  </r>
  <r>
    <s v="TX501101"/>
    <x v="10"/>
    <x v="0"/>
    <n v="33"/>
    <x v="940"/>
    <x v="43"/>
    <d v="2025-02-16T00:00:00"/>
    <s v="F"/>
    <x v="0"/>
    <x v="2"/>
    <x v="0"/>
    <x v="8"/>
    <x v="2"/>
    <x v="6"/>
    <x v="2"/>
  </r>
  <r>
    <s v="TX501102"/>
    <x v="11"/>
    <x v="13"/>
    <n v="80.2"/>
    <x v="941"/>
    <x v="43"/>
    <d v="2025-02-15T00:00:00"/>
    <s v="M"/>
    <x v="1"/>
    <x v="4"/>
    <x v="0"/>
    <x v="8"/>
    <x v="1"/>
    <x v="6"/>
    <x v="1"/>
  </r>
  <r>
    <s v="TX501103"/>
    <x v="18"/>
    <x v="8"/>
    <n v="49"/>
    <x v="942"/>
    <x v="43"/>
    <d v="2025-02-14T00:00:00"/>
    <s v=""/>
    <x v="2"/>
    <x v="1"/>
    <x v="0"/>
    <x v="9"/>
    <x v="3"/>
    <x v="6"/>
    <x v="0"/>
  </r>
  <r>
    <s v="TX501104"/>
    <x v="1"/>
    <x v="12"/>
    <n v="104.4"/>
    <x v="943"/>
    <x v="43"/>
    <d v="2025-02-13T00:00:00"/>
    <s v="F"/>
    <x v="0"/>
    <x v="0"/>
    <x v="0"/>
    <x v="9"/>
    <x v="7"/>
    <x v="6"/>
    <x v="2"/>
  </r>
  <r>
    <s v="TX501105"/>
    <x v="3"/>
    <x v="0"/>
    <n v="41.6"/>
    <x v="480"/>
    <x v="43"/>
    <d v="2025-02-16T00:00:00"/>
    <s v="M"/>
    <x v="3"/>
    <x v="0"/>
    <x v="0"/>
    <x v="11"/>
    <x v="2"/>
    <x v="6"/>
    <x v="1"/>
  </r>
  <r>
    <s v="TX501106"/>
    <x v="19"/>
    <x v="1"/>
    <n v="16.399999999999999"/>
    <x v="944"/>
    <x v="43"/>
    <d v="2025-02-14T00:00:00"/>
    <s v="O"/>
    <x v="0"/>
    <x v="2"/>
    <x v="0"/>
    <x v="11"/>
    <x v="3"/>
    <x v="6"/>
    <x v="3"/>
  </r>
  <r>
    <s v="TX501107"/>
    <x v="8"/>
    <x v="1"/>
    <n v="22"/>
    <x v="945"/>
    <x v="43"/>
    <d v="2025-02-14T00:00:00"/>
    <s v="M"/>
    <x v="2"/>
    <x v="2"/>
    <x v="0"/>
    <x v="53"/>
    <x v="3"/>
    <x v="6"/>
    <x v="1"/>
  </r>
  <r>
    <s v="TX501108"/>
    <x v="15"/>
    <x v="1"/>
    <n v="33.6"/>
    <x v="863"/>
    <x v="43"/>
    <d v="2025-02-18T00:00:00"/>
    <s v="F"/>
    <x v="0"/>
    <x v="0"/>
    <x v="0"/>
    <x v="21"/>
    <x v="0"/>
    <x v="6"/>
    <x v="2"/>
  </r>
  <r>
    <s v="TX501109"/>
    <x v="11"/>
    <x v="13"/>
    <n v="43"/>
    <x v="946"/>
    <x v="43"/>
    <d v="2025-02-14T00:00:00"/>
    <s v="F"/>
    <x v="2"/>
    <x v="0"/>
    <x v="0"/>
    <x v="21"/>
    <x v="3"/>
    <x v="6"/>
    <x v="2"/>
  </r>
  <r>
    <s v="TX501110"/>
    <x v="6"/>
    <x v="9"/>
    <n v="108.8"/>
    <x v="947"/>
    <x v="43"/>
    <d v="2025-02-16T00:00:00"/>
    <s v="F"/>
    <x v="4"/>
    <x v="2"/>
    <x v="0"/>
    <x v="21"/>
    <x v="2"/>
    <x v="6"/>
    <x v="2"/>
  </r>
  <r>
    <s v="TX501111"/>
    <x v="0"/>
    <x v="11"/>
    <n v="29.3"/>
    <x v="948"/>
    <x v="43"/>
    <d v="2025-02-15T00:00:00"/>
    <s v="M"/>
    <x v="4"/>
    <x v="2"/>
    <x v="0"/>
    <x v="21"/>
    <x v="1"/>
    <x v="6"/>
    <x v="1"/>
  </r>
  <r>
    <s v="TX501112"/>
    <x v="2"/>
    <x v="0"/>
    <n v="122.7"/>
    <x v="949"/>
    <x v="43"/>
    <d v="2025-02-16T00:00:00"/>
    <s v="O"/>
    <x v="0"/>
    <x v="2"/>
    <x v="0"/>
    <x v="1"/>
    <x v="2"/>
    <x v="6"/>
    <x v="3"/>
  </r>
  <r>
    <s v="TX501113"/>
    <x v="4"/>
    <x v="3"/>
    <n v="22.9"/>
    <x v="950"/>
    <x v="43"/>
    <d v="2025-02-14T00:00:00"/>
    <s v="F"/>
    <x v="0"/>
    <x v="0"/>
    <x v="0"/>
    <x v="42"/>
    <x v="3"/>
    <x v="6"/>
    <x v="2"/>
  </r>
  <r>
    <s v="TX501114"/>
    <x v="8"/>
    <x v="7"/>
    <n v="25.5"/>
    <x v="951"/>
    <x v="43"/>
    <d v="2025-02-20T00:00:00"/>
    <s v="F"/>
    <x v="0"/>
    <x v="0"/>
    <x v="0"/>
    <x v="33"/>
    <x v="6"/>
    <x v="6"/>
    <x v="2"/>
  </r>
  <r>
    <s v="TX501115"/>
    <x v="17"/>
    <x v="2"/>
    <n v="23.4"/>
    <x v="952"/>
    <x v="43"/>
    <d v="2025-02-17T00:00:00"/>
    <s v="F"/>
    <x v="0"/>
    <x v="2"/>
    <x v="0"/>
    <x v="3"/>
    <x v="5"/>
    <x v="6"/>
    <x v="2"/>
  </r>
  <r>
    <s v="TX501116"/>
    <x v="5"/>
    <x v="8"/>
    <n v="27.4"/>
    <x v="77"/>
    <x v="43"/>
    <d v="2025-02-16T00:00:00"/>
    <s v="F"/>
    <x v="2"/>
    <x v="0"/>
    <x v="0"/>
    <x v="3"/>
    <x v="2"/>
    <x v="6"/>
    <x v="2"/>
  </r>
  <r>
    <s v="TX501117"/>
    <x v="5"/>
    <x v="9"/>
    <n v="68.400000000000006"/>
    <x v="953"/>
    <x v="43"/>
    <d v="2025-02-14T00:00:00"/>
    <s v="F"/>
    <x v="0"/>
    <x v="0"/>
    <x v="0"/>
    <x v="3"/>
    <x v="3"/>
    <x v="6"/>
    <x v="2"/>
  </r>
  <r>
    <s v="TX501118"/>
    <x v="6"/>
    <x v="0"/>
    <n v="51.9"/>
    <x v="954"/>
    <x v="43"/>
    <d v="2025-02-13T00:00:00"/>
    <s v="F"/>
    <x v="0"/>
    <x v="0"/>
    <x v="0"/>
    <x v="3"/>
    <x v="7"/>
    <x v="6"/>
    <x v="2"/>
  </r>
  <r>
    <s v="TX501119"/>
    <x v="0"/>
    <x v="9"/>
    <n v="26.4"/>
    <x v="955"/>
    <x v="43"/>
    <d v="2025-02-16T00:00:00"/>
    <s v="F"/>
    <x v="0"/>
    <x v="2"/>
    <x v="0"/>
    <x v="3"/>
    <x v="2"/>
    <x v="6"/>
    <x v="2"/>
  </r>
  <r>
    <s v="TX501120"/>
    <x v="12"/>
    <x v="1"/>
    <n v="117"/>
    <x v="540"/>
    <x v="43"/>
    <d v="2025-02-14T00:00:00"/>
    <s v="F"/>
    <x v="1"/>
    <x v="1"/>
    <x v="0"/>
    <x v="3"/>
    <x v="3"/>
    <x v="6"/>
    <x v="2"/>
  </r>
  <r>
    <s v="TX501121"/>
    <x v="7"/>
    <x v="2"/>
    <n v="49.6"/>
    <x v="956"/>
    <x v="44"/>
    <d v="2025-02-16T00:00:00"/>
    <s v="F"/>
    <x v="0"/>
    <x v="0"/>
    <x v="0"/>
    <x v="3"/>
    <x v="1"/>
    <x v="6"/>
    <x v="2"/>
  </r>
  <r>
    <s v="TX501122"/>
    <x v="4"/>
    <x v="2"/>
    <n v="38"/>
    <x v="717"/>
    <x v="44"/>
    <d v="2025-02-17T00:00:00"/>
    <s v="M"/>
    <x v="2"/>
    <x v="4"/>
    <x v="0"/>
    <x v="3"/>
    <x v="2"/>
    <x v="6"/>
    <x v="1"/>
  </r>
  <r>
    <s v="TX501123"/>
    <x v="0"/>
    <x v="2"/>
    <n v="20.6"/>
    <x v="957"/>
    <x v="44"/>
    <d v="2025-02-16T00:00:00"/>
    <s v="F"/>
    <x v="4"/>
    <x v="2"/>
    <x v="0"/>
    <x v="3"/>
    <x v="1"/>
    <x v="6"/>
    <x v="2"/>
  </r>
  <r>
    <s v="TX501124"/>
    <x v="0"/>
    <x v="1"/>
    <n v="16"/>
    <x v="109"/>
    <x v="44"/>
    <d v="2025-02-15T00:00:00"/>
    <s v="M"/>
    <x v="1"/>
    <x v="1"/>
    <x v="0"/>
    <x v="49"/>
    <x v="3"/>
    <x v="6"/>
    <x v="1"/>
  </r>
  <r>
    <s v="TX501125"/>
    <x v="15"/>
    <x v="12"/>
    <n v="49.3"/>
    <x v="958"/>
    <x v="44"/>
    <d v="2025-02-15T00:00:00"/>
    <s v="F"/>
    <x v="2"/>
    <x v="0"/>
    <x v="0"/>
    <x v="23"/>
    <x v="3"/>
    <x v="6"/>
    <x v="2"/>
  </r>
  <r>
    <s v="TX501126"/>
    <x v="9"/>
    <x v="1"/>
    <n v="24.1"/>
    <x v="959"/>
    <x v="44"/>
    <d v="2025-02-18T00:00:00"/>
    <s v="F"/>
    <x v="0"/>
    <x v="0"/>
    <x v="0"/>
    <x v="6"/>
    <x v="5"/>
    <x v="6"/>
    <x v="2"/>
  </r>
  <r>
    <s v="TX501127"/>
    <x v="15"/>
    <x v="8"/>
    <n v="32.700000000000003"/>
    <x v="960"/>
    <x v="44"/>
    <d v="2025-02-15T00:00:00"/>
    <s v="F"/>
    <x v="1"/>
    <x v="0"/>
    <x v="0"/>
    <x v="6"/>
    <x v="3"/>
    <x v="6"/>
    <x v="2"/>
  </r>
  <r>
    <s v="TX501128"/>
    <x v="6"/>
    <x v="2"/>
    <n v="74.400000000000006"/>
    <x v="961"/>
    <x v="44"/>
    <d v="2025-02-15T00:00:00"/>
    <s v="F"/>
    <x v="3"/>
    <x v="2"/>
    <x v="0"/>
    <x v="8"/>
    <x v="3"/>
    <x v="6"/>
    <x v="2"/>
  </r>
  <r>
    <s v="TX501129"/>
    <x v="12"/>
    <x v="0"/>
    <n v="45.6"/>
    <x v="962"/>
    <x v="44"/>
    <d v="2025-02-18T00:00:00"/>
    <s v="F"/>
    <x v="4"/>
    <x v="0"/>
    <x v="0"/>
    <x v="8"/>
    <x v="5"/>
    <x v="6"/>
    <x v="2"/>
  </r>
  <r>
    <s v="TX501130"/>
    <x v="8"/>
    <x v="8"/>
    <n v="19.600000000000001"/>
    <x v="963"/>
    <x v="44"/>
    <d v="2025-02-27T00:00:00"/>
    <s v="F"/>
    <x v="0"/>
    <x v="0"/>
    <x v="0"/>
    <x v="8"/>
    <x v="10"/>
    <x v="6"/>
    <x v="2"/>
  </r>
  <r>
    <s v="TX501131"/>
    <x v="9"/>
    <x v="0"/>
    <n v="51.8"/>
    <x v="964"/>
    <x v="44"/>
    <d v="2025-02-15T00:00:00"/>
    <s v="F"/>
    <x v="1"/>
    <x v="0"/>
    <x v="0"/>
    <x v="8"/>
    <x v="3"/>
    <x v="6"/>
    <x v="2"/>
  </r>
  <r>
    <s v="TX501132"/>
    <x v="6"/>
    <x v="0"/>
    <n v="74.7"/>
    <x v="965"/>
    <x v="44"/>
    <d v="2025-02-15T00:00:00"/>
    <s v="M"/>
    <x v="0"/>
    <x v="1"/>
    <x v="0"/>
    <x v="8"/>
    <x v="3"/>
    <x v="6"/>
    <x v="1"/>
  </r>
  <r>
    <s v="TX501133"/>
    <x v="19"/>
    <x v="2"/>
    <n v="22.4"/>
    <x v="966"/>
    <x v="44"/>
    <d v="2025-02-15T00:00:00"/>
    <s v="F"/>
    <x v="1"/>
    <x v="2"/>
    <x v="0"/>
    <x v="9"/>
    <x v="3"/>
    <x v="6"/>
    <x v="2"/>
  </r>
  <r>
    <s v="TX501134"/>
    <x v="1"/>
    <x v="12"/>
    <n v="31.4"/>
    <x v="967"/>
    <x v="44"/>
    <d v="2025-02-15T00:00:00"/>
    <s v="F"/>
    <x v="1"/>
    <x v="0"/>
    <x v="0"/>
    <x v="9"/>
    <x v="3"/>
    <x v="6"/>
    <x v="2"/>
  </r>
  <r>
    <s v="TX501135"/>
    <x v="6"/>
    <x v="0"/>
    <n v="94"/>
    <x v="255"/>
    <x v="44"/>
    <d v="2025-02-14T00:00:00"/>
    <s v="F"/>
    <x v="1"/>
    <x v="2"/>
    <x v="0"/>
    <x v="10"/>
    <x v="7"/>
    <x v="6"/>
    <x v="2"/>
  </r>
  <r>
    <s v="TX501136"/>
    <x v="10"/>
    <x v="0"/>
    <n v="22.3"/>
    <x v="968"/>
    <x v="44"/>
    <d v="2025-02-15T00:00:00"/>
    <s v="M"/>
    <x v="4"/>
    <x v="0"/>
    <x v="0"/>
    <x v="20"/>
    <x v="3"/>
    <x v="6"/>
    <x v="1"/>
  </r>
  <r>
    <s v="TX501137"/>
    <x v="0"/>
    <x v="0"/>
    <n v="21.9"/>
    <x v="731"/>
    <x v="44"/>
    <d v="2025-02-17T00:00:00"/>
    <s v="F"/>
    <x v="2"/>
    <x v="0"/>
    <x v="0"/>
    <x v="21"/>
    <x v="2"/>
    <x v="6"/>
    <x v="2"/>
  </r>
  <r>
    <s v="TX501138"/>
    <x v="17"/>
    <x v="2"/>
    <n v="27"/>
    <x v="969"/>
    <x v="44"/>
    <d v="2025-02-16T00:00:00"/>
    <s v="F"/>
    <x v="4"/>
    <x v="2"/>
    <x v="0"/>
    <x v="2"/>
    <x v="1"/>
    <x v="6"/>
    <x v="2"/>
  </r>
  <r>
    <s v="TX501139"/>
    <x v="2"/>
    <x v="12"/>
    <n v="149.6"/>
    <x v="970"/>
    <x v="44"/>
    <d v="2025-02-14T00:00:00"/>
    <s v="F"/>
    <x v="4"/>
    <x v="0"/>
    <x v="0"/>
    <x v="22"/>
    <x v="7"/>
    <x v="6"/>
    <x v="2"/>
  </r>
  <r>
    <s v="TX501140"/>
    <x v="2"/>
    <x v="12"/>
    <n v="129.1"/>
    <x v="971"/>
    <x v="44"/>
    <d v="2025-02-24T00:00:00"/>
    <s v="M"/>
    <x v="0"/>
    <x v="1"/>
    <x v="0"/>
    <x v="3"/>
    <x v="14"/>
    <x v="6"/>
    <x v="1"/>
  </r>
  <r>
    <s v="TX501141"/>
    <x v="1"/>
    <x v="4"/>
    <n v="40.4"/>
    <x v="972"/>
    <x v="44"/>
    <d v="2025-02-15T00:00:00"/>
    <s v="M"/>
    <x v="1"/>
    <x v="1"/>
    <x v="0"/>
    <x v="3"/>
    <x v="3"/>
    <x v="6"/>
    <x v="1"/>
  </r>
  <r>
    <s v="TX501142"/>
    <x v="4"/>
    <x v="2"/>
    <n v="48.5"/>
    <x v="973"/>
    <x v="44"/>
    <d v="2025-02-16T00:00:00"/>
    <s v="F"/>
    <x v="0"/>
    <x v="4"/>
    <x v="0"/>
    <x v="3"/>
    <x v="1"/>
    <x v="6"/>
    <x v="2"/>
  </r>
  <r>
    <s v="TX501143"/>
    <x v="9"/>
    <x v="1"/>
    <n v="37.6"/>
    <x v="495"/>
    <x v="44"/>
    <d v="2025-02-16T00:00:00"/>
    <s v="F"/>
    <x v="1"/>
    <x v="2"/>
    <x v="0"/>
    <x v="3"/>
    <x v="1"/>
    <x v="6"/>
    <x v="2"/>
  </r>
  <r>
    <s v="TX501144"/>
    <x v="8"/>
    <x v="1"/>
    <n v="19.600000000000001"/>
    <x v="496"/>
    <x v="44"/>
    <d v="2025-02-15T00:00:00"/>
    <s v="M"/>
    <x v="3"/>
    <x v="4"/>
    <x v="0"/>
    <x v="43"/>
    <x v="3"/>
    <x v="6"/>
    <x v="1"/>
  </r>
  <r>
    <s v="TX501145"/>
    <x v="8"/>
    <x v="9"/>
    <n v="18.5"/>
    <x v="974"/>
    <x v="44"/>
    <d v="2025-02-15T00:00:00"/>
    <s v="F"/>
    <x v="2"/>
    <x v="1"/>
    <x v="0"/>
    <x v="6"/>
    <x v="3"/>
    <x v="6"/>
    <x v="2"/>
  </r>
  <r>
    <s v="TX501146"/>
    <x v="5"/>
    <x v="2"/>
    <n v="25.5"/>
    <x v="514"/>
    <x v="44"/>
    <d v="2025-02-16T00:00:00"/>
    <s v="F"/>
    <x v="4"/>
    <x v="1"/>
    <x v="0"/>
    <x v="6"/>
    <x v="1"/>
    <x v="6"/>
    <x v="2"/>
  </r>
  <r>
    <s v="TX501147"/>
    <x v="2"/>
    <x v="1"/>
    <n v="94.7"/>
    <x v="975"/>
    <x v="44"/>
    <d v="2025-02-15T00:00:00"/>
    <s v="F"/>
    <x v="2"/>
    <x v="0"/>
    <x v="0"/>
    <x v="36"/>
    <x v="3"/>
    <x v="6"/>
    <x v="2"/>
  </r>
  <r>
    <s v="TX501148"/>
    <x v="1"/>
    <x v="13"/>
    <n v="38.799999999999997"/>
    <x v="976"/>
    <x v="44"/>
    <d v="2025-02-19T00:00:00"/>
    <s v="F"/>
    <x v="2"/>
    <x v="2"/>
    <x v="0"/>
    <x v="8"/>
    <x v="0"/>
    <x v="6"/>
    <x v="2"/>
  </r>
  <r>
    <s v="TX501149"/>
    <x v="9"/>
    <x v="1"/>
    <n v="49.4"/>
    <x v="197"/>
    <x v="45"/>
    <d v="2025-02-23T00:00:00"/>
    <s v="M"/>
    <x v="4"/>
    <x v="1"/>
    <x v="0"/>
    <x v="8"/>
    <x v="9"/>
    <x v="6"/>
    <x v="1"/>
  </r>
  <r>
    <s v="TX501150"/>
    <x v="7"/>
    <x v="2"/>
    <n v="68"/>
    <x v="977"/>
    <x v="45"/>
    <d v="2025-02-18T00:00:00"/>
    <s v="M"/>
    <x v="0"/>
    <x v="2"/>
    <x v="0"/>
    <x v="8"/>
    <x v="2"/>
    <x v="6"/>
    <x v="1"/>
  </r>
  <r>
    <s v="TX501151"/>
    <x v="15"/>
    <x v="3"/>
    <n v="63.7"/>
    <x v="978"/>
    <x v="45"/>
    <d v="2025-02-16T00:00:00"/>
    <s v="F"/>
    <x v="2"/>
    <x v="2"/>
    <x v="0"/>
    <x v="8"/>
    <x v="3"/>
    <x v="6"/>
    <x v="2"/>
  </r>
  <r>
    <s v="TX501152"/>
    <x v="10"/>
    <x v="1"/>
    <n v="66.2"/>
    <x v="979"/>
    <x v="45"/>
    <d v="2025-02-16T00:00:00"/>
    <s v="F"/>
    <x v="4"/>
    <x v="2"/>
    <x v="0"/>
    <x v="17"/>
    <x v="3"/>
    <x v="6"/>
    <x v="2"/>
  </r>
  <r>
    <s v="TX501153"/>
    <x v="12"/>
    <x v="2"/>
    <n v="32.299999999999997"/>
    <x v="980"/>
    <x v="45"/>
    <d v="2025-02-16T00:00:00"/>
    <s v="O"/>
    <x v="2"/>
    <x v="1"/>
    <x v="0"/>
    <x v="9"/>
    <x v="3"/>
    <x v="6"/>
    <x v="3"/>
  </r>
  <r>
    <s v="TX501154"/>
    <x v="4"/>
    <x v="1"/>
    <n v="66.900000000000006"/>
    <x v="981"/>
    <x v="45"/>
    <d v="2025-02-18T00:00:00"/>
    <s v="M"/>
    <x v="1"/>
    <x v="0"/>
    <x v="0"/>
    <x v="11"/>
    <x v="2"/>
    <x v="6"/>
    <x v="1"/>
  </r>
  <r>
    <s v="TX501155"/>
    <x v="4"/>
    <x v="4"/>
    <n v="25.2"/>
    <x v="982"/>
    <x v="45"/>
    <d v="2025-02-19T00:00:00"/>
    <s v="F"/>
    <x v="0"/>
    <x v="1"/>
    <x v="0"/>
    <x v="11"/>
    <x v="5"/>
    <x v="6"/>
    <x v="2"/>
  </r>
  <r>
    <s v="TX501156"/>
    <x v="10"/>
    <x v="13"/>
    <n v="29.5"/>
    <x v="983"/>
    <x v="45"/>
    <d v="2025-02-16T00:00:00"/>
    <s v="M"/>
    <x v="2"/>
    <x v="0"/>
    <x v="0"/>
    <x v="11"/>
    <x v="3"/>
    <x v="6"/>
    <x v="1"/>
  </r>
  <r>
    <s v="TX501157"/>
    <x v="8"/>
    <x v="9"/>
    <n v="21.6"/>
    <x v="807"/>
    <x v="45"/>
    <d v="2025-02-17T00:00:00"/>
    <s v="F"/>
    <x v="0"/>
    <x v="2"/>
    <x v="0"/>
    <x v="32"/>
    <x v="1"/>
    <x v="6"/>
    <x v="2"/>
  </r>
  <r>
    <s v="TX501158"/>
    <x v="12"/>
    <x v="2"/>
    <n v="69"/>
    <x v="461"/>
    <x v="45"/>
    <d v="2025-02-16T00:00:00"/>
    <s v="F"/>
    <x v="0"/>
    <x v="0"/>
    <x v="0"/>
    <x v="18"/>
    <x v="3"/>
    <x v="6"/>
    <x v="2"/>
  </r>
  <r>
    <s v="TX501159"/>
    <x v="7"/>
    <x v="1"/>
    <n v="115"/>
    <x v="984"/>
    <x v="45"/>
    <d v="2025-02-19T00:00:00"/>
    <s v="M"/>
    <x v="0"/>
    <x v="2"/>
    <x v="0"/>
    <x v="18"/>
    <x v="5"/>
    <x v="6"/>
    <x v="1"/>
  </r>
  <r>
    <s v="TX501160"/>
    <x v="2"/>
    <x v="1"/>
    <n v="109.3"/>
    <x v="985"/>
    <x v="45"/>
    <d v="2025-02-17T00:00:00"/>
    <s v=""/>
    <x v="3"/>
    <x v="1"/>
    <x v="0"/>
    <x v="19"/>
    <x v="1"/>
    <x v="6"/>
    <x v="0"/>
  </r>
  <r>
    <s v="TX501161"/>
    <x v="9"/>
    <x v="1"/>
    <n v="66.599999999999994"/>
    <x v="986"/>
    <x v="45"/>
    <d v="2025-02-18T00:00:00"/>
    <s v=""/>
    <x v="4"/>
    <x v="1"/>
    <x v="0"/>
    <x v="19"/>
    <x v="2"/>
    <x v="6"/>
    <x v="0"/>
  </r>
  <r>
    <s v="TX501162"/>
    <x v="12"/>
    <x v="9"/>
    <n v="47.7"/>
    <x v="987"/>
    <x v="45"/>
    <d v="2025-02-16T00:00:00"/>
    <s v="M"/>
    <x v="3"/>
    <x v="2"/>
    <x v="0"/>
    <x v="21"/>
    <x v="3"/>
    <x v="6"/>
    <x v="1"/>
  </r>
  <r>
    <s v="TX501163"/>
    <x v="8"/>
    <x v="1"/>
    <n v="46"/>
    <x v="988"/>
    <x v="45"/>
    <d v="2025-02-16T00:00:00"/>
    <s v="F"/>
    <x v="4"/>
    <x v="4"/>
    <x v="0"/>
    <x v="22"/>
    <x v="3"/>
    <x v="6"/>
    <x v="2"/>
  </r>
  <r>
    <s v="TX501164"/>
    <x v="1"/>
    <x v="13"/>
    <n v="39.299999999999997"/>
    <x v="989"/>
    <x v="45"/>
    <d v="2025-02-17T00:00:00"/>
    <s v="M"/>
    <x v="3"/>
    <x v="2"/>
    <x v="0"/>
    <x v="3"/>
    <x v="1"/>
    <x v="6"/>
    <x v="1"/>
  </r>
  <r>
    <s v="TX501165"/>
    <x v="9"/>
    <x v="0"/>
    <n v="70.2"/>
    <x v="474"/>
    <x v="45"/>
    <d v="2025-02-16T00:00:00"/>
    <s v="F"/>
    <x v="0"/>
    <x v="4"/>
    <x v="0"/>
    <x v="3"/>
    <x v="3"/>
    <x v="6"/>
    <x v="2"/>
  </r>
  <r>
    <s v="TX501166"/>
    <x v="3"/>
    <x v="12"/>
    <n v="71.5"/>
    <x v="990"/>
    <x v="45"/>
    <d v="2025-02-15T00:00:00"/>
    <s v="F"/>
    <x v="1"/>
    <x v="2"/>
    <x v="0"/>
    <x v="3"/>
    <x v="7"/>
    <x v="6"/>
    <x v="2"/>
  </r>
  <r>
    <s v="TX501167"/>
    <x v="10"/>
    <x v="3"/>
    <n v="31"/>
    <x v="991"/>
    <x v="45"/>
    <d v="2025-02-22T00:00:00"/>
    <s v="F"/>
    <x v="3"/>
    <x v="2"/>
    <x v="0"/>
    <x v="3"/>
    <x v="6"/>
    <x v="6"/>
    <x v="2"/>
  </r>
  <r>
    <s v="TX501168"/>
    <x v="2"/>
    <x v="9"/>
    <n v="68.2"/>
    <x v="992"/>
    <x v="45"/>
    <d v="2025-02-20T00:00:00"/>
    <s v="F"/>
    <x v="0"/>
    <x v="2"/>
    <x v="0"/>
    <x v="3"/>
    <x v="0"/>
    <x v="6"/>
    <x v="2"/>
  </r>
  <r>
    <s v="TX501169"/>
    <x v="2"/>
    <x v="0"/>
    <n v="91.4"/>
    <x v="411"/>
    <x v="45"/>
    <d v="2025-02-19T00:00:00"/>
    <s v="F"/>
    <x v="1"/>
    <x v="2"/>
    <x v="0"/>
    <x v="6"/>
    <x v="5"/>
    <x v="6"/>
    <x v="2"/>
  </r>
  <r>
    <s v="TX501170"/>
    <x v="6"/>
    <x v="7"/>
    <n v="112.9"/>
    <x v="993"/>
    <x v="45"/>
    <d v="2025-02-16T00:00:00"/>
    <s v="F"/>
    <x v="0"/>
    <x v="0"/>
    <x v="0"/>
    <x v="6"/>
    <x v="3"/>
    <x v="6"/>
    <x v="2"/>
  </r>
  <r>
    <s v="TX501171"/>
    <x v="17"/>
    <x v="11"/>
    <n v="33.700000000000003"/>
    <x v="994"/>
    <x v="45"/>
    <d v="2025-02-16T00:00:00"/>
    <s v="F"/>
    <x v="1"/>
    <x v="2"/>
    <x v="0"/>
    <x v="8"/>
    <x v="3"/>
    <x v="6"/>
    <x v="2"/>
  </r>
  <r>
    <s v="TX501172"/>
    <x v="15"/>
    <x v="7"/>
    <n v="35.299999999999997"/>
    <x v="995"/>
    <x v="45"/>
    <d v="2025-02-17T00:00:00"/>
    <s v="M"/>
    <x v="2"/>
    <x v="0"/>
    <x v="0"/>
    <x v="8"/>
    <x v="1"/>
    <x v="6"/>
    <x v="1"/>
  </r>
  <r>
    <s v="TX501173"/>
    <x v="18"/>
    <x v="2"/>
    <n v="45.6"/>
    <x v="996"/>
    <x v="45"/>
    <d v="2025-02-19T00:00:00"/>
    <s v="M"/>
    <x v="3"/>
    <x v="0"/>
    <x v="0"/>
    <x v="8"/>
    <x v="5"/>
    <x v="6"/>
    <x v="1"/>
  </r>
  <r>
    <s v="TX501174"/>
    <x v="7"/>
    <x v="3"/>
    <n v="47.1"/>
    <x v="847"/>
    <x v="45"/>
    <d v="2025-02-16T00:00:00"/>
    <s v="F"/>
    <x v="4"/>
    <x v="2"/>
    <x v="0"/>
    <x v="9"/>
    <x v="3"/>
    <x v="6"/>
    <x v="2"/>
  </r>
  <r>
    <s v="TX501175"/>
    <x v="8"/>
    <x v="9"/>
    <n v="16.2"/>
    <x v="969"/>
    <x v="45"/>
    <d v="2025-02-17T00:00:00"/>
    <s v="F"/>
    <x v="3"/>
    <x v="2"/>
    <x v="0"/>
    <x v="19"/>
    <x v="1"/>
    <x v="6"/>
    <x v="2"/>
  </r>
  <r>
    <s v="TX501176"/>
    <x v="1"/>
    <x v="1"/>
    <n v="159.69999999999999"/>
    <x v="997"/>
    <x v="46"/>
    <d v="2025-02-17T00:00:00"/>
    <s v="M"/>
    <x v="4"/>
    <x v="0"/>
    <x v="0"/>
    <x v="13"/>
    <x v="3"/>
    <x v="7"/>
    <x v="1"/>
  </r>
  <r>
    <s v="TX501177"/>
    <x v="8"/>
    <x v="12"/>
    <n v="19"/>
    <x v="998"/>
    <x v="46"/>
    <d v="2025-02-23T00:00:00"/>
    <s v="F"/>
    <x v="2"/>
    <x v="2"/>
    <x v="0"/>
    <x v="21"/>
    <x v="6"/>
    <x v="7"/>
    <x v="2"/>
  </r>
  <r>
    <s v="TX501178"/>
    <x v="6"/>
    <x v="13"/>
    <n v="91.1"/>
    <x v="999"/>
    <x v="46"/>
    <d v="2025-02-25T00:00:00"/>
    <s v="F"/>
    <x v="4"/>
    <x v="0"/>
    <x v="0"/>
    <x v="21"/>
    <x v="8"/>
    <x v="7"/>
    <x v="2"/>
  </r>
  <r>
    <s v="TX501179"/>
    <x v="2"/>
    <x v="9"/>
    <n v="94.1"/>
    <x v="1000"/>
    <x v="46"/>
    <d v="2025-02-19T00:00:00"/>
    <s v=""/>
    <x v="1"/>
    <x v="1"/>
    <x v="0"/>
    <x v="21"/>
    <x v="2"/>
    <x v="7"/>
    <x v="0"/>
  </r>
  <r>
    <s v="TX501180"/>
    <x v="9"/>
    <x v="11"/>
    <n v="21.1"/>
    <x v="1001"/>
    <x v="46"/>
    <d v="2025-02-17T00:00:00"/>
    <s v="F"/>
    <x v="4"/>
    <x v="2"/>
    <x v="0"/>
    <x v="51"/>
    <x v="3"/>
    <x v="7"/>
    <x v="2"/>
  </r>
  <r>
    <s v="TX501181"/>
    <x v="8"/>
    <x v="3"/>
    <n v="15.3"/>
    <x v="1002"/>
    <x v="46"/>
    <d v="2025-02-24T00:00:00"/>
    <s v="F"/>
    <x v="2"/>
    <x v="0"/>
    <x v="0"/>
    <x v="1"/>
    <x v="9"/>
    <x v="7"/>
    <x v="2"/>
  </r>
  <r>
    <s v="TX501182"/>
    <x v="15"/>
    <x v="12"/>
    <n v="21.3"/>
    <x v="464"/>
    <x v="46"/>
    <d v="2025-02-19T00:00:00"/>
    <s v="M"/>
    <x v="1"/>
    <x v="0"/>
    <x v="0"/>
    <x v="3"/>
    <x v="2"/>
    <x v="7"/>
    <x v="1"/>
  </r>
  <r>
    <s v="TX501183"/>
    <x v="0"/>
    <x v="1"/>
    <n v="23.2"/>
    <x v="434"/>
    <x v="46"/>
    <d v="2025-02-16T00:00:00"/>
    <s v=""/>
    <x v="3"/>
    <x v="1"/>
    <x v="0"/>
    <x v="3"/>
    <x v="7"/>
    <x v="7"/>
    <x v="0"/>
  </r>
  <r>
    <s v="TX501184"/>
    <x v="4"/>
    <x v="2"/>
    <n v="25.7"/>
    <x v="1003"/>
    <x v="46"/>
    <d v="2025-02-17T00:00:00"/>
    <s v="M"/>
    <x v="4"/>
    <x v="0"/>
    <x v="0"/>
    <x v="3"/>
    <x v="3"/>
    <x v="7"/>
    <x v="1"/>
  </r>
  <r>
    <s v="TX501185"/>
    <x v="0"/>
    <x v="11"/>
    <n v="31.6"/>
    <x v="1004"/>
    <x v="46"/>
    <d v="2025-02-18T00:00:00"/>
    <s v="F"/>
    <x v="0"/>
    <x v="0"/>
    <x v="0"/>
    <x v="3"/>
    <x v="1"/>
    <x v="7"/>
    <x v="2"/>
  </r>
  <r>
    <s v="TX501186"/>
    <x v="6"/>
    <x v="0"/>
    <n v="64.2"/>
    <x v="1005"/>
    <x v="46"/>
    <d v="2025-02-21T00:00:00"/>
    <s v="M"/>
    <x v="0"/>
    <x v="0"/>
    <x v="0"/>
    <x v="3"/>
    <x v="0"/>
    <x v="7"/>
    <x v="1"/>
  </r>
  <r>
    <s v="TX501187"/>
    <x v="8"/>
    <x v="1"/>
    <n v="55.8"/>
    <x v="1006"/>
    <x v="46"/>
    <d v="2025-02-18T00:00:00"/>
    <s v=""/>
    <x v="0"/>
    <x v="0"/>
    <x v="0"/>
    <x v="3"/>
    <x v="1"/>
    <x v="7"/>
    <x v="0"/>
  </r>
  <r>
    <s v="TX501188"/>
    <x v="8"/>
    <x v="1"/>
    <n v="28.1"/>
    <x v="1007"/>
    <x v="46"/>
    <d v="2025-02-17T00:00:00"/>
    <s v="F"/>
    <x v="4"/>
    <x v="1"/>
    <x v="0"/>
    <x v="3"/>
    <x v="3"/>
    <x v="7"/>
    <x v="2"/>
  </r>
  <r>
    <s v="TX501189"/>
    <x v="0"/>
    <x v="1"/>
    <n v="11.6"/>
    <x v="772"/>
    <x v="46"/>
    <d v="2025-02-18T00:00:00"/>
    <s v="F"/>
    <x v="1"/>
    <x v="0"/>
    <x v="0"/>
    <x v="24"/>
    <x v="1"/>
    <x v="7"/>
    <x v="2"/>
  </r>
  <r>
    <s v="TX501190"/>
    <x v="5"/>
    <x v="2"/>
    <n v="50.4"/>
    <x v="277"/>
    <x v="46"/>
    <d v="2025-02-17T00:00:00"/>
    <s v="M"/>
    <x v="4"/>
    <x v="2"/>
    <x v="0"/>
    <x v="25"/>
    <x v="3"/>
    <x v="7"/>
    <x v="1"/>
  </r>
  <r>
    <s v="TX501191"/>
    <x v="6"/>
    <x v="13"/>
    <n v="48.3"/>
    <x v="1008"/>
    <x v="46"/>
    <d v="2025-02-20T00:00:00"/>
    <s v="F"/>
    <x v="0"/>
    <x v="0"/>
    <x v="0"/>
    <x v="25"/>
    <x v="5"/>
    <x v="7"/>
    <x v="2"/>
  </r>
  <r>
    <s v="TX501192"/>
    <x v="17"/>
    <x v="3"/>
    <n v="32.200000000000003"/>
    <x v="1009"/>
    <x v="46"/>
    <d v="2025-02-18T00:00:00"/>
    <s v="F"/>
    <x v="2"/>
    <x v="0"/>
    <x v="0"/>
    <x v="25"/>
    <x v="1"/>
    <x v="7"/>
    <x v="2"/>
  </r>
  <r>
    <s v="TX501193"/>
    <x v="7"/>
    <x v="31"/>
    <n v="48.5"/>
    <x v="1010"/>
    <x v="46"/>
    <d v="2025-02-17T00:00:00"/>
    <s v="M"/>
    <x v="0"/>
    <x v="0"/>
    <x v="0"/>
    <x v="5"/>
    <x v="3"/>
    <x v="7"/>
    <x v="1"/>
  </r>
  <r>
    <s v="TX501194"/>
    <x v="2"/>
    <x v="9"/>
    <n v="62"/>
    <x v="892"/>
    <x v="46"/>
    <d v="2025-02-19T00:00:00"/>
    <s v="F"/>
    <x v="1"/>
    <x v="0"/>
    <x v="0"/>
    <x v="6"/>
    <x v="2"/>
    <x v="7"/>
    <x v="2"/>
  </r>
  <r>
    <s v="TX501195"/>
    <x v="8"/>
    <x v="2"/>
    <n v="32.1"/>
    <x v="219"/>
    <x v="47"/>
    <d v="2025-02-19T00:00:00"/>
    <s v="M"/>
    <x v="0"/>
    <x v="0"/>
    <x v="0"/>
    <x v="6"/>
    <x v="1"/>
    <x v="7"/>
    <x v="1"/>
  </r>
  <r>
    <s v="TX501196"/>
    <x v="12"/>
    <x v="2"/>
    <n v="106.1"/>
    <x v="1011"/>
    <x v="47"/>
    <d v="2025-02-19T00:00:00"/>
    <s v="M"/>
    <x v="0"/>
    <x v="1"/>
    <x v="0"/>
    <x v="7"/>
    <x v="1"/>
    <x v="7"/>
    <x v="1"/>
  </r>
  <r>
    <s v="TX501197"/>
    <x v="10"/>
    <x v="2"/>
    <n v="23.5"/>
    <x v="1012"/>
    <x v="47"/>
    <d v="2025-02-20T00:00:00"/>
    <s v="M"/>
    <x v="0"/>
    <x v="4"/>
    <x v="0"/>
    <x v="7"/>
    <x v="2"/>
    <x v="7"/>
    <x v="1"/>
  </r>
  <r>
    <s v="TX501198"/>
    <x v="1"/>
    <x v="1"/>
    <n v="35.6"/>
    <x v="1013"/>
    <x v="47"/>
    <d v="2025-02-22T00:00:00"/>
    <s v="M"/>
    <x v="4"/>
    <x v="0"/>
    <x v="0"/>
    <x v="8"/>
    <x v="0"/>
    <x v="7"/>
    <x v="1"/>
  </r>
  <r>
    <s v="TX501199"/>
    <x v="1"/>
    <x v="1"/>
    <n v="63.5"/>
    <x v="520"/>
    <x v="47"/>
    <d v="2025-02-17T00:00:00"/>
    <s v="F"/>
    <x v="1"/>
    <x v="2"/>
    <x v="0"/>
    <x v="8"/>
    <x v="7"/>
    <x v="7"/>
    <x v="2"/>
  </r>
  <r>
    <s v="TX501200"/>
    <x v="6"/>
    <x v="3"/>
    <n v="82.9"/>
    <x v="1014"/>
    <x v="47"/>
    <d v="2025-02-22T00:00:00"/>
    <s v="F"/>
    <x v="4"/>
    <x v="0"/>
    <x v="0"/>
    <x v="9"/>
    <x v="0"/>
    <x v="7"/>
    <x v="2"/>
  </r>
  <r>
    <s v="TX501201"/>
    <x v="6"/>
    <x v="1"/>
    <n v="83.6"/>
    <x v="762"/>
    <x v="47"/>
    <d v="2025-02-22T00:00:00"/>
    <s v="F"/>
    <x v="0"/>
    <x v="0"/>
    <x v="0"/>
    <x v="11"/>
    <x v="0"/>
    <x v="7"/>
    <x v="2"/>
  </r>
  <r>
    <s v="TX501202"/>
    <x v="4"/>
    <x v="1"/>
    <n v="29.4"/>
    <x v="572"/>
    <x v="47"/>
    <d v="2025-02-17T00:00:00"/>
    <s v="F"/>
    <x v="0"/>
    <x v="1"/>
    <x v="0"/>
    <x v="30"/>
    <x v="7"/>
    <x v="7"/>
    <x v="2"/>
  </r>
  <r>
    <s v="TX501203"/>
    <x v="2"/>
    <x v="2"/>
    <n v="107.1"/>
    <x v="1015"/>
    <x v="47"/>
    <d v="2025-02-21T00:00:00"/>
    <s v="F"/>
    <x v="2"/>
    <x v="0"/>
    <x v="0"/>
    <x v="20"/>
    <x v="5"/>
    <x v="7"/>
    <x v="2"/>
  </r>
  <r>
    <s v="TX501204"/>
    <x v="2"/>
    <x v="0"/>
    <n v="62.7"/>
    <x v="1016"/>
    <x v="47"/>
    <d v="2025-02-21T00:00:00"/>
    <s v="M"/>
    <x v="1"/>
    <x v="0"/>
    <x v="0"/>
    <x v="21"/>
    <x v="5"/>
    <x v="7"/>
    <x v="1"/>
  </r>
  <r>
    <s v="TX501205"/>
    <x v="11"/>
    <x v="0"/>
    <n v="41.6"/>
    <x v="480"/>
    <x v="47"/>
    <d v="2025-02-18T00:00:00"/>
    <s v="M"/>
    <x v="0"/>
    <x v="1"/>
    <x v="0"/>
    <x v="1"/>
    <x v="3"/>
    <x v="7"/>
    <x v="1"/>
  </r>
  <r>
    <s v="TX501206"/>
    <x v="6"/>
    <x v="0"/>
    <n v="44.2"/>
    <x v="573"/>
    <x v="47"/>
    <d v="2025-02-18T00:00:00"/>
    <s v="O"/>
    <x v="0"/>
    <x v="1"/>
    <x v="0"/>
    <x v="1"/>
    <x v="3"/>
    <x v="7"/>
    <x v="3"/>
  </r>
  <r>
    <s v="TX501207"/>
    <x v="4"/>
    <x v="13"/>
    <n v="40.4"/>
    <x v="1017"/>
    <x v="47"/>
    <d v="2025-03-02T00:00:00"/>
    <s v="F"/>
    <x v="2"/>
    <x v="0"/>
    <x v="0"/>
    <x v="22"/>
    <x v="10"/>
    <x v="7"/>
    <x v="2"/>
  </r>
  <r>
    <s v="TX501208"/>
    <x v="15"/>
    <x v="13"/>
    <n v="59.6"/>
    <x v="1018"/>
    <x v="47"/>
    <d v="2025-02-18T00:00:00"/>
    <s v="F"/>
    <x v="4"/>
    <x v="0"/>
    <x v="0"/>
    <x v="34"/>
    <x v="3"/>
    <x v="7"/>
    <x v="2"/>
  </r>
  <r>
    <s v="TX501209"/>
    <x v="17"/>
    <x v="4"/>
    <n v="63.8"/>
    <x v="1019"/>
    <x v="47"/>
    <d v="2025-02-18T00:00:00"/>
    <s v="M"/>
    <x v="1"/>
    <x v="0"/>
    <x v="0"/>
    <x v="3"/>
    <x v="3"/>
    <x v="7"/>
    <x v="1"/>
  </r>
  <r>
    <s v="TX501210"/>
    <x v="9"/>
    <x v="13"/>
    <n v="30.8"/>
    <x v="827"/>
    <x v="47"/>
    <d v="2025-02-19T00:00:00"/>
    <s v="M"/>
    <x v="4"/>
    <x v="0"/>
    <x v="0"/>
    <x v="3"/>
    <x v="1"/>
    <x v="7"/>
    <x v="1"/>
  </r>
  <r>
    <s v="TX501211"/>
    <x v="1"/>
    <x v="1"/>
    <n v="41.5"/>
    <x v="470"/>
    <x v="47"/>
    <d v="2025-02-20T00:00:00"/>
    <s v="O"/>
    <x v="0"/>
    <x v="0"/>
    <x v="0"/>
    <x v="3"/>
    <x v="2"/>
    <x v="7"/>
    <x v="3"/>
  </r>
  <r>
    <s v="TX501212"/>
    <x v="10"/>
    <x v="12"/>
    <n v="44.7"/>
    <x v="1020"/>
    <x v="47"/>
    <d v="2025-02-19T00:00:00"/>
    <s v="F"/>
    <x v="2"/>
    <x v="1"/>
    <x v="0"/>
    <x v="3"/>
    <x v="1"/>
    <x v="7"/>
    <x v="2"/>
  </r>
  <r>
    <s v="TX501213"/>
    <x v="12"/>
    <x v="1"/>
    <n v="64.099999999999994"/>
    <x v="618"/>
    <x v="47"/>
    <d v="2025-02-21T00:00:00"/>
    <s v="F"/>
    <x v="1"/>
    <x v="4"/>
    <x v="0"/>
    <x v="3"/>
    <x v="5"/>
    <x v="7"/>
    <x v="2"/>
  </r>
  <r>
    <s v="TX501214"/>
    <x v="8"/>
    <x v="0"/>
    <n v="15.9"/>
    <x v="1021"/>
    <x v="47"/>
    <d v="2025-02-20T00:00:00"/>
    <s v=""/>
    <x v="1"/>
    <x v="0"/>
    <x v="0"/>
    <x v="3"/>
    <x v="2"/>
    <x v="7"/>
    <x v="0"/>
  </r>
  <r>
    <s v="TX501215"/>
    <x v="6"/>
    <x v="1"/>
    <n v="78.7"/>
    <x v="1022"/>
    <x v="47"/>
    <d v="2025-02-17T00:00:00"/>
    <s v="F"/>
    <x v="2"/>
    <x v="1"/>
    <x v="0"/>
    <x v="3"/>
    <x v="7"/>
    <x v="7"/>
    <x v="2"/>
  </r>
  <r>
    <s v="TX501216"/>
    <x v="5"/>
    <x v="4"/>
    <n v="29.6"/>
    <x v="1023"/>
    <x v="47"/>
    <d v="2025-02-21T00:00:00"/>
    <s v="M"/>
    <x v="2"/>
    <x v="4"/>
    <x v="0"/>
    <x v="3"/>
    <x v="5"/>
    <x v="7"/>
    <x v="1"/>
  </r>
  <r>
    <s v="TX501217"/>
    <x v="8"/>
    <x v="12"/>
    <n v="21.5"/>
    <x v="1024"/>
    <x v="47"/>
    <d v="2025-02-20T00:00:00"/>
    <s v="M"/>
    <x v="1"/>
    <x v="0"/>
    <x v="0"/>
    <x v="3"/>
    <x v="2"/>
    <x v="7"/>
    <x v="1"/>
  </r>
  <r>
    <s v="TX501218"/>
    <x v="9"/>
    <x v="2"/>
    <n v="74.900000000000006"/>
    <x v="890"/>
    <x v="47"/>
    <d v="2025-02-26T00:00:00"/>
    <s v="M"/>
    <x v="3"/>
    <x v="1"/>
    <x v="0"/>
    <x v="3"/>
    <x v="8"/>
    <x v="7"/>
    <x v="1"/>
  </r>
  <r>
    <s v="TX501219"/>
    <x v="10"/>
    <x v="13"/>
    <n v="45"/>
    <x v="843"/>
    <x v="47"/>
    <d v="2025-02-22T00:00:00"/>
    <s v="F"/>
    <x v="2"/>
    <x v="0"/>
    <x v="0"/>
    <x v="3"/>
    <x v="0"/>
    <x v="7"/>
    <x v="2"/>
  </r>
  <r>
    <s v="TX501220"/>
    <x v="7"/>
    <x v="33"/>
    <n v="37.9"/>
    <x v="1025"/>
    <x v="47"/>
    <d v="2025-02-18T00:00:00"/>
    <s v="M"/>
    <x v="0"/>
    <x v="0"/>
    <x v="0"/>
    <x v="3"/>
    <x v="3"/>
    <x v="7"/>
    <x v="1"/>
  </r>
  <r>
    <s v="TX501221"/>
    <x v="6"/>
    <x v="2"/>
    <n v="56.6"/>
    <x v="1026"/>
    <x v="47"/>
    <d v="2025-02-18T00:00:00"/>
    <s v="M"/>
    <x v="3"/>
    <x v="0"/>
    <x v="0"/>
    <x v="3"/>
    <x v="3"/>
    <x v="7"/>
    <x v="1"/>
  </r>
  <r>
    <s v="TX501222"/>
    <x v="3"/>
    <x v="15"/>
    <n v="84.5"/>
    <x v="1027"/>
    <x v="47"/>
    <d v="2025-02-20T00:00:00"/>
    <s v="F"/>
    <x v="1"/>
    <x v="4"/>
    <x v="0"/>
    <x v="3"/>
    <x v="2"/>
    <x v="7"/>
    <x v="2"/>
  </r>
  <r>
    <s v="TX501223"/>
    <x v="2"/>
    <x v="9"/>
    <n v="105.4"/>
    <x v="1028"/>
    <x v="47"/>
    <d v="2025-02-19T00:00:00"/>
    <s v="F"/>
    <x v="1"/>
    <x v="1"/>
    <x v="0"/>
    <x v="3"/>
    <x v="1"/>
    <x v="7"/>
    <x v="2"/>
  </r>
  <r>
    <s v="TX501224"/>
    <x v="18"/>
    <x v="3"/>
    <n v="39.4"/>
    <x v="1029"/>
    <x v="48"/>
    <d v="2025-02-18T00:00:00"/>
    <s v="M"/>
    <x v="1"/>
    <x v="0"/>
    <x v="0"/>
    <x v="37"/>
    <x v="7"/>
    <x v="7"/>
    <x v="1"/>
  </r>
  <r>
    <s v="TX501225"/>
    <x v="19"/>
    <x v="2"/>
    <n v="38"/>
    <x v="717"/>
    <x v="48"/>
    <d v="2025-02-21T00:00:00"/>
    <s v="M"/>
    <x v="4"/>
    <x v="1"/>
    <x v="0"/>
    <x v="6"/>
    <x v="2"/>
    <x v="7"/>
    <x v="1"/>
  </r>
  <r>
    <s v="TX501226"/>
    <x v="17"/>
    <x v="12"/>
    <n v="42.5"/>
    <x v="393"/>
    <x v="48"/>
    <d v="2025-02-20T00:00:00"/>
    <s v=""/>
    <x v="0"/>
    <x v="0"/>
    <x v="0"/>
    <x v="6"/>
    <x v="1"/>
    <x v="7"/>
    <x v="0"/>
  </r>
  <r>
    <s v="TX501227"/>
    <x v="15"/>
    <x v="0"/>
    <n v="62.3"/>
    <x v="1030"/>
    <x v="48"/>
    <d v="2025-02-27T00:00:00"/>
    <s v="M"/>
    <x v="0"/>
    <x v="2"/>
    <x v="0"/>
    <x v="6"/>
    <x v="8"/>
    <x v="7"/>
    <x v="1"/>
  </r>
  <r>
    <s v="TX501228"/>
    <x v="6"/>
    <x v="9"/>
    <n v="49.1"/>
    <x v="1031"/>
    <x v="48"/>
    <d v="2025-02-20T00:00:00"/>
    <s v="F"/>
    <x v="1"/>
    <x v="2"/>
    <x v="0"/>
    <x v="7"/>
    <x v="1"/>
    <x v="7"/>
    <x v="2"/>
  </r>
  <r>
    <s v="TX501229"/>
    <x v="3"/>
    <x v="1"/>
    <n v="30.5"/>
    <x v="170"/>
    <x v="48"/>
    <d v="2025-02-21T00:00:00"/>
    <s v="M"/>
    <x v="0"/>
    <x v="2"/>
    <x v="0"/>
    <x v="8"/>
    <x v="2"/>
    <x v="7"/>
    <x v="1"/>
  </r>
  <r>
    <s v="TX501230"/>
    <x v="2"/>
    <x v="1"/>
    <n v="154.80000000000001"/>
    <x v="141"/>
    <x v="48"/>
    <d v="2025-02-21T00:00:00"/>
    <s v="F"/>
    <x v="1"/>
    <x v="4"/>
    <x v="0"/>
    <x v="8"/>
    <x v="2"/>
    <x v="7"/>
    <x v="2"/>
  </r>
  <r>
    <s v="TX501231"/>
    <x v="6"/>
    <x v="0"/>
    <n v="45"/>
    <x v="583"/>
    <x v="48"/>
    <d v="2025-02-22T00:00:00"/>
    <s v="M"/>
    <x v="3"/>
    <x v="1"/>
    <x v="0"/>
    <x v="8"/>
    <x v="5"/>
    <x v="7"/>
    <x v="1"/>
  </r>
  <r>
    <s v="TX501232"/>
    <x v="0"/>
    <x v="3"/>
    <n v="15.3"/>
    <x v="1002"/>
    <x v="48"/>
    <d v="2025-02-19T00:00:00"/>
    <s v="M"/>
    <x v="0"/>
    <x v="2"/>
    <x v="0"/>
    <x v="8"/>
    <x v="3"/>
    <x v="7"/>
    <x v="1"/>
  </r>
  <r>
    <s v="TX501233"/>
    <x v="2"/>
    <x v="5"/>
    <n v="88.6"/>
    <x v="1032"/>
    <x v="48"/>
    <d v="2025-02-21T00:00:00"/>
    <s v="F"/>
    <x v="0"/>
    <x v="4"/>
    <x v="0"/>
    <x v="17"/>
    <x v="2"/>
    <x v="7"/>
    <x v="2"/>
  </r>
  <r>
    <s v="TX501234"/>
    <x v="9"/>
    <x v="1"/>
    <n v="49.7"/>
    <x v="1033"/>
    <x v="48"/>
    <d v="2025-02-20T00:00:00"/>
    <s v="O"/>
    <x v="4"/>
    <x v="0"/>
    <x v="0"/>
    <x v="10"/>
    <x v="1"/>
    <x v="7"/>
    <x v="3"/>
  </r>
  <r>
    <s v="TX501235"/>
    <x v="10"/>
    <x v="0"/>
    <n v="29"/>
    <x v="1034"/>
    <x v="48"/>
    <d v="2025-02-19T00:00:00"/>
    <s v="M"/>
    <x v="0"/>
    <x v="0"/>
    <x v="0"/>
    <x v="11"/>
    <x v="3"/>
    <x v="7"/>
    <x v="1"/>
  </r>
  <r>
    <s v="TX501236"/>
    <x v="1"/>
    <x v="0"/>
    <n v="60.7"/>
    <x v="1035"/>
    <x v="48"/>
    <d v="2025-02-19T00:00:00"/>
    <s v="O"/>
    <x v="0"/>
    <x v="1"/>
    <x v="0"/>
    <x v="11"/>
    <x v="3"/>
    <x v="7"/>
    <x v="3"/>
  </r>
  <r>
    <s v="TX501237"/>
    <x v="17"/>
    <x v="12"/>
    <n v="87.4"/>
    <x v="1036"/>
    <x v="48"/>
    <d v="2025-02-20T00:00:00"/>
    <s v=""/>
    <x v="0"/>
    <x v="0"/>
    <x v="0"/>
    <x v="11"/>
    <x v="1"/>
    <x v="7"/>
    <x v="0"/>
  </r>
  <r>
    <s v="TX501238"/>
    <x v="4"/>
    <x v="3"/>
    <n v="44.5"/>
    <x v="1037"/>
    <x v="48"/>
    <d v="2025-02-22T00:00:00"/>
    <s v="F"/>
    <x v="2"/>
    <x v="2"/>
    <x v="0"/>
    <x v="19"/>
    <x v="5"/>
    <x v="7"/>
    <x v="2"/>
  </r>
  <r>
    <s v="TX501239"/>
    <x v="2"/>
    <x v="0"/>
    <n v="141"/>
    <x v="1038"/>
    <x v="48"/>
    <d v="2025-02-19T00:00:00"/>
    <s v="M"/>
    <x v="4"/>
    <x v="2"/>
    <x v="0"/>
    <x v="19"/>
    <x v="3"/>
    <x v="7"/>
    <x v="1"/>
  </r>
  <r>
    <s v="TX501240"/>
    <x v="0"/>
    <x v="2"/>
    <n v="16.7"/>
    <x v="1039"/>
    <x v="48"/>
    <d v="2025-02-26T00:00:00"/>
    <s v="F"/>
    <x v="0"/>
    <x v="0"/>
    <x v="0"/>
    <x v="20"/>
    <x v="9"/>
    <x v="7"/>
    <x v="2"/>
  </r>
  <r>
    <s v="TX501241"/>
    <x v="1"/>
    <x v="1"/>
    <n v="77.5"/>
    <x v="1040"/>
    <x v="48"/>
    <d v="2025-02-19T00:00:00"/>
    <s v=""/>
    <x v="2"/>
    <x v="2"/>
    <x v="0"/>
    <x v="13"/>
    <x v="3"/>
    <x v="7"/>
    <x v="0"/>
  </r>
  <r>
    <s v="TX501242"/>
    <x v="2"/>
    <x v="1"/>
    <n v="163"/>
    <x v="1041"/>
    <x v="48"/>
    <d v="2025-02-24T00:00:00"/>
    <s v="F"/>
    <x v="4"/>
    <x v="0"/>
    <x v="0"/>
    <x v="21"/>
    <x v="4"/>
    <x v="7"/>
    <x v="2"/>
  </r>
  <r>
    <s v="TX501243"/>
    <x v="4"/>
    <x v="11"/>
    <n v="21.4"/>
    <x v="1042"/>
    <x v="48"/>
    <d v="2025-02-21T00:00:00"/>
    <s v="F"/>
    <x v="0"/>
    <x v="0"/>
    <x v="0"/>
    <x v="51"/>
    <x v="2"/>
    <x v="7"/>
    <x v="2"/>
  </r>
  <r>
    <s v="TX501244"/>
    <x v="10"/>
    <x v="5"/>
    <n v="31"/>
    <x v="992"/>
    <x v="48"/>
    <d v="2025-02-20T00:00:00"/>
    <s v="F"/>
    <x v="3"/>
    <x v="2"/>
    <x v="0"/>
    <x v="1"/>
    <x v="1"/>
    <x v="7"/>
    <x v="2"/>
  </r>
  <r>
    <s v="TX501245"/>
    <x v="7"/>
    <x v="1"/>
    <n v="34.299999999999997"/>
    <x v="1043"/>
    <x v="48"/>
    <d v="2025-02-20T00:00:00"/>
    <s v="F"/>
    <x v="0"/>
    <x v="3"/>
    <x v="0"/>
    <x v="1"/>
    <x v="1"/>
    <x v="7"/>
    <x v="2"/>
  </r>
  <r>
    <s v="TX501246"/>
    <x v="17"/>
    <x v="9"/>
    <n v="48.2"/>
    <x v="1044"/>
    <x v="48"/>
    <d v="2025-02-19T00:00:00"/>
    <s v="M"/>
    <x v="1"/>
    <x v="1"/>
    <x v="0"/>
    <x v="2"/>
    <x v="3"/>
    <x v="7"/>
    <x v="1"/>
  </r>
  <r>
    <s v="TX501247"/>
    <x v="10"/>
    <x v="0"/>
    <n v="51.4"/>
    <x v="1045"/>
    <x v="48"/>
    <d v="2025-02-19T00:00:00"/>
    <s v="M"/>
    <x v="0"/>
    <x v="0"/>
    <x v="0"/>
    <x v="3"/>
    <x v="3"/>
    <x v="7"/>
    <x v="1"/>
  </r>
  <r>
    <s v="TX501248"/>
    <x v="2"/>
    <x v="9"/>
    <n v="117.2"/>
    <x v="1046"/>
    <x v="48"/>
    <d v="2025-02-21T00:00:00"/>
    <s v="F"/>
    <x v="4"/>
    <x v="4"/>
    <x v="0"/>
    <x v="3"/>
    <x v="2"/>
    <x v="7"/>
    <x v="2"/>
  </r>
  <r>
    <s v="TX501249"/>
    <x v="8"/>
    <x v="0"/>
    <n v="38.1"/>
    <x v="220"/>
    <x v="48"/>
    <d v="2025-02-18T00:00:00"/>
    <s v="M"/>
    <x v="4"/>
    <x v="1"/>
    <x v="0"/>
    <x v="3"/>
    <x v="7"/>
    <x v="7"/>
    <x v="1"/>
  </r>
  <r>
    <s v="TX501250"/>
    <x v="0"/>
    <x v="1"/>
    <n v="44.1"/>
    <x v="1047"/>
    <x v="48"/>
    <d v="2025-02-20T00:00:00"/>
    <s v="F"/>
    <x v="2"/>
    <x v="0"/>
    <x v="0"/>
    <x v="3"/>
    <x v="1"/>
    <x v="7"/>
    <x v="2"/>
  </r>
  <r>
    <s v="TX501251"/>
    <x v="15"/>
    <x v="12"/>
    <n v="80.5"/>
    <x v="310"/>
    <x v="48"/>
    <d v="2025-02-23T00:00:00"/>
    <s v="M"/>
    <x v="0"/>
    <x v="0"/>
    <x v="0"/>
    <x v="3"/>
    <x v="0"/>
    <x v="7"/>
    <x v="1"/>
  </r>
  <r>
    <s v="TX501252"/>
    <x v="18"/>
    <x v="12"/>
    <n v="33.6"/>
    <x v="1048"/>
    <x v="48"/>
    <d v="2025-02-23T00:00:00"/>
    <s v=""/>
    <x v="0"/>
    <x v="2"/>
    <x v="0"/>
    <x v="3"/>
    <x v="0"/>
    <x v="7"/>
    <x v="0"/>
  </r>
  <r>
    <s v="TX501253"/>
    <x v="9"/>
    <x v="11"/>
    <n v="41.8"/>
    <x v="82"/>
    <x v="48"/>
    <d v="2025-02-19T00:00:00"/>
    <s v="F"/>
    <x v="0"/>
    <x v="1"/>
    <x v="0"/>
    <x v="3"/>
    <x v="3"/>
    <x v="7"/>
    <x v="2"/>
  </r>
  <r>
    <s v="TX501254"/>
    <x v="1"/>
    <x v="1"/>
    <n v="106.2"/>
    <x v="230"/>
    <x v="48"/>
    <d v="2025-02-18T00:00:00"/>
    <s v="F"/>
    <x v="4"/>
    <x v="2"/>
    <x v="0"/>
    <x v="3"/>
    <x v="7"/>
    <x v="7"/>
    <x v="2"/>
  </r>
  <r>
    <s v="TX501255"/>
    <x v="1"/>
    <x v="1"/>
    <n v="52.6"/>
    <x v="1049"/>
    <x v="48"/>
    <d v="2025-02-19T00:00:00"/>
    <s v="F"/>
    <x v="0"/>
    <x v="2"/>
    <x v="0"/>
    <x v="5"/>
    <x v="3"/>
    <x v="7"/>
    <x v="2"/>
  </r>
  <r>
    <s v="TX501256"/>
    <x v="11"/>
    <x v="3"/>
    <n v="68.5"/>
    <x v="1050"/>
    <x v="48"/>
    <d v="2025-02-19T00:00:00"/>
    <s v="F"/>
    <x v="1"/>
    <x v="0"/>
    <x v="0"/>
    <x v="5"/>
    <x v="3"/>
    <x v="7"/>
    <x v="2"/>
  </r>
  <r>
    <s v="TX501257"/>
    <x v="1"/>
    <x v="1"/>
    <n v="55.6"/>
    <x v="622"/>
    <x v="48"/>
    <d v="2025-02-20T00:00:00"/>
    <s v="M"/>
    <x v="1"/>
    <x v="2"/>
    <x v="0"/>
    <x v="6"/>
    <x v="1"/>
    <x v="7"/>
    <x v="1"/>
  </r>
  <r>
    <s v="TX501258"/>
    <x v="2"/>
    <x v="2"/>
    <n v="134.9"/>
    <x v="1051"/>
    <x v="48"/>
    <d v="2025-02-19T00:00:00"/>
    <s v="M"/>
    <x v="1"/>
    <x v="1"/>
    <x v="0"/>
    <x v="6"/>
    <x v="3"/>
    <x v="7"/>
    <x v="1"/>
  </r>
  <r>
    <s v="TX501259"/>
    <x v="10"/>
    <x v="9"/>
    <n v="42.6"/>
    <x v="226"/>
    <x v="48"/>
    <d v="2025-02-19T00:00:00"/>
    <s v="M"/>
    <x v="0"/>
    <x v="0"/>
    <x v="0"/>
    <x v="6"/>
    <x v="3"/>
    <x v="7"/>
    <x v="1"/>
  </r>
  <r>
    <s v="TX501260"/>
    <x v="7"/>
    <x v="9"/>
    <n v="60.6"/>
    <x v="1052"/>
    <x v="48"/>
    <d v="2025-02-20T00:00:00"/>
    <s v="M"/>
    <x v="4"/>
    <x v="0"/>
    <x v="0"/>
    <x v="6"/>
    <x v="1"/>
    <x v="7"/>
    <x v="1"/>
  </r>
  <r>
    <s v="TX501261"/>
    <x v="8"/>
    <x v="1"/>
    <n v="43.5"/>
    <x v="1053"/>
    <x v="48"/>
    <d v="2025-02-19T00:00:00"/>
    <s v="M"/>
    <x v="4"/>
    <x v="0"/>
    <x v="0"/>
    <x v="7"/>
    <x v="3"/>
    <x v="7"/>
    <x v="1"/>
  </r>
  <r>
    <s v="TX501262"/>
    <x v="2"/>
    <x v="1"/>
    <n v="187.1"/>
    <x v="1054"/>
    <x v="48"/>
    <d v="2025-02-19T00:00:00"/>
    <s v="M"/>
    <x v="1"/>
    <x v="2"/>
    <x v="0"/>
    <x v="8"/>
    <x v="3"/>
    <x v="7"/>
    <x v="1"/>
  </r>
  <r>
    <s v="TX501263"/>
    <x v="9"/>
    <x v="2"/>
    <n v="32"/>
    <x v="854"/>
    <x v="48"/>
    <d v="2025-02-20T00:00:00"/>
    <s v="M"/>
    <x v="0"/>
    <x v="0"/>
    <x v="0"/>
    <x v="8"/>
    <x v="1"/>
    <x v="7"/>
    <x v="1"/>
  </r>
  <r>
    <s v="TX501264"/>
    <x v="9"/>
    <x v="1"/>
    <n v="110.8"/>
    <x v="1055"/>
    <x v="48"/>
    <d v="2025-02-18T00:00:00"/>
    <s v="M"/>
    <x v="0"/>
    <x v="2"/>
    <x v="0"/>
    <x v="8"/>
    <x v="7"/>
    <x v="7"/>
    <x v="1"/>
  </r>
  <r>
    <s v="TX501265"/>
    <x v="10"/>
    <x v="15"/>
    <n v="36.1"/>
    <x v="1056"/>
    <x v="48"/>
    <d v="2025-02-21T00:00:00"/>
    <s v="F"/>
    <x v="0"/>
    <x v="1"/>
    <x v="0"/>
    <x v="8"/>
    <x v="2"/>
    <x v="7"/>
    <x v="2"/>
  </r>
  <r>
    <s v="TX501266"/>
    <x v="0"/>
    <x v="0"/>
    <n v="24.1"/>
    <x v="1057"/>
    <x v="48"/>
    <d v="2025-02-20T00:00:00"/>
    <s v="F"/>
    <x v="4"/>
    <x v="2"/>
    <x v="0"/>
    <x v="8"/>
    <x v="1"/>
    <x v="7"/>
    <x v="2"/>
  </r>
  <r>
    <s v="TX501267"/>
    <x v="19"/>
    <x v="2"/>
    <n v="30.5"/>
    <x v="1058"/>
    <x v="48"/>
    <d v="2025-02-20T00:00:00"/>
    <s v="M"/>
    <x v="1"/>
    <x v="0"/>
    <x v="0"/>
    <x v="8"/>
    <x v="1"/>
    <x v="7"/>
    <x v="1"/>
  </r>
  <r>
    <s v="TX501268"/>
    <x v="18"/>
    <x v="13"/>
    <n v="68.3"/>
    <x v="1059"/>
    <x v="48"/>
    <d v="2025-02-21T00:00:00"/>
    <s v="M"/>
    <x v="0"/>
    <x v="0"/>
    <x v="0"/>
    <x v="8"/>
    <x v="2"/>
    <x v="7"/>
    <x v="1"/>
  </r>
  <r>
    <s v="TX501269"/>
    <x v="7"/>
    <x v="2"/>
    <n v="43.3"/>
    <x v="1060"/>
    <x v="48"/>
    <d v="2025-02-22T00:00:00"/>
    <s v="F"/>
    <x v="0"/>
    <x v="0"/>
    <x v="0"/>
    <x v="17"/>
    <x v="5"/>
    <x v="7"/>
    <x v="2"/>
  </r>
  <r>
    <s v="TX501270"/>
    <x v="3"/>
    <x v="0"/>
    <n v="101.7"/>
    <x v="530"/>
    <x v="48"/>
    <d v="2025-02-21T00:00:00"/>
    <s v="F"/>
    <x v="0"/>
    <x v="1"/>
    <x v="0"/>
    <x v="17"/>
    <x v="2"/>
    <x v="7"/>
    <x v="2"/>
  </r>
  <r>
    <s v="TX501271"/>
    <x v="11"/>
    <x v="1"/>
    <n v="54.2"/>
    <x v="1061"/>
    <x v="48"/>
    <d v="2025-02-19T00:00:00"/>
    <s v="F"/>
    <x v="0"/>
    <x v="1"/>
    <x v="0"/>
    <x v="17"/>
    <x v="3"/>
    <x v="7"/>
    <x v="2"/>
  </r>
  <r>
    <s v="TX501272"/>
    <x v="16"/>
    <x v="1"/>
    <n v="51"/>
    <x v="1062"/>
    <x v="48"/>
    <d v="2025-02-18T00:00:00"/>
    <s v="M"/>
    <x v="1"/>
    <x v="0"/>
    <x v="0"/>
    <x v="26"/>
    <x v="7"/>
    <x v="7"/>
    <x v="1"/>
  </r>
  <r>
    <s v="TX501273"/>
    <x v="4"/>
    <x v="1"/>
    <n v="23.1"/>
    <x v="1063"/>
    <x v="48"/>
    <d v="2025-02-21T00:00:00"/>
    <s v="M"/>
    <x v="1"/>
    <x v="0"/>
    <x v="0"/>
    <x v="10"/>
    <x v="2"/>
    <x v="7"/>
    <x v="1"/>
  </r>
  <r>
    <s v="TX501274"/>
    <x v="12"/>
    <x v="13"/>
    <n v="60.1"/>
    <x v="116"/>
    <x v="48"/>
    <d v="2025-02-18T00:00:00"/>
    <s v="F"/>
    <x v="3"/>
    <x v="0"/>
    <x v="0"/>
    <x v="11"/>
    <x v="7"/>
    <x v="7"/>
    <x v="2"/>
  </r>
  <r>
    <s v="TX501275"/>
    <x v="2"/>
    <x v="3"/>
    <n v="87.5"/>
    <x v="1064"/>
    <x v="48"/>
    <d v="2025-02-20T00:00:00"/>
    <s v="F"/>
    <x v="0"/>
    <x v="1"/>
    <x v="0"/>
    <x v="11"/>
    <x v="1"/>
    <x v="7"/>
    <x v="2"/>
  </r>
  <r>
    <s v="TX501276"/>
    <x v="1"/>
    <x v="2"/>
    <n v="51"/>
    <x v="1065"/>
    <x v="48"/>
    <d v="2025-02-19T00:00:00"/>
    <s v="F"/>
    <x v="1"/>
    <x v="0"/>
    <x v="0"/>
    <x v="11"/>
    <x v="3"/>
    <x v="7"/>
    <x v="2"/>
  </r>
  <r>
    <s v="TX501277"/>
    <x v="8"/>
    <x v="12"/>
    <n v="19.2"/>
    <x v="714"/>
    <x v="48"/>
    <d v="2025-02-20T00:00:00"/>
    <s v="F"/>
    <x v="0"/>
    <x v="0"/>
    <x v="0"/>
    <x v="11"/>
    <x v="1"/>
    <x v="7"/>
    <x v="2"/>
  </r>
  <r>
    <s v="TX501278"/>
    <x v="5"/>
    <x v="8"/>
    <n v="26.5"/>
    <x v="1066"/>
    <x v="48"/>
    <d v="2025-02-19T00:00:00"/>
    <s v=""/>
    <x v="3"/>
    <x v="2"/>
    <x v="0"/>
    <x v="11"/>
    <x v="3"/>
    <x v="7"/>
    <x v="0"/>
  </r>
  <r>
    <s v="TX501279"/>
    <x v="2"/>
    <x v="1"/>
    <n v="220.3"/>
    <x v="1067"/>
    <x v="48"/>
    <d v="2025-02-19T00:00:00"/>
    <s v="F"/>
    <x v="1"/>
    <x v="4"/>
    <x v="0"/>
    <x v="53"/>
    <x v="3"/>
    <x v="7"/>
    <x v="2"/>
  </r>
  <r>
    <s v="TX501280"/>
    <x v="8"/>
    <x v="2"/>
    <n v="45.7"/>
    <x v="1068"/>
    <x v="48"/>
    <d v="2025-02-19T00:00:00"/>
    <s v="F"/>
    <x v="4"/>
    <x v="0"/>
    <x v="0"/>
    <x v="30"/>
    <x v="3"/>
    <x v="7"/>
    <x v="2"/>
  </r>
  <r>
    <s v="TX501281"/>
    <x v="5"/>
    <x v="9"/>
    <n v="47.1"/>
    <x v="1069"/>
    <x v="48"/>
    <d v="2025-02-22T00:00:00"/>
    <s v="F"/>
    <x v="3"/>
    <x v="0"/>
    <x v="0"/>
    <x v="13"/>
    <x v="5"/>
    <x v="7"/>
    <x v="2"/>
  </r>
  <r>
    <s v="TX501282"/>
    <x v="1"/>
    <x v="9"/>
    <n v="81.7"/>
    <x v="856"/>
    <x v="48"/>
    <d v="2025-02-19T00:00:00"/>
    <s v="F"/>
    <x v="0"/>
    <x v="2"/>
    <x v="0"/>
    <x v="21"/>
    <x v="3"/>
    <x v="7"/>
    <x v="2"/>
  </r>
  <r>
    <s v="TX501283"/>
    <x v="6"/>
    <x v="7"/>
    <n v="97.8"/>
    <x v="1070"/>
    <x v="48"/>
    <d v="2025-02-18T00:00:00"/>
    <s v="M"/>
    <x v="1"/>
    <x v="1"/>
    <x v="0"/>
    <x v="21"/>
    <x v="7"/>
    <x v="7"/>
    <x v="1"/>
  </r>
  <r>
    <s v="TX501284"/>
    <x v="6"/>
    <x v="2"/>
    <n v="42.4"/>
    <x v="1071"/>
    <x v="48"/>
    <d v="2025-02-19T00:00:00"/>
    <s v="F"/>
    <x v="0"/>
    <x v="2"/>
    <x v="0"/>
    <x v="54"/>
    <x v="3"/>
    <x v="7"/>
    <x v="2"/>
  </r>
  <r>
    <s v="TX501285"/>
    <x v="2"/>
    <x v="7"/>
    <n v="74.5"/>
    <x v="1072"/>
    <x v="48"/>
    <d v="2025-02-19T00:00:00"/>
    <s v="M"/>
    <x v="2"/>
    <x v="1"/>
    <x v="0"/>
    <x v="1"/>
    <x v="3"/>
    <x v="7"/>
    <x v="1"/>
  </r>
  <r>
    <s v="TX501286"/>
    <x v="17"/>
    <x v="13"/>
    <n v="47.4"/>
    <x v="1073"/>
    <x v="48"/>
    <d v="2025-02-19T00:00:00"/>
    <s v="M"/>
    <x v="1"/>
    <x v="0"/>
    <x v="0"/>
    <x v="1"/>
    <x v="3"/>
    <x v="7"/>
    <x v="1"/>
  </r>
  <r>
    <s v="TX501287"/>
    <x v="14"/>
    <x v="2"/>
    <n v="17.3"/>
    <x v="1074"/>
    <x v="49"/>
    <d v="2025-02-22T00:00:00"/>
    <s v="M"/>
    <x v="2"/>
    <x v="2"/>
    <x v="0"/>
    <x v="1"/>
    <x v="2"/>
    <x v="7"/>
    <x v="1"/>
  </r>
  <r>
    <s v="TX501288"/>
    <x v="12"/>
    <x v="12"/>
    <n v="77.900000000000006"/>
    <x v="1075"/>
    <x v="49"/>
    <d v="2025-02-20T00:00:00"/>
    <s v="M"/>
    <x v="1"/>
    <x v="0"/>
    <x v="0"/>
    <x v="2"/>
    <x v="3"/>
    <x v="7"/>
    <x v="1"/>
  </r>
  <r>
    <s v="TX501289"/>
    <x v="8"/>
    <x v="0"/>
    <n v="29.1"/>
    <x v="1076"/>
    <x v="49"/>
    <d v="2025-02-22T00:00:00"/>
    <s v="M"/>
    <x v="0"/>
    <x v="2"/>
    <x v="0"/>
    <x v="50"/>
    <x v="2"/>
    <x v="7"/>
    <x v="1"/>
  </r>
  <r>
    <s v="TX501290"/>
    <x v="8"/>
    <x v="0"/>
    <n v="49"/>
    <x v="268"/>
    <x v="49"/>
    <d v="2025-02-20T00:00:00"/>
    <s v="M"/>
    <x v="1"/>
    <x v="0"/>
    <x v="0"/>
    <x v="3"/>
    <x v="3"/>
    <x v="7"/>
    <x v="1"/>
  </r>
  <r>
    <s v="TX501291"/>
    <x v="8"/>
    <x v="13"/>
    <n v="21.1"/>
    <x v="1077"/>
    <x v="49"/>
    <d v="2025-02-26T00:00:00"/>
    <s v="M"/>
    <x v="0"/>
    <x v="2"/>
    <x v="0"/>
    <x v="3"/>
    <x v="6"/>
    <x v="7"/>
    <x v="1"/>
  </r>
  <r>
    <s v="TX501292"/>
    <x v="4"/>
    <x v="10"/>
    <n v="36.9"/>
    <x v="1078"/>
    <x v="49"/>
    <d v="2025-02-19T00:00:00"/>
    <s v="F"/>
    <x v="0"/>
    <x v="0"/>
    <x v="0"/>
    <x v="3"/>
    <x v="7"/>
    <x v="7"/>
    <x v="2"/>
  </r>
  <r>
    <s v="TX501293"/>
    <x v="1"/>
    <x v="7"/>
    <n v="92.6"/>
    <x v="1079"/>
    <x v="49"/>
    <d v="2025-02-24T00:00:00"/>
    <s v="M"/>
    <x v="4"/>
    <x v="2"/>
    <x v="0"/>
    <x v="3"/>
    <x v="0"/>
    <x v="7"/>
    <x v="1"/>
  </r>
  <r>
    <s v="TX501294"/>
    <x v="10"/>
    <x v="1"/>
    <n v="38"/>
    <x v="998"/>
    <x v="49"/>
    <d v="2025-02-20T00:00:00"/>
    <s v="M"/>
    <x v="1"/>
    <x v="1"/>
    <x v="0"/>
    <x v="3"/>
    <x v="3"/>
    <x v="7"/>
    <x v="1"/>
  </r>
  <r>
    <s v="TX501295"/>
    <x v="5"/>
    <x v="2"/>
    <n v="54.8"/>
    <x v="1080"/>
    <x v="49"/>
    <d v="2025-02-23T00:00:00"/>
    <s v=""/>
    <x v="0"/>
    <x v="1"/>
    <x v="0"/>
    <x v="3"/>
    <x v="5"/>
    <x v="7"/>
    <x v="0"/>
  </r>
  <r>
    <s v="TX501296"/>
    <x v="10"/>
    <x v="4"/>
    <n v="56.8"/>
    <x v="1081"/>
    <x v="49"/>
    <d v="2025-02-21T00:00:00"/>
    <s v="M"/>
    <x v="1"/>
    <x v="0"/>
    <x v="0"/>
    <x v="3"/>
    <x v="1"/>
    <x v="7"/>
    <x v="1"/>
  </r>
  <r>
    <s v="TX501297"/>
    <x v="11"/>
    <x v="40"/>
    <n v="47.2"/>
    <x v="1082"/>
    <x v="49"/>
    <d v="2025-02-22T00:00:00"/>
    <s v="F"/>
    <x v="1"/>
    <x v="0"/>
    <x v="0"/>
    <x v="3"/>
    <x v="2"/>
    <x v="7"/>
    <x v="2"/>
  </r>
  <r>
    <s v="TX501298"/>
    <x v="7"/>
    <x v="13"/>
    <n v="45.1"/>
    <x v="1083"/>
    <x v="49"/>
    <d v="2025-02-20T00:00:00"/>
    <s v="F"/>
    <x v="2"/>
    <x v="0"/>
    <x v="0"/>
    <x v="43"/>
    <x v="3"/>
    <x v="7"/>
    <x v="2"/>
  </r>
  <r>
    <s v="TX501299"/>
    <x v="4"/>
    <x v="4"/>
    <n v="25.2"/>
    <x v="982"/>
    <x v="49"/>
    <d v="2025-02-24T00:00:00"/>
    <s v="F"/>
    <x v="2"/>
    <x v="0"/>
    <x v="0"/>
    <x v="16"/>
    <x v="0"/>
    <x v="7"/>
    <x v="2"/>
  </r>
  <r>
    <s v="TX501300"/>
    <x v="8"/>
    <x v="0"/>
    <n v="22"/>
    <x v="1084"/>
    <x v="49"/>
    <d v="2025-02-20T00:00:00"/>
    <s v="F"/>
    <x v="0"/>
    <x v="0"/>
    <x v="0"/>
    <x v="5"/>
    <x v="3"/>
    <x v="7"/>
    <x v="2"/>
  </r>
  <r>
    <s v="TX501301"/>
    <x v="6"/>
    <x v="1"/>
    <n v="42.2"/>
    <x v="533"/>
    <x v="49"/>
    <d v="2025-02-20T00:00:00"/>
    <s v="F"/>
    <x v="1"/>
    <x v="1"/>
    <x v="0"/>
    <x v="23"/>
    <x v="3"/>
    <x v="7"/>
    <x v="2"/>
  </r>
  <r>
    <s v="TX501302"/>
    <x v="13"/>
    <x v="2"/>
    <n v="20.5"/>
    <x v="1085"/>
    <x v="49"/>
    <d v="2025-02-20T00:00:00"/>
    <s v="M"/>
    <x v="0"/>
    <x v="1"/>
    <x v="0"/>
    <x v="6"/>
    <x v="3"/>
    <x v="7"/>
    <x v="1"/>
  </r>
  <r>
    <s v="TX501303"/>
    <x v="2"/>
    <x v="0"/>
    <n v="190.4"/>
    <x v="1086"/>
    <x v="49"/>
    <d v="2025-02-24T00:00:00"/>
    <s v="M"/>
    <x v="1"/>
    <x v="4"/>
    <x v="0"/>
    <x v="6"/>
    <x v="0"/>
    <x v="7"/>
    <x v="1"/>
  </r>
  <r>
    <s v="TX501304"/>
    <x v="2"/>
    <x v="0"/>
    <n v="121.9"/>
    <x v="1087"/>
    <x v="49"/>
    <d v="2025-02-21T00:00:00"/>
    <s v="F"/>
    <x v="1"/>
    <x v="2"/>
    <x v="0"/>
    <x v="6"/>
    <x v="1"/>
    <x v="7"/>
    <x v="2"/>
  </r>
  <r>
    <s v="TX501305"/>
    <x v="2"/>
    <x v="13"/>
    <n v="149.19999999999999"/>
    <x v="1088"/>
    <x v="49"/>
    <d v="2025-02-20T00:00:00"/>
    <s v="F"/>
    <x v="2"/>
    <x v="2"/>
    <x v="0"/>
    <x v="7"/>
    <x v="3"/>
    <x v="7"/>
    <x v="2"/>
  </r>
  <r>
    <s v="TX501306"/>
    <x v="2"/>
    <x v="0"/>
    <n v="54.1"/>
    <x v="1089"/>
    <x v="49"/>
    <d v="2025-02-28T00:00:00"/>
    <s v="F"/>
    <x v="2"/>
    <x v="2"/>
    <x v="0"/>
    <x v="7"/>
    <x v="8"/>
    <x v="7"/>
    <x v="2"/>
  </r>
  <r>
    <s v="TX501307"/>
    <x v="5"/>
    <x v="1"/>
    <n v="27.4"/>
    <x v="1090"/>
    <x v="49"/>
    <d v="2025-02-21T00:00:00"/>
    <s v="M"/>
    <x v="1"/>
    <x v="0"/>
    <x v="0"/>
    <x v="8"/>
    <x v="1"/>
    <x v="7"/>
    <x v="1"/>
  </r>
  <r>
    <s v="TX501308"/>
    <x v="0"/>
    <x v="15"/>
    <n v="30.4"/>
    <x v="1091"/>
    <x v="49"/>
    <d v="2025-02-20T00:00:00"/>
    <s v="F"/>
    <x v="0"/>
    <x v="2"/>
    <x v="0"/>
    <x v="8"/>
    <x v="3"/>
    <x v="7"/>
    <x v="2"/>
  </r>
  <r>
    <s v="TX501309"/>
    <x v="12"/>
    <x v="2"/>
    <n v="46.2"/>
    <x v="209"/>
    <x v="49"/>
    <d v="2025-02-21T00:00:00"/>
    <s v="M"/>
    <x v="2"/>
    <x v="1"/>
    <x v="0"/>
    <x v="17"/>
    <x v="1"/>
    <x v="7"/>
    <x v="1"/>
  </r>
  <r>
    <s v="TX501310"/>
    <x v="7"/>
    <x v="8"/>
    <n v="78.599999999999994"/>
    <x v="1092"/>
    <x v="49"/>
    <d v="2025-02-23T00:00:00"/>
    <s v="M"/>
    <x v="3"/>
    <x v="0"/>
    <x v="0"/>
    <x v="17"/>
    <x v="5"/>
    <x v="7"/>
    <x v="1"/>
  </r>
  <r>
    <s v="TX501311"/>
    <x v="17"/>
    <x v="7"/>
    <n v="25.9"/>
    <x v="155"/>
    <x v="49"/>
    <d v="2025-02-25T00:00:00"/>
    <s v="M"/>
    <x v="4"/>
    <x v="0"/>
    <x v="0"/>
    <x v="9"/>
    <x v="4"/>
    <x v="7"/>
    <x v="1"/>
  </r>
  <r>
    <s v="TX501312"/>
    <x v="6"/>
    <x v="0"/>
    <n v="134.80000000000001"/>
    <x v="1093"/>
    <x v="49"/>
    <d v="2025-02-21T00:00:00"/>
    <s v="M"/>
    <x v="2"/>
    <x v="2"/>
    <x v="0"/>
    <x v="9"/>
    <x v="1"/>
    <x v="7"/>
    <x v="1"/>
  </r>
  <r>
    <s v="TX501313"/>
    <x v="15"/>
    <x v="9"/>
    <n v="43.1"/>
    <x v="1094"/>
    <x v="49"/>
    <d v="2025-02-21T00:00:00"/>
    <s v="F"/>
    <x v="0"/>
    <x v="0"/>
    <x v="0"/>
    <x v="11"/>
    <x v="1"/>
    <x v="7"/>
    <x v="2"/>
  </r>
  <r>
    <s v="TX501314"/>
    <x v="2"/>
    <x v="1"/>
    <n v="215.6"/>
    <x v="348"/>
    <x v="49"/>
    <d v="2025-02-20T00:00:00"/>
    <s v="F"/>
    <x v="2"/>
    <x v="0"/>
    <x v="0"/>
    <x v="18"/>
    <x v="3"/>
    <x v="7"/>
    <x v="2"/>
  </r>
  <r>
    <s v="TX501315"/>
    <x v="6"/>
    <x v="1"/>
    <n v="80.7"/>
    <x v="1095"/>
    <x v="49"/>
    <d v="2025-02-22T00:00:00"/>
    <s v="F"/>
    <x v="3"/>
    <x v="0"/>
    <x v="0"/>
    <x v="18"/>
    <x v="2"/>
    <x v="7"/>
    <x v="2"/>
  </r>
  <r>
    <s v="TX501316"/>
    <x v="10"/>
    <x v="3"/>
    <n v="20.6"/>
    <x v="1096"/>
    <x v="49"/>
    <d v="2025-02-24T00:00:00"/>
    <s v=""/>
    <x v="2"/>
    <x v="1"/>
    <x v="0"/>
    <x v="19"/>
    <x v="0"/>
    <x v="7"/>
    <x v="0"/>
  </r>
  <r>
    <s v="TX501317"/>
    <x v="12"/>
    <x v="2"/>
    <n v="37.1"/>
    <x v="1097"/>
    <x v="49"/>
    <d v="2025-02-20T00:00:00"/>
    <s v="F"/>
    <x v="0"/>
    <x v="0"/>
    <x v="0"/>
    <x v="52"/>
    <x v="3"/>
    <x v="7"/>
    <x v="2"/>
  </r>
  <r>
    <s v="TX501318"/>
    <x v="12"/>
    <x v="0"/>
    <n v="104.8"/>
    <x v="661"/>
    <x v="50"/>
    <d v="2025-02-22T00:00:00"/>
    <s v="F"/>
    <x v="0"/>
    <x v="0"/>
    <x v="0"/>
    <x v="13"/>
    <x v="1"/>
    <x v="7"/>
    <x v="2"/>
  </r>
  <r>
    <s v="TX501319"/>
    <x v="8"/>
    <x v="1"/>
    <n v="59"/>
    <x v="1098"/>
    <x v="50"/>
    <d v="2025-02-21T00:00:00"/>
    <s v="M"/>
    <x v="1"/>
    <x v="0"/>
    <x v="0"/>
    <x v="21"/>
    <x v="3"/>
    <x v="7"/>
    <x v="1"/>
  </r>
  <r>
    <s v="TX501320"/>
    <x v="8"/>
    <x v="1"/>
    <n v="32.299999999999997"/>
    <x v="1099"/>
    <x v="50"/>
    <d v="2025-02-21T00:00:00"/>
    <s v="M"/>
    <x v="0"/>
    <x v="2"/>
    <x v="0"/>
    <x v="21"/>
    <x v="3"/>
    <x v="7"/>
    <x v="1"/>
  </r>
  <r>
    <s v="TX501321"/>
    <x v="8"/>
    <x v="12"/>
    <n v="28.9"/>
    <x v="446"/>
    <x v="50"/>
    <d v="2025-02-27T00:00:00"/>
    <s v="M"/>
    <x v="0"/>
    <x v="0"/>
    <x v="0"/>
    <x v="1"/>
    <x v="6"/>
    <x v="7"/>
    <x v="1"/>
  </r>
  <r>
    <s v="TX501322"/>
    <x v="0"/>
    <x v="1"/>
    <n v="29.6"/>
    <x v="1100"/>
    <x v="50"/>
    <d v="2025-02-22T00:00:00"/>
    <s v="M"/>
    <x v="0"/>
    <x v="0"/>
    <x v="0"/>
    <x v="1"/>
    <x v="1"/>
    <x v="7"/>
    <x v="1"/>
  </r>
  <r>
    <s v="TX501323"/>
    <x v="0"/>
    <x v="9"/>
    <n v="29.4"/>
    <x v="926"/>
    <x v="50"/>
    <d v="2025-02-23T00:00:00"/>
    <s v="F"/>
    <x v="0"/>
    <x v="0"/>
    <x v="0"/>
    <x v="1"/>
    <x v="2"/>
    <x v="7"/>
    <x v="2"/>
  </r>
  <r>
    <s v="TX501324"/>
    <x v="1"/>
    <x v="1"/>
    <n v="40.6"/>
    <x v="1101"/>
    <x v="50"/>
    <d v="2025-02-21T00:00:00"/>
    <s v="M"/>
    <x v="0"/>
    <x v="4"/>
    <x v="0"/>
    <x v="2"/>
    <x v="3"/>
    <x v="7"/>
    <x v="1"/>
  </r>
  <r>
    <s v="TX501325"/>
    <x v="0"/>
    <x v="2"/>
    <n v="32.5"/>
    <x v="647"/>
    <x v="50"/>
    <d v="2025-02-21T00:00:00"/>
    <s v="M"/>
    <x v="3"/>
    <x v="2"/>
    <x v="0"/>
    <x v="22"/>
    <x v="3"/>
    <x v="7"/>
    <x v="1"/>
  </r>
  <r>
    <s v="TX501326"/>
    <x v="15"/>
    <x v="0"/>
    <n v="26.2"/>
    <x v="1102"/>
    <x v="50"/>
    <d v="2025-02-22T00:00:00"/>
    <s v="M"/>
    <x v="2"/>
    <x v="0"/>
    <x v="0"/>
    <x v="55"/>
    <x v="1"/>
    <x v="7"/>
    <x v="1"/>
  </r>
  <r>
    <s v="TX501327"/>
    <x v="10"/>
    <x v="17"/>
    <n v="44"/>
    <x v="1103"/>
    <x v="50"/>
    <d v="2025-02-26T00:00:00"/>
    <s v="M"/>
    <x v="4"/>
    <x v="0"/>
    <x v="0"/>
    <x v="3"/>
    <x v="4"/>
    <x v="7"/>
    <x v="1"/>
  </r>
  <r>
    <s v="TX501328"/>
    <x v="7"/>
    <x v="12"/>
    <n v="65.599999999999994"/>
    <x v="1104"/>
    <x v="50"/>
    <d v="2025-02-21T00:00:00"/>
    <s v="F"/>
    <x v="1"/>
    <x v="1"/>
    <x v="0"/>
    <x v="3"/>
    <x v="3"/>
    <x v="7"/>
    <x v="2"/>
  </r>
  <r>
    <s v="TX501329"/>
    <x v="5"/>
    <x v="4"/>
    <n v="32.6"/>
    <x v="1105"/>
    <x v="50"/>
    <d v="2025-02-21T00:00:00"/>
    <s v="M"/>
    <x v="4"/>
    <x v="0"/>
    <x v="0"/>
    <x v="3"/>
    <x v="3"/>
    <x v="7"/>
    <x v="1"/>
  </r>
  <r>
    <s v="TX501330"/>
    <x v="16"/>
    <x v="1"/>
    <n v="88.7"/>
    <x v="633"/>
    <x v="50"/>
    <d v="2025-02-21T00:00:00"/>
    <s v=""/>
    <x v="3"/>
    <x v="2"/>
    <x v="0"/>
    <x v="3"/>
    <x v="3"/>
    <x v="7"/>
    <x v="0"/>
  </r>
  <r>
    <s v="TX501331"/>
    <x v="4"/>
    <x v="1"/>
    <n v="21.3"/>
    <x v="440"/>
    <x v="50"/>
    <d v="2025-02-21T00:00:00"/>
    <s v="M"/>
    <x v="0"/>
    <x v="0"/>
    <x v="0"/>
    <x v="3"/>
    <x v="3"/>
    <x v="7"/>
    <x v="1"/>
  </r>
  <r>
    <s v="TX501332"/>
    <x v="4"/>
    <x v="13"/>
    <n v="50.6"/>
    <x v="80"/>
    <x v="50"/>
    <d v="2025-02-24T00:00:00"/>
    <s v="F"/>
    <x v="2"/>
    <x v="0"/>
    <x v="0"/>
    <x v="3"/>
    <x v="5"/>
    <x v="7"/>
    <x v="2"/>
  </r>
  <r>
    <s v="TX501333"/>
    <x v="9"/>
    <x v="38"/>
    <n v="86.9"/>
    <x v="1106"/>
    <x v="50"/>
    <d v="2025-02-23T00:00:00"/>
    <s v="F"/>
    <x v="0"/>
    <x v="1"/>
    <x v="0"/>
    <x v="3"/>
    <x v="2"/>
    <x v="7"/>
    <x v="2"/>
  </r>
  <r>
    <s v="TX501334"/>
    <x v="11"/>
    <x v="2"/>
    <n v="31.8"/>
    <x v="233"/>
    <x v="50"/>
    <d v="2025-02-22T00:00:00"/>
    <s v="M"/>
    <x v="0"/>
    <x v="2"/>
    <x v="0"/>
    <x v="3"/>
    <x v="1"/>
    <x v="7"/>
    <x v="1"/>
  </r>
  <r>
    <s v="TX501335"/>
    <x v="8"/>
    <x v="0"/>
    <n v="19"/>
    <x v="134"/>
    <x v="50"/>
    <d v="2025-02-21T00:00:00"/>
    <s v="F"/>
    <x v="0"/>
    <x v="2"/>
    <x v="0"/>
    <x v="3"/>
    <x v="3"/>
    <x v="7"/>
    <x v="2"/>
  </r>
  <r>
    <s v="TX501336"/>
    <x v="5"/>
    <x v="0"/>
    <n v="54.5"/>
    <x v="1107"/>
    <x v="50"/>
    <d v="2025-02-22T00:00:00"/>
    <s v="M"/>
    <x v="0"/>
    <x v="0"/>
    <x v="0"/>
    <x v="3"/>
    <x v="1"/>
    <x v="7"/>
    <x v="1"/>
  </r>
  <r>
    <s v="TX501337"/>
    <x v="9"/>
    <x v="9"/>
    <n v="68.900000000000006"/>
    <x v="1108"/>
    <x v="50"/>
    <d v="2025-02-22T00:00:00"/>
    <s v="M"/>
    <x v="4"/>
    <x v="1"/>
    <x v="0"/>
    <x v="3"/>
    <x v="1"/>
    <x v="7"/>
    <x v="1"/>
  </r>
  <r>
    <s v="TX501338"/>
    <x v="6"/>
    <x v="2"/>
    <n v="84"/>
    <x v="816"/>
    <x v="50"/>
    <d v="2025-02-21T00:00:00"/>
    <s v="M"/>
    <x v="1"/>
    <x v="4"/>
    <x v="0"/>
    <x v="16"/>
    <x v="3"/>
    <x v="7"/>
    <x v="1"/>
  </r>
  <r>
    <s v="TX501339"/>
    <x v="15"/>
    <x v="8"/>
    <n v="23.1"/>
    <x v="827"/>
    <x v="50"/>
    <d v="2025-02-25T00:00:00"/>
    <s v="M"/>
    <x v="0"/>
    <x v="2"/>
    <x v="0"/>
    <x v="23"/>
    <x v="0"/>
    <x v="7"/>
    <x v="1"/>
  </r>
  <r>
    <s v="TX501340"/>
    <x v="7"/>
    <x v="1"/>
    <n v="62.4"/>
    <x v="1109"/>
    <x v="50"/>
    <d v="2025-02-21T00:00:00"/>
    <s v="F"/>
    <x v="0"/>
    <x v="1"/>
    <x v="0"/>
    <x v="6"/>
    <x v="3"/>
    <x v="7"/>
    <x v="2"/>
  </r>
  <r>
    <s v="TX501341"/>
    <x v="6"/>
    <x v="4"/>
    <n v="40.700000000000003"/>
    <x v="1110"/>
    <x v="50"/>
    <d v="2025-02-22T00:00:00"/>
    <s v="M"/>
    <x v="1"/>
    <x v="2"/>
    <x v="0"/>
    <x v="6"/>
    <x v="1"/>
    <x v="7"/>
    <x v="1"/>
  </r>
  <r>
    <s v="TX501342"/>
    <x v="6"/>
    <x v="0"/>
    <n v="49.6"/>
    <x v="1111"/>
    <x v="50"/>
    <d v="2025-02-23T00:00:00"/>
    <s v="M"/>
    <x v="2"/>
    <x v="0"/>
    <x v="0"/>
    <x v="7"/>
    <x v="2"/>
    <x v="7"/>
    <x v="1"/>
  </r>
  <r>
    <s v="TX501343"/>
    <x v="7"/>
    <x v="41"/>
    <n v="66.599999999999994"/>
    <x v="1112"/>
    <x v="50"/>
    <d v="2025-02-23T00:00:00"/>
    <s v="M"/>
    <x v="2"/>
    <x v="0"/>
    <x v="0"/>
    <x v="8"/>
    <x v="2"/>
    <x v="7"/>
    <x v="1"/>
  </r>
  <r>
    <s v="TX501344"/>
    <x v="8"/>
    <x v="2"/>
    <n v="26.4"/>
    <x v="1113"/>
    <x v="50"/>
    <d v="2025-02-21T00:00:00"/>
    <s v="F"/>
    <x v="1"/>
    <x v="1"/>
    <x v="0"/>
    <x v="8"/>
    <x v="3"/>
    <x v="7"/>
    <x v="2"/>
  </r>
  <r>
    <s v="TX501345"/>
    <x v="0"/>
    <x v="1"/>
    <n v="17.2"/>
    <x v="1114"/>
    <x v="50"/>
    <d v="2025-02-23T00:00:00"/>
    <s v="M"/>
    <x v="2"/>
    <x v="1"/>
    <x v="0"/>
    <x v="8"/>
    <x v="2"/>
    <x v="7"/>
    <x v="1"/>
  </r>
  <r>
    <s v="TX501346"/>
    <x v="5"/>
    <x v="8"/>
    <n v="58.1"/>
    <x v="1115"/>
    <x v="50"/>
    <d v="2025-02-23T00:00:00"/>
    <s v="F"/>
    <x v="4"/>
    <x v="0"/>
    <x v="0"/>
    <x v="8"/>
    <x v="2"/>
    <x v="7"/>
    <x v="2"/>
  </r>
  <r>
    <s v="TX501347"/>
    <x v="15"/>
    <x v="12"/>
    <n v="31.5"/>
    <x v="624"/>
    <x v="50"/>
    <d v="2025-02-23T00:00:00"/>
    <s v="F"/>
    <x v="4"/>
    <x v="4"/>
    <x v="0"/>
    <x v="8"/>
    <x v="2"/>
    <x v="7"/>
    <x v="2"/>
  </r>
  <r>
    <s v="TX501348"/>
    <x v="0"/>
    <x v="0"/>
    <n v="27.1"/>
    <x v="1116"/>
    <x v="50"/>
    <d v="2025-02-22T00:00:00"/>
    <s v="F"/>
    <x v="0"/>
    <x v="1"/>
    <x v="0"/>
    <x v="17"/>
    <x v="1"/>
    <x v="7"/>
    <x v="2"/>
  </r>
  <r>
    <s v="TX501349"/>
    <x v="18"/>
    <x v="12"/>
    <n v="28.5"/>
    <x v="717"/>
    <x v="50"/>
    <d v="2025-02-22T00:00:00"/>
    <s v="M"/>
    <x v="1"/>
    <x v="2"/>
    <x v="0"/>
    <x v="9"/>
    <x v="1"/>
    <x v="7"/>
    <x v="1"/>
  </r>
  <r>
    <s v="TX501350"/>
    <x v="10"/>
    <x v="0"/>
    <n v="40.5"/>
    <x v="1117"/>
    <x v="51"/>
    <d v="2025-02-23T00:00:00"/>
    <s v="O"/>
    <x v="2"/>
    <x v="0"/>
    <x v="0"/>
    <x v="9"/>
    <x v="1"/>
    <x v="7"/>
    <x v="3"/>
  </r>
  <r>
    <s v="TX501351"/>
    <x v="2"/>
    <x v="2"/>
    <n v="77.900000000000006"/>
    <x v="1118"/>
    <x v="51"/>
    <d v="2025-02-25T00:00:00"/>
    <s v="F"/>
    <x v="1"/>
    <x v="2"/>
    <x v="0"/>
    <x v="19"/>
    <x v="5"/>
    <x v="7"/>
    <x v="2"/>
  </r>
  <r>
    <s v="TX501352"/>
    <x v="18"/>
    <x v="12"/>
    <n v="37.1"/>
    <x v="1119"/>
    <x v="51"/>
    <d v="2025-02-23T00:00:00"/>
    <s v="M"/>
    <x v="4"/>
    <x v="2"/>
    <x v="0"/>
    <x v="19"/>
    <x v="1"/>
    <x v="7"/>
    <x v="1"/>
  </r>
  <r>
    <s v="TX501353"/>
    <x v="16"/>
    <x v="2"/>
    <n v="51.6"/>
    <x v="1120"/>
    <x v="51"/>
    <d v="2025-03-01T00:00:00"/>
    <s v="F"/>
    <x v="0"/>
    <x v="4"/>
    <x v="0"/>
    <x v="19"/>
    <x v="9"/>
    <x v="7"/>
    <x v="2"/>
  </r>
  <r>
    <s v="TX501354"/>
    <x v="7"/>
    <x v="2"/>
    <n v="98"/>
    <x v="1121"/>
    <x v="51"/>
    <d v="2025-02-22T00:00:00"/>
    <s v="M"/>
    <x v="1"/>
    <x v="1"/>
    <x v="0"/>
    <x v="19"/>
    <x v="3"/>
    <x v="7"/>
    <x v="1"/>
  </r>
  <r>
    <s v="TX501355"/>
    <x v="6"/>
    <x v="3"/>
    <n v="41.4"/>
    <x v="1122"/>
    <x v="51"/>
    <d v="2025-02-22T00:00:00"/>
    <s v="M"/>
    <x v="1"/>
    <x v="0"/>
    <x v="0"/>
    <x v="20"/>
    <x v="3"/>
    <x v="7"/>
    <x v="1"/>
  </r>
  <r>
    <s v="TX501356"/>
    <x v="11"/>
    <x v="8"/>
    <n v="34"/>
    <x v="1123"/>
    <x v="51"/>
    <d v="2025-02-26T00:00:00"/>
    <s v="F"/>
    <x v="0"/>
    <x v="2"/>
    <x v="0"/>
    <x v="52"/>
    <x v="0"/>
    <x v="7"/>
    <x v="2"/>
  </r>
  <r>
    <s v="TX501357"/>
    <x v="6"/>
    <x v="0"/>
    <n v="66.3"/>
    <x v="1124"/>
    <x v="51"/>
    <d v="2025-02-22T00:00:00"/>
    <s v="F"/>
    <x v="1"/>
    <x v="0"/>
    <x v="0"/>
    <x v="13"/>
    <x v="3"/>
    <x v="7"/>
    <x v="2"/>
  </r>
  <r>
    <s v="TX501358"/>
    <x v="7"/>
    <x v="0"/>
    <n v="33.5"/>
    <x v="253"/>
    <x v="51"/>
    <d v="2025-02-25T00:00:00"/>
    <s v="M"/>
    <x v="2"/>
    <x v="0"/>
    <x v="0"/>
    <x v="13"/>
    <x v="5"/>
    <x v="7"/>
    <x v="1"/>
  </r>
  <r>
    <s v="TX501359"/>
    <x v="12"/>
    <x v="1"/>
    <n v="70.8"/>
    <x v="932"/>
    <x v="51"/>
    <d v="2025-02-22T00:00:00"/>
    <s v=""/>
    <x v="0"/>
    <x v="0"/>
    <x v="0"/>
    <x v="28"/>
    <x v="3"/>
    <x v="7"/>
    <x v="0"/>
  </r>
  <r>
    <s v="TX501360"/>
    <x v="6"/>
    <x v="1"/>
    <n v="127.6"/>
    <x v="281"/>
    <x v="51"/>
    <d v="2025-02-22T00:00:00"/>
    <s v="M"/>
    <x v="0"/>
    <x v="0"/>
    <x v="0"/>
    <x v="21"/>
    <x v="3"/>
    <x v="7"/>
    <x v="1"/>
  </r>
  <r>
    <s v="TX501361"/>
    <x v="6"/>
    <x v="2"/>
    <n v="95.9"/>
    <x v="1125"/>
    <x v="51"/>
    <d v="2025-02-22T00:00:00"/>
    <s v="F"/>
    <x v="1"/>
    <x v="1"/>
    <x v="0"/>
    <x v="21"/>
    <x v="3"/>
    <x v="7"/>
    <x v="2"/>
  </r>
  <r>
    <s v="TX501362"/>
    <x v="2"/>
    <x v="1"/>
    <n v="78.099999999999994"/>
    <x v="1126"/>
    <x v="51"/>
    <d v="2025-02-22T00:00:00"/>
    <s v="M"/>
    <x v="0"/>
    <x v="0"/>
    <x v="0"/>
    <x v="1"/>
    <x v="3"/>
    <x v="7"/>
    <x v="1"/>
  </r>
  <r>
    <s v="TX501363"/>
    <x v="13"/>
    <x v="1"/>
    <n v="43.2"/>
    <x v="781"/>
    <x v="51"/>
    <d v="2025-02-22T00:00:00"/>
    <s v=""/>
    <x v="1"/>
    <x v="1"/>
    <x v="0"/>
    <x v="1"/>
    <x v="3"/>
    <x v="7"/>
    <x v="0"/>
  </r>
  <r>
    <s v="TX501364"/>
    <x v="8"/>
    <x v="12"/>
    <n v="28.4"/>
    <x v="1127"/>
    <x v="51"/>
    <d v="2025-02-27T00:00:00"/>
    <s v="M"/>
    <x v="2"/>
    <x v="0"/>
    <x v="0"/>
    <x v="3"/>
    <x v="4"/>
    <x v="7"/>
    <x v="1"/>
  </r>
  <r>
    <s v="TX501365"/>
    <x v="2"/>
    <x v="1"/>
    <n v="81.7"/>
    <x v="1128"/>
    <x v="51"/>
    <d v="2025-02-21T00:00:00"/>
    <s v="M"/>
    <x v="0"/>
    <x v="0"/>
    <x v="0"/>
    <x v="3"/>
    <x v="7"/>
    <x v="7"/>
    <x v="1"/>
  </r>
  <r>
    <s v="TX501366"/>
    <x v="18"/>
    <x v="1"/>
    <n v="56.7"/>
    <x v="1129"/>
    <x v="51"/>
    <d v="2025-02-23T00:00:00"/>
    <s v=""/>
    <x v="0"/>
    <x v="2"/>
    <x v="0"/>
    <x v="3"/>
    <x v="1"/>
    <x v="7"/>
    <x v="0"/>
  </r>
  <r>
    <s v="TX501367"/>
    <x v="3"/>
    <x v="12"/>
    <n v="66.5"/>
    <x v="751"/>
    <x v="51"/>
    <d v="2025-02-21T00:00:00"/>
    <s v="F"/>
    <x v="0"/>
    <x v="2"/>
    <x v="0"/>
    <x v="3"/>
    <x v="7"/>
    <x v="7"/>
    <x v="2"/>
  </r>
  <r>
    <s v="TX501368"/>
    <x v="1"/>
    <x v="1"/>
    <n v="105.3"/>
    <x v="1130"/>
    <x v="51"/>
    <d v="2025-02-25T00:00:00"/>
    <s v="M"/>
    <x v="0"/>
    <x v="1"/>
    <x v="0"/>
    <x v="3"/>
    <x v="5"/>
    <x v="7"/>
    <x v="1"/>
  </r>
  <r>
    <s v="TX501369"/>
    <x v="10"/>
    <x v="9"/>
    <n v="33.799999999999997"/>
    <x v="900"/>
    <x v="51"/>
    <d v="2025-02-26T00:00:00"/>
    <s v="M"/>
    <x v="0"/>
    <x v="0"/>
    <x v="0"/>
    <x v="3"/>
    <x v="0"/>
    <x v="7"/>
    <x v="1"/>
  </r>
  <r>
    <s v="TX501370"/>
    <x v="6"/>
    <x v="2"/>
    <n v="63.4"/>
    <x v="1131"/>
    <x v="51"/>
    <d v="2025-02-26T00:00:00"/>
    <s v="M"/>
    <x v="3"/>
    <x v="1"/>
    <x v="0"/>
    <x v="24"/>
    <x v="0"/>
    <x v="7"/>
    <x v="1"/>
  </r>
  <r>
    <s v="TX501371"/>
    <x v="6"/>
    <x v="2"/>
    <n v="49"/>
    <x v="926"/>
    <x v="51"/>
    <d v="2025-02-25T00:00:00"/>
    <s v="M"/>
    <x v="3"/>
    <x v="0"/>
    <x v="0"/>
    <x v="49"/>
    <x v="5"/>
    <x v="7"/>
    <x v="1"/>
  </r>
  <r>
    <s v="TX501372"/>
    <x v="1"/>
    <x v="1"/>
    <n v="40"/>
    <x v="479"/>
    <x v="51"/>
    <d v="2025-02-22T00:00:00"/>
    <s v="F"/>
    <x v="4"/>
    <x v="1"/>
    <x v="0"/>
    <x v="23"/>
    <x v="3"/>
    <x v="7"/>
    <x v="2"/>
  </r>
  <r>
    <s v="TX501373"/>
    <x v="6"/>
    <x v="12"/>
    <n v="86.3"/>
    <x v="1132"/>
    <x v="51"/>
    <d v="2025-02-22T00:00:00"/>
    <s v="O"/>
    <x v="0"/>
    <x v="0"/>
    <x v="0"/>
    <x v="6"/>
    <x v="3"/>
    <x v="7"/>
    <x v="3"/>
  </r>
  <r>
    <s v="TX501374"/>
    <x v="6"/>
    <x v="0"/>
    <n v="51.6"/>
    <x v="937"/>
    <x v="51"/>
    <d v="2025-02-23T00:00:00"/>
    <s v="F"/>
    <x v="2"/>
    <x v="2"/>
    <x v="0"/>
    <x v="6"/>
    <x v="1"/>
    <x v="7"/>
    <x v="2"/>
  </r>
  <r>
    <s v="TX501375"/>
    <x v="10"/>
    <x v="2"/>
    <n v="26.7"/>
    <x v="1133"/>
    <x v="51"/>
    <d v="2025-02-26T00:00:00"/>
    <s v="F"/>
    <x v="2"/>
    <x v="1"/>
    <x v="0"/>
    <x v="6"/>
    <x v="0"/>
    <x v="7"/>
    <x v="2"/>
  </r>
  <r>
    <s v="TX501376"/>
    <x v="18"/>
    <x v="1"/>
    <n v="68.099999999999994"/>
    <x v="1134"/>
    <x v="51"/>
    <d v="2025-02-22T00:00:00"/>
    <s v="M"/>
    <x v="0"/>
    <x v="1"/>
    <x v="0"/>
    <x v="6"/>
    <x v="3"/>
    <x v="7"/>
    <x v="1"/>
  </r>
  <r>
    <s v="TX501377"/>
    <x v="1"/>
    <x v="0"/>
    <n v="81.7"/>
    <x v="1135"/>
    <x v="51"/>
    <d v="2025-02-22T00:00:00"/>
    <s v="M"/>
    <x v="0"/>
    <x v="0"/>
    <x v="0"/>
    <x v="7"/>
    <x v="3"/>
    <x v="7"/>
    <x v="1"/>
  </r>
  <r>
    <s v="TX501378"/>
    <x v="18"/>
    <x v="7"/>
    <n v="25.1"/>
    <x v="1136"/>
    <x v="51"/>
    <d v="2025-02-24T00:00:00"/>
    <s v="M"/>
    <x v="3"/>
    <x v="1"/>
    <x v="0"/>
    <x v="8"/>
    <x v="2"/>
    <x v="7"/>
    <x v="1"/>
  </r>
  <r>
    <s v="TX501379"/>
    <x v="8"/>
    <x v="0"/>
    <n v="20.2"/>
    <x v="1137"/>
    <x v="51"/>
    <d v="2025-02-25T00:00:00"/>
    <s v="F"/>
    <x v="0"/>
    <x v="0"/>
    <x v="0"/>
    <x v="8"/>
    <x v="5"/>
    <x v="7"/>
    <x v="2"/>
  </r>
  <r>
    <s v="TX501380"/>
    <x v="8"/>
    <x v="2"/>
    <n v="15.4"/>
    <x v="1063"/>
    <x v="51"/>
    <d v="2025-02-22T00:00:00"/>
    <s v="M"/>
    <x v="1"/>
    <x v="2"/>
    <x v="0"/>
    <x v="8"/>
    <x v="3"/>
    <x v="7"/>
    <x v="1"/>
  </r>
  <r>
    <s v="TX501381"/>
    <x v="10"/>
    <x v="0"/>
    <n v="59.2"/>
    <x v="1100"/>
    <x v="51"/>
    <d v="2025-02-22T00:00:00"/>
    <s v="M"/>
    <x v="2"/>
    <x v="2"/>
    <x v="0"/>
    <x v="17"/>
    <x v="3"/>
    <x v="7"/>
    <x v="1"/>
  </r>
  <r>
    <s v="TX501382"/>
    <x v="0"/>
    <x v="0"/>
    <n v="46.7"/>
    <x v="594"/>
    <x v="51"/>
    <d v="2025-02-26T00:00:00"/>
    <s v="M"/>
    <x v="0"/>
    <x v="0"/>
    <x v="0"/>
    <x v="17"/>
    <x v="0"/>
    <x v="7"/>
    <x v="1"/>
  </r>
  <r>
    <s v="TX501383"/>
    <x v="6"/>
    <x v="20"/>
    <n v="41.6"/>
    <x v="1138"/>
    <x v="51"/>
    <d v="2025-02-23T00:00:00"/>
    <s v="M"/>
    <x v="1"/>
    <x v="0"/>
    <x v="0"/>
    <x v="26"/>
    <x v="1"/>
    <x v="7"/>
    <x v="1"/>
  </r>
  <r>
    <s v="TX501384"/>
    <x v="8"/>
    <x v="1"/>
    <n v="19.2"/>
    <x v="1139"/>
    <x v="51"/>
    <d v="2025-02-24T00:00:00"/>
    <s v="M"/>
    <x v="4"/>
    <x v="2"/>
    <x v="0"/>
    <x v="9"/>
    <x v="2"/>
    <x v="7"/>
    <x v="1"/>
  </r>
  <r>
    <s v="TX501385"/>
    <x v="17"/>
    <x v="3"/>
    <n v="41.8"/>
    <x v="1140"/>
    <x v="51"/>
    <d v="2025-02-23T00:00:00"/>
    <s v="F"/>
    <x v="2"/>
    <x v="0"/>
    <x v="0"/>
    <x v="11"/>
    <x v="1"/>
    <x v="7"/>
    <x v="2"/>
  </r>
  <r>
    <s v="TX501386"/>
    <x v="8"/>
    <x v="13"/>
    <n v="37.4"/>
    <x v="1141"/>
    <x v="51"/>
    <d v="2025-02-23T00:00:00"/>
    <s v="M"/>
    <x v="0"/>
    <x v="2"/>
    <x v="0"/>
    <x v="11"/>
    <x v="1"/>
    <x v="7"/>
    <x v="1"/>
  </r>
  <r>
    <s v="TX501387"/>
    <x v="10"/>
    <x v="2"/>
    <n v="60.2"/>
    <x v="1142"/>
    <x v="51"/>
    <d v="2025-02-24T00:00:00"/>
    <s v="M"/>
    <x v="4"/>
    <x v="1"/>
    <x v="0"/>
    <x v="38"/>
    <x v="2"/>
    <x v="7"/>
    <x v="1"/>
  </r>
  <r>
    <s v="TX501388"/>
    <x v="9"/>
    <x v="1"/>
    <n v="91.5"/>
    <x v="1143"/>
    <x v="52"/>
    <d v="2025-02-23T00:00:00"/>
    <s v="M"/>
    <x v="0"/>
    <x v="0"/>
    <x v="0"/>
    <x v="13"/>
    <x v="3"/>
    <x v="7"/>
    <x v="1"/>
  </r>
  <r>
    <s v="TX501389"/>
    <x v="3"/>
    <x v="9"/>
    <n v="55.7"/>
    <x v="1144"/>
    <x v="52"/>
    <d v="2025-02-24T00:00:00"/>
    <s v=""/>
    <x v="1"/>
    <x v="2"/>
    <x v="0"/>
    <x v="21"/>
    <x v="1"/>
    <x v="7"/>
    <x v="0"/>
  </r>
  <r>
    <s v="TX501390"/>
    <x v="7"/>
    <x v="1"/>
    <n v="76.7"/>
    <x v="1145"/>
    <x v="52"/>
    <d v="2025-02-24T00:00:00"/>
    <s v="M"/>
    <x v="0"/>
    <x v="1"/>
    <x v="0"/>
    <x v="21"/>
    <x v="1"/>
    <x v="7"/>
    <x v="1"/>
  </r>
  <r>
    <s v="TX501391"/>
    <x v="8"/>
    <x v="38"/>
    <n v="28.2"/>
    <x v="1146"/>
    <x v="52"/>
    <d v="2025-02-27T00:00:00"/>
    <s v="M"/>
    <x v="2"/>
    <x v="0"/>
    <x v="0"/>
    <x v="1"/>
    <x v="0"/>
    <x v="7"/>
    <x v="1"/>
  </r>
  <r>
    <s v="TX501392"/>
    <x v="7"/>
    <x v="9"/>
    <n v="93.2"/>
    <x v="1147"/>
    <x v="52"/>
    <d v="2025-02-24T00:00:00"/>
    <s v="F"/>
    <x v="4"/>
    <x v="2"/>
    <x v="0"/>
    <x v="1"/>
    <x v="1"/>
    <x v="7"/>
    <x v="2"/>
  </r>
  <r>
    <s v="TX501393"/>
    <x v="17"/>
    <x v="0"/>
    <n v="33.299999999999997"/>
    <x v="698"/>
    <x v="52"/>
    <d v="2025-02-23T00:00:00"/>
    <s v="M"/>
    <x v="4"/>
    <x v="0"/>
    <x v="0"/>
    <x v="2"/>
    <x v="3"/>
    <x v="7"/>
    <x v="1"/>
  </r>
  <r>
    <s v="TX501394"/>
    <x v="10"/>
    <x v="1"/>
    <n v="39.1"/>
    <x v="1148"/>
    <x v="52"/>
    <d v="2025-02-25T00:00:00"/>
    <s v="M"/>
    <x v="0"/>
    <x v="0"/>
    <x v="0"/>
    <x v="44"/>
    <x v="2"/>
    <x v="7"/>
    <x v="1"/>
  </r>
  <r>
    <s v="TX501395"/>
    <x v="7"/>
    <x v="4"/>
    <n v="45.3"/>
    <x v="1149"/>
    <x v="52"/>
    <d v="2025-02-23T00:00:00"/>
    <s v="M"/>
    <x v="2"/>
    <x v="0"/>
    <x v="0"/>
    <x v="33"/>
    <x v="3"/>
    <x v="7"/>
    <x v="1"/>
  </r>
  <r>
    <s v="TX501396"/>
    <x v="9"/>
    <x v="3"/>
    <n v="33.9"/>
    <x v="1150"/>
    <x v="52"/>
    <d v="2025-02-23T00:00:00"/>
    <s v="M"/>
    <x v="4"/>
    <x v="0"/>
    <x v="0"/>
    <x v="33"/>
    <x v="3"/>
    <x v="7"/>
    <x v="1"/>
  </r>
  <r>
    <s v="TX501397"/>
    <x v="8"/>
    <x v="2"/>
    <n v="19"/>
    <x v="933"/>
    <x v="52"/>
    <d v="2025-02-23T00:00:00"/>
    <s v="M"/>
    <x v="0"/>
    <x v="2"/>
    <x v="0"/>
    <x v="15"/>
    <x v="3"/>
    <x v="7"/>
    <x v="1"/>
  </r>
  <r>
    <s v="TX501398"/>
    <x v="4"/>
    <x v="0"/>
    <n v="41.9"/>
    <x v="1151"/>
    <x v="52"/>
    <d v="2025-02-25T00:00:00"/>
    <s v="F"/>
    <x v="2"/>
    <x v="0"/>
    <x v="0"/>
    <x v="22"/>
    <x v="2"/>
    <x v="7"/>
    <x v="2"/>
  </r>
  <r>
    <s v="TX501399"/>
    <x v="1"/>
    <x v="12"/>
    <n v="37.5"/>
    <x v="638"/>
    <x v="52"/>
    <d v="2025-02-22T00:00:00"/>
    <s v="F"/>
    <x v="0"/>
    <x v="0"/>
    <x v="0"/>
    <x v="3"/>
    <x v="7"/>
    <x v="7"/>
    <x v="2"/>
  </r>
  <r>
    <s v="TX501400"/>
    <x v="0"/>
    <x v="1"/>
    <n v="40.799999999999997"/>
    <x v="330"/>
    <x v="52"/>
    <d v="2025-02-25T00:00:00"/>
    <s v="M"/>
    <x v="0"/>
    <x v="0"/>
    <x v="0"/>
    <x v="3"/>
    <x v="2"/>
    <x v="7"/>
    <x v="1"/>
  </r>
  <r>
    <s v="TX501401"/>
    <x v="0"/>
    <x v="12"/>
    <n v="23.1"/>
    <x v="1152"/>
    <x v="52"/>
    <d v="2025-02-23T00:00:00"/>
    <s v="F"/>
    <x v="4"/>
    <x v="0"/>
    <x v="0"/>
    <x v="3"/>
    <x v="3"/>
    <x v="7"/>
    <x v="2"/>
  </r>
  <r>
    <s v="TX501402"/>
    <x v="8"/>
    <x v="9"/>
    <n v="39.299999999999997"/>
    <x v="756"/>
    <x v="52"/>
    <d v="2025-02-23T00:00:00"/>
    <s v="F"/>
    <x v="0"/>
    <x v="0"/>
    <x v="0"/>
    <x v="3"/>
    <x v="3"/>
    <x v="7"/>
    <x v="2"/>
  </r>
  <r>
    <s v="TX501403"/>
    <x v="2"/>
    <x v="12"/>
    <n v="85.2"/>
    <x v="1153"/>
    <x v="52"/>
    <d v="2025-02-27T00:00:00"/>
    <s v="M"/>
    <x v="2"/>
    <x v="0"/>
    <x v="0"/>
    <x v="3"/>
    <x v="0"/>
    <x v="7"/>
    <x v="1"/>
  </r>
  <r>
    <s v="TX501404"/>
    <x v="8"/>
    <x v="13"/>
    <n v="16"/>
    <x v="854"/>
    <x v="52"/>
    <d v="2025-02-25T00:00:00"/>
    <s v="M"/>
    <x v="1"/>
    <x v="0"/>
    <x v="0"/>
    <x v="3"/>
    <x v="2"/>
    <x v="7"/>
    <x v="1"/>
  </r>
  <r>
    <s v="TX501405"/>
    <x v="1"/>
    <x v="1"/>
    <n v="33.799999999999997"/>
    <x v="821"/>
    <x v="52"/>
    <d v="2025-02-26T00:00:00"/>
    <s v="F"/>
    <x v="1"/>
    <x v="0"/>
    <x v="0"/>
    <x v="3"/>
    <x v="5"/>
    <x v="7"/>
    <x v="2"/>
  </r>
  <r>
    <s v="TX501406"/>
    <x v="3"/>
    <x v="0"/>
    <n v="70"/>
    <x v="1154"/>
    <x v="52"/>
    <d v="2025-02-23T00:00:00"/>
    <s v="F"/>
    <x v="0"/>
    <x v="0"/>
    <x v="0"/>
    <x v="3"/>
    <x v="3"/>
    <x v="7"/>
    <x v="2"/>
  </r>
  <r>
    <s v="TX501407"/>
    <x v="9"/>
    <x v="0"/>
    <n v="88"/>
    <x v="1155"/>
    <x v="52"/>
    <d v="2025-02-27T00:00:00"/>
    <s v="F"/>
    <x v="3"/>
    <x v="0"/>
    <x v="0"/>
    <x v="3"/>
    <x v="0"/>
    <x v="7"/>
    <x v="2"/>
  </r>
  <r>
    <s v="TX501408"/>
    <x v="2"/>
    <x v="2"/>
    <n v="74.099999999999994"/>
    <x v="1156"/>
    <x v="52"/>
    <d v="2025-02-22T00:00:00"/>
    <s v="M"/>
    <x v="4"/>
    <x v="1"/>
    <x v="0"/>
    <x v="3"/>
    <x v="7"/>
    <x v="7"/>
    <x v="1"/>
  </r>
  <r>
    <s v="TX501409"/>
    <x v="2"/>
    <x v="0"/>
    <n v="161.9"/>
    <x v="1157"/>
    <x v="52"/>
    <d v="2025-02-24T00:00:00"/>
    <s v="M"/>
    <x v="2"/>
    <x v="0"/>
    <x v="0"/>
    <x v="3"/>
    <x v="1"/>
    <x v="7"/>
    <x v="1"/>
  </r>
  <r>
    <s v="TX501410"/>
    <x v="4"/>
    <x v="1"/>
    <n v="44"/>
    <x v="1155"/>
    <x v="52"/>
    <d v="2025-02-23T00:00:00"/>
    <s v="O"/>
    <x v="4"/>
    <x v="1"/>
    <x v="0"/>
    <x v="3"/>
    <x v="3"/>
    <x v="7"/>
    <x v="3"/>
  </r>
  <r>
    <s v="TX501411"/>
    <x v="11"/>
    <x v="0"/>
    <n v="32.1"/>
    <x v="1158"/>
    <x v="52"/>
    <d v="2025-02-22T00:00:00"/>
    <s v="F"/>
    <x v="3"/>
    <x v="3"/>
    <x v="0"/>
    <x v="3"/>
    <x v="7"/>
    <x v="7"/>
    <x v="2"/>
  </r>
  <r>
    <s v="TX501412"/>
    <x v="2"/>
    <x v="12"/>
    <n v="104.8"/>
    <x v="1159"/>
    <x v="53"/>
    <d v="2025-02-25T00:00:00"/>
    <s v="O"/>
    <x v="0"/>
    <x v="0"/>
    <x v="0"/>
    <x v="3"/>
    <x v="1"/>
    <x v="8"/>
    <x v="3"/>
  </r>
  <r>
    <s v="TX501413"/>
    <x v="9"/>
    <x v="13"/>
    <n v="67.400000000000006"/>
    <x v="1160"/>
    <x v="53"/>
    <d v="2025-02-24T00:00:00"/>
    <s v="F"/>
    <x v="3"/>
    <x v="0"/>
    <x v="0"/>
    <x v="3"/>
    <x v="3"/>
    <x v="8"/>
    <x v="2"/>
  </r>
  <r>
    <s v="TX501414"/>
    <x v="6"/>
    <x v="1"/>
    <n v="115.2"/>
    <x v="1161"/>
    <x v="53"/>
    <d v="2025-02-24T00:00:00"/>
    <s v="F"/>
    <x v="1"/>
    <x v="0"/>
    <x v="0"/>
    <x v="4"/>
    <x v="3"/>
    <x v="8"/>
    <x v="2"/>
  </r>
  <r>
    <s v="TX501415"/>
    <x v="8"/>
    <x v="19"/>
    <n v="15.5"/>
    <x v="148"/>
    <x v="53"/>
    <d v="2025-02-25T00:00:00"/>
    <s v="F"/>
    <x v="0"/>
    <x v="1"/>
    <x v="0"/>
    <x v="23"/>
    <x v="1"/>
    <x v="8"/>
    <x v="2"/>
  </r>
  <r>
    <s v="TX501416"/>
    <x v="6"/>
    <x v="5"/>
    <n v="66.400000000000006"/>
    <x v="1162"/>
    <x v="53"/>
    <d v="2025-02-25T00:00:00"/>
    <s v="F"/>
    <x v="0"/>
    <x v="0"/>
    <x v="0"/>
    <x v="6"/>
    <x v="1"/>
    <x v="8"/>
    <x v="2"/>
  </r>
  <r>
    <s v="TX501417"/>
    <x v="9"/>
    <x v="4"/>
    <n v="68.099999999999994"/>
    <x v="1163"/>
    <x v="53"/>
    <d v="2025-02-24T00:00:00"/>
    <s v="F"/>
    <x v="2"/>
    <x v="0"/>
    <x v="0"/>
    <x v="8"/>
    <x v="3"/>
    <x v="8"/>
    <x v="2"/>
  </r>
  <r>
    <s v="TX501418"/>
    <x v="8"/>
    <x v="9"/>
    <n v="32.5"/>
    <x v="1164"/>
    <x v="53"/>
    <d v="2025-02-27T00:00:00"/>
    <s v="M"/>
    <x v="2"/>
    <x v="1"/>
    <x v="0"/>
    <x v="8"/>
    <x v="5"/>
    <x v="8"/>
    <x v="1"/>
  </r>
  <r>
    <s v="TX501419"/>
    <x v="15"/>
    <x v="2"/>
    <n v="61.2"/>
    <x v="1165"/>
    <x v="53"/>
    <d v="2025-02-25T00:00:00"/>
    <s v="F"/>
    <x v="1"/>
    <x v="1"/>
    <x v="0"/>
    <x v="8"/>
    <x v="1"/>
    <x v="8"/>
    <x v="2"/>
  </r>
  <r>
    <s v="TX501420"/>
    <x v="9"/>
    <x v="1"/>
    <n v="54.2"/>
    <x v="1061"/>
    <x v="53"/>
    <d v="2025-02-24T00:00:00"/>
    <s v="F"/>
    <x v="1"/>
    <x v="0"/>
    <x v="0"/>
    <x v="8"/>
    <x v="3"/>
    <x v="8"/>
    <x v="2"/>
  </r>
  <r>
    <s v="TX501421"/>
    <x v="11"/>
    <x v="8"/>
    <n v="28.7"/>
    <x v="1166"/>
    <x v="53"/>
    <d v="2025-02-25T00:00:00"/>
    <s v="M"/>
    <x v="1"/>
    <x v="0"/>
    <x v="0"/>
    <x v="9"/>
    <x v="1"/>
    <x v="8"/>
    <x v="1"/>
  </r>
  <r>
    <s v="TX501422"/>
    <x v="12"/>
    <x v="13"/>
    <n v="38.200000000000003"/>
    <x v="1167"/>
    <x v="53"/>
    <d v="2025-02-27T00:00:00"/>
    <s v="F"/>
    <x v="0"/>
    <x v="1"/>
    <x v="0"/>
    <x v="9"/>
    <x v="5"/>
    <x v="8"/>
    <x v="2"/>
  </r>
  <r>
    <s v="TX501423"/>
    <x v="8"/>
    <x v="4"/>
    <n v="17.600000000000001"/>
    <x v="1168"/>
    <x v="53"/>
    <d v="2025-02-24T00:00:00"/>
    <s v="F"/>
    <x v="2"/>
    <x v="1"/>
    <x v="0"/>
    <x v="9"/>
    <x v="3"/>
    <x v="8"/>
    <x v="2"/>
  </r>
  <r>
    <s v="TX501424"/>
    <x v="10"/>
    <x v="2"/>
    <n v="74.599999999999994"/>
    <x v="1169"/>
    <x v="53"/>
    <d v="2025-02-23T00:00:00"/>
    <s v="F"/>
    <x v="2"/>
    <x v="0"/>
    <x v="0"/>
    <x v="11"/>
    <x v="7"/>
    <x v="8"/>
    <x v="2"/>
  </r>
  <r>
    <s v="TX501425"/>
    <x v="16"/>
    <x v="20"/>
    <n v="72.599999999999994"/>
    <x v="1170"/>
    <x v="53"/>
    <d v="2025-02-23T00:00:00"/>
    <s v=""/>
    <x v="1"/>
    <x v="1"/>
    <x v="0"/>
    <x v="11"/>
    <x v="7"/>
    <x v="8"/>
    <x v="0"/>
  </r>
  <r>
    <s v="TX501426"/>
    <x v="7"/>
    <x v="0"/>
    <n v="62.3"/>
    <x v="1030"/>
    <x v="53"/>
    <d v="2025-02-24T00:00:00"/>
    <s v="F"/>
    <x v="1"/>
    <x v="0"/>
    <x v="0"/>
    <x v="11"/>
    <x v="3"/>
    <x v="8"/>
    <x v="2"/>
  </r>
  <r>
    <s v="TX501427"/>
    <x v="3"/>
    <x v="2"/>
    <n v="33.799999999999997"/>
    <x v="1171"/>
    <x v="53"/>
    <d v="2025-02-25T00:00:00"/>
    <s v="M"/>
    <x v="0"/>
    <x v="2"/>
    <x v="0"/>
    <x v="20"/>
    <x v="1"/>
    <x v="8"/>
    <x v="1"/>
  </r>
  <r>
    <s v="TX501428"/>
    <x v="9"/>
    <x v="0"/>
    <n v="85.7"/>
    <x v="1172"/>
    <x v="53"/>
    <d v="2025-02-26T00:00:00"/>
    <s v="M"/>
    <x v="3"/>
    <x v="1"/>
    <x v="0"/>
    <x v="21"/>
    <x v="2"/>
    <x v="8"/>
    <x v="1"/>
  </r>
  <r>
    <s v="TX501429"/>
    <x v="6"/>
    <x v="1"/>
    <n v="92.1"/>
    <x v="1173"/>
    <x v="53"/>
    <d v="2025-02-25T00:00:00"/>
    <s v="M"/>
    <x v="1"/>
    <x v="0"/>
    <x v="0"/>
    <x v="21"/>
    <x v="1"/>
    <x v="8"/>
    <x v="1"/>
  </r>
  <r>
    <s v="TX501430"/>
    <x v="16"/>
    <x v="2"/>
    <n v="65.099999999999994"/>
    <x v="1174"/>
    <x v="53"/>
    <d v="2025-02-26T00:00:00"/>
    <s v="M"/>
    <x v="0"/>
    <x v="0"/>
    <x v="0"/>
    <x v="1"/>
    <x v="2"/>
    <x v="8"/>
    <x v="1"/>
  </r>
  <r>
    <s v="TX501431"/>
    <x v="9"/>
    <x v="3"/>
    <n v="20.3"/>
    <x v="1175"/>
    <x v="53"/>
    <d v="2025-02-24T00:00:00"/>
    <s v="F"/>
    <x v="2"/>
    <x v="2"/>
    <x v="0"/>
    <x v="2"/>
    <x v="3"/>
    <x v="8"/>
    <x v="2"/>
  </r>
  <r>
    <s v="TX501432"/>
    <x v="19"/>
    <x v="1"/>
    <n v="29.8"/>
    <x v="1176"/>
    <x v="53"/>
    <d v="2025-02-25T00:00:00"/>
    <s v="F"/>
    <x v="1"/>
    <x v="2"/>
    <x v="0"/>
    <x v="34"/>
    <x v="1"/>
    <x v="8"/>
    <x v="2"/>
  </r>
  <r>
    <s v="TX501433"/>
    <x v="0"/>
    <x v="1"/>
    <n v="24.2"/>
    <x v="655"/>
    <x v="53"/>
    <d v="2025-02-25T00:00:00"/>
    <s v="F"/>
    <x v="3"/>
    <x v="2"/>
    <x v="0"/>
    <x v="3"/>
    <x v="1"/>
    <x v="8"/>
    <x v="2"/>
  </r>
  <r>
    <s v="TX501434"/>
    <x v="3"/>
    <x v="0"/>
    <n v="57.3"/>
    <x v="1177"/>
    <x v="53"/>
    <d v="2025-02-25T00:00:00"/>
    <s v="M"/>
    <x v="0"/>
    <x v="0"/>
    <x v="0"/>
    <x v="3"/>
    <x v="1"/>
    <x v="8"/>
    <x v="1"/>
  </r>
  <r>
    <s v="TX501435"/>
    <x v="2"/>
    <x v="0"/>
    <n v="108.9"/>
    <x v="1178"/>
    <x v="53"/>
    <d v="2025-02-25T00:00:00"/>
    <s v="F"/>
    <x v="1"/>
    <x v="0"/>
    <x v="0"/>
    <x v="3"/>
    <x v="1"/>
    <x v="8"/>
    <x v="2"/>
  </r>
  <r>
    <s v="TX501436"/>
    <x v="7"/>
    <x v="9"/>
    <n v="50.7"/>
    <x v="103"/>
    <x v="53"/>
    <d v="2025-02-24T00:00:00"/>
    <s v="F"/>
    <x v="0"/>
    <x v="0"/>
    <x v="0"/>
    <x v="3"/>
    <x v="3"/>
    <x v="8"/>
    <x v="2"/>
  </r>
  <r>
    <s v="TX501437"/>
    <x v="7"/>
    <x v="11"/>
    <n v="66.099999999999994"/>
    <x v="1179"/>
    <x v="53"/>
    <d v="2025-03-09T00:00:00"/>
    <s v="F"/>
    <x v="1"/>
    <x v="0"/>
    <x v="0"/>
    <x v="3"/>
    <x v="12"/>
    <x v="8"/>
    <x v="2"/>
  </r>
  <r>
    <s v="TX501438"/>
    <x v="12"/>
    <x v="9"/>
    <n v="36.700000000000003"/>
    <x v="1180"/>
    <x v="53"/>
    <d v="2025-02-27T00:00:00"/>
    <s v="F"/>
    <x v="4"/>
    <x v="0"/>
    <x v="0"/>
    <x v="3"/>
    <x v="5"/>
    <x v="8"/>
    <x v="2"/>
  </r>
  <r>
    <s v="TX501439"/>
    <x v="8"/>
    <x v="14"/>
    <n v="19.3"/>
    <x v="1181"/>
    <x v="53"/>
    <d v="2025-02-25T00:00:00"/>
    <s v="M"/>
    <x v="0"/>
    <x v="0"/>
    <x v="0"/>
    <x v="43"/>
    <x v="1"/>
    <x v="8"/>
    <x v="1"/>
  </r>
  <r>
    <s v="TX501440"/>
    <x v="8"/>
    <x v="12"/>
    <n v="20.7"/>
    <x v="1182"/>
    <x v="53"/>
    <d v="2025-02-24T00:00:00"/>
    <s v="M"/>
    <x v="1"/>
    <x v="2"/>
    <x v="0"/>
    <x v="6"/>
    <x v="3"/>
    <x v="8"/>
    <x v="1"/>
  </r>
  <r>
    <s v="TX501441"/>
    <x v="5"/>
    <x v="2"/>
    <n v="54.7"/>
    <x v="1183"/>
    <x v="53"/>
    <d v="2025-02-23T00:00:00"/>
    <s v="O"/>
    <x v="1"/>
    <x v="4"/>
    <x v="0"/>
    <x v="6"/>
    <x v="7"/>
    <x v="8"/>
    <x v="3"/>
  </r>
  <r>
    <s v="TX501442"/>
    <x v="4"/>
    <x v="1"/>
    <n v="19.8"/>
    <x v="341"/>
    <x v="53"/>
    <d v="2025-02-27T00:00:00"/>
    <s v="F"/>
    <x v="4"/>
    <x v="1"/>
    <x v="0"/>
    <x v="8"/>
    <x v="5"/>
    <x v="8"/>
    <x v="2"/>
  </r>
  <r>
    <s v="TX501443"/>
    <x v="7"/>
    <x v="0"/>
    <n v="41.1"/>
    <x v="1184"/>
    <x v="53"/>
    <d v="2025-02-25T00:00:00"/>
    <s v="F"/>
    <x v="0"/>
    <x v="2"/>
    <x v="0"/>
    <x v="8"/>
    <x v="1"/>
    <x v="8"/>
    <x v="2"/>
  </r>
  <r>
    <s v="TX501444"/>
    <x v="11"/>
    <x v="8"/>
    <n v="43.5"/>
    <x v="1185"/>
    <x v="53"/>
    <d v="2025-02-27T00:00:00"/>
    <s v="F"/>
    <x v="3"/>
    <x v="0"/>
    <x v="0"/>
    <x v="8"/>
    <x v="5"/>
    <x v="8"/>
    <x v="2"/>
  </r>
  <r>
    <s v="TX501445"/>
    <x v="8"/>
    <x v="21"/>
    <n v="19"/>
    <x v="751"/>
    <x v="53"/>
    <d v="2025-02-24T00:00:00"/>
    <s v="M"/>
    <x v="0"/>
    <x v="0"/>
    <x v="0"/>
    <x v="26"/>
    <x v="3"/>
    <x v="8"/>
    <x v="1"/>
  </r>
  <r>
    <s v="TX501446"/>
    <x v="2"/>
    <x v="12"/>
    <n v="51.4"/>
    <x v="1186"/>
    <x v="53"/>
    <d v="2025-02-23T00:00:00"/>
    <s v="F"/>
    <x v="0"/>
    <x v="0"/>
    <x v="0"/>
    <x v="26"/>
    <x v="7"/>
    <x v="8"/>
    <x v="2"/>
  </r>
  <r>
    <s v="TX501447"/>
    <x v="10"/>
    <x v="1"/>
    <n v="39.799999999999997"/>
    <x v="1187"/>
    <x v="53"/>
    <d v="2025-02-26T00:00:00"/>
    <s v="M"/>
    <x v="3"/>
    <x v="1"/>
    <x v="0"/>
    <x v="13"/>
    <x v="2"/>
    <x v="8"/>
    <x v="1"/>
  </r>
  <r>
    <s v="TX501448"/>
    <x v="6"/>
    <x v="9"/>
    <n v="61"/>
    <x v="1188"/>
    <x v="53"/>
    <d v="2025-02-24T00:00:00"/>
    <s v=""/>
    <x v="0"/>
    <x v="2"/>
    <x v="0"/>
    <x v="21"/>
    <x v="3"/>
    <x v="8"/>
    <x v="0"/>
  </r>
  <r>
    <s v="TX501449"/>
    <x v="8"/>
    <x v="5"/>
    <n v="15.1"/>
    <x v="1189"/>
    <x v="54"/>
    <d v="2025-03-01T00:00:00"/>
    <s v="M"/>
    <x v="3"/>
    <x v="2"/>
    <x v="0"/>
    <x v="2"/>
    <x v="0"/>
    <x v="8"/>
    <x v="1"/>
  </r>
  <r>
    <s v="TX501450"/>
    <x v="1"/>
    <x v="3"/>
    <n v="71.3"/>
    <x v="1190"/>
    <x v="54"/>
    <d v="2025-02-25T00:00:00"/>
    <s v="M"/>
    <x v="4"/>
    <x v="0"/>
    <x v="0"/>
    <x v="3"/>
    <x v="3"/>
    <x v="8"/>
    <x v="1"/>
  </r>
  <r>
    <s v="TX501451"/>
    <x v="10"/>
    <x v="0"/>
    <n v="25.8"/>
    <x v="1191"/>
    <x v="54"/>
    <d v="2025-02-26T00:00:00"/>
    <s v="F"/>
    <x v="0"/>
    <x v="2"/>
    <x v="0"/>
    <x v="3"/>
    <x v="1"/>
    <x v="8"/>
    <x v="2"/>
  </r>
  <r>
    <s v="TX501452"/>
    <x v="8"/>
    <x v="9"/>
    <n v="39.6"/>
    <x v="1192"/>
    <x v="54"/>
    <d v="2025-02-26T00:00:00"/>
    <s v="M"/>
    <x v="1"/>
    <x v="2"/>
    <x v="0"/>
    <x v="3"/>
    <x v="1"/>
    <x v="8"/>
    <x v="1"/>
  </r>
  <r>
    <s v="TX501453"/>
    <x v="5"/>
    <x v="1"/>
    <n v="64"/>
    <x v="1193"/>
    <x v="54"/>
    <d v="2025-02-24T00:00:00"/>
    <s v="M"/>
    <x v="1"/>
    <x v="1"/>
    <x v="0"/>
    <x v="3"/>
    <x v="7"/>
    <x v="8"/>
    <x v="1"/>
  </r>
  <r>
    <s v="TX501454"/>
    <x v="8"/>
    <x v="1"/>
    <n v="30.6"/>
    <x v="1"/>
    <x v="54"/>
    <d v="2025-02-27T00:00:00"/>
    <s v="M"/>
    <x v="0"/>
    <x v="2"/>
    <x v="0"/>
    <x v="3"/>
    <x v="2"/>
    <x v="8"/>
    <x v="1"/>
  </r>
  <r>
    <s v="TX501455"/>
    <x v="8"/>
    <x v="1"/>
    <n v="21.3"/>
    <x v="440"/>
    <x v="54"/>
    <d v="2025-02-25T00:00:00"/>
    <s v="M"/>
    <x v="0"/>
    <x v="1"/>
    <x v="0"/>
    <x v="3"/>
    <x v="3"/>
    <x v="8"/>
    <x v="1"/>
  </r>
  <r>
    <s v="TX501456"/>
    <x v="7"/>
    <x v="0"/>
    <n v="40.799999999999997"/>
    <x v="803"/>
    <x v="54"/>
    <d v="2025-02-26T00:00:00"/>
    <s v="F"/>
    <x v="4"/>
    <x v="0"/>
    <x v="0"/>
    <x v="3"/>
    <x v="1"/>
    <x v="8"/>
    <x v="2"/>
  </r>
  <r>
    <s v="TX501457"/>
    <x v="9"/>
    <x v="12"/>
    <n v="27.7"/>
    <x v="806"/>
    <x v="54"/>
    <d v="2025-02-25T00:00:00"/>
    <s v="F"/>
    <x v="0"/>
    <x v="1"/>
    <x v="0"/>
    <x v="3"/>
    <x v="3"/>
    <x v="8"/>
    <x v="2"/>
  </r>
  <r>
    <s v="TX501458"/>
    <x v="6"/>
    <x v="1"/>
    <n v="64.599999999999994"/>
    <x v="769"/>
    <x v="54"/>
    <d v="2025-02-25T00:00:00"/>
    <s v="M"/>
    <x v="0"/>
    <x v="1"/>
    <x v="0"/>
    <x v="3"/>
    <x v="3"/>
    <x v="8"/>
    <x v="1"/>
  </r>
  <r>
    <s v="TX501459"/>
    <x v="6"/>
    <x v="27"/>
    <n v="91.1"/>
    <x v="1194"/>
    <x v="54"/>
    <d v="2025-02-25T00:00:00"/>
    <s v="F"/>
    <x v="1"/>
    <x v="2"/>
    <x v="0"/>
    <x v="3"/>
    <x v="3"/>
    <x v="8"/>
    <x v="2"/>
  </r>
  <r>
    <s v="TX501460"/>
    <x v="1"/>
    <x v="0"/>
    <n v="39.5"/>
    <x v="736"/>
    <x v="54"/>
    <d v="2025-03-04T00:00:00"/>
    <s v="F"/>
    <x v="0"/>
    <x v="0"/>
    <x v="0"/>
    <x v="3"/>
    <x v="9"/>
    <x v="8"/>
    <x v="2"/>
  </r>
  <r>
    <s v="TX501461"/>
    <x v="9"/>
    <x v="1"/>
    <n v="21.8"/>
    <x v="1195"/>
    <x v="54"/>
    <d v="2025-02-28T00:00:00"/>
    <s v="M"/>
    <x v="4"/>
    <x v="2"/>
    <x v="0"/>
    <x v="3"/>
    <x v="5"/>
    <x v="8"/>
    <x v="1"/>
  </r>
  <r>
    <s v="TX501462"/>
    <x v="8"/>
    <x v="1"/>
    <n v="51"/>
    <x v="1062"/>
    <x v="54"/>
    <d v="2025-02-27T00:00:00"/>
    <s v="M"/>
    <x v="3"/>
    <x v="2"/>
    <x v="0"/>
    <x v="3"/>
    <x v="2"/>
    <x v="8"/>
    <x v="1"/>
  </r>
  <r>
    <s v="TX501463"/>
    <x v="2"/>
    <x v="0"/>
    <n v="92.6"/>
    <x v="1196"/>
    <x v="54"/>
    <d v="2025-02-27T00:00:00"/>
    <s v="F"/>
    <x v="0"/>
    <x v="2"/>
    <x v="0"/>
    <x v="35"/>
    <x v="2"/>
    <x v="8"/>
    <x v="2"/>
  </r>
  <r>
    <s v="TX501464"/>
    <x v="9"/>
    <x v="1"/>
    <n v="31.1"/>
    <x v="1197"/>
    <x v="54"/>
    <d v="2025-03-01T00:00:00"/>
    <s v=""/>
    <x v="1"/>
    <x v="3"/>
    <x v="0"/>
    <x v="23"/>
    <x v="0"/>
    <x v="8"/>
    <x v="0"/>
  </r>
  <r>
    <s v="TX501465"/>
    <x v="5"/>
    <x v="2"/>
    <n v="56.4"/>
    <x v="362"/>
    <x v="54"/>
    <d v="2025-02-25T00:00:00"/>
    <s v=""/>
    <x v="1"/>
    <x v="0"/>
    <x v="0"/>
    <x v="6"/>
    <x v="3"/>
    <x v="8"/>
    <x v="0"/>
  </r>
  <r>
    <s v="TX501466"/>
    <x v="9"/>
    <x v="0"/>
    <n v="41.9"/>
    <x v="1151"/>
    <x v="54"/>
    <d v="2025-02-24T00:00:00"/>
    <s v="M"/>
    <x v="1"/>
    <x v="0"/>
    <x v="0"/>
    <x v="6"/>
    <x v="7"/>
    <x v="8"/>
    <x v="1"/>
  </r>
  <r>
    <s v="TX501467"/>
    <x v="10"/>
    <x v="3"/>
    <n v="45.9"/>
    <x v="1198"/>
    <x v="54"/>
    <d v="2025-02-25T00:00:00"/>
    <s v="M"/>
    <x v="3"/>
    <x v="2"/>
    <x v="0"/>
    <x v="8"/>
    <x v="3"/>
    <x v="8"/>
    <x v="1"/>
  </r>
  <r>
    <s v="TX501468"/>
    <x v="14"/>
    <x v="11"/>
    <n v="24.4"/>
    <x v="1199"/>
    <x v="54"/>
    <d v="2025-02-28T00:00:00"/>
    <s v="M"/>
    <x v="3"/>
    <x v="2"/>
    <x v="0"/>
    <x v="8"/>
    <x v="5"/>
    <x v="8"/>
    <x v="1"/>
  </r>
  <r>
    <s v="TX501469"/>
    <x v="8"/>
    <x v="0"/>
    <n v="18.2"/>
    <x v="1200"/>
    <x v="54"/>
    <d v="2025-02-25T00:00:00"/>
    <s v="F"/>
    <x v="2"/>
    <x v="2"/>
    <x v="0"/>
    <x v="8"/>
    <x v="3"/>
    <x v="8"/>
    <x v="2"/>
  </r>
  <r>
    <s v="TX501470"/>
    <x v="8"/>
    <x v="12"/>
    <n v="51.2"/>
    <x v="403"/>
    <x v="54"/>
    <d v="2025-02-25T00:00:00"/>
    <s v="F"/>
    <x v="0"/>
    <x v="0"/>
    <x v="0"/>
    <x v="8"/>
    <x v="3"/>
    <x v="8"/>
    <x v="2"/>
  </r>
  <r>
    <s v="TX501471"/>
    <x v="6"/>
    <x v="0"/>
    <n v="59.7"/>
    <x v="1201"/>
    <x v="54"/>
    <d v="2025-02-27T00:00:00"/>
    <s v="M"/>
    <x v="0"/>
    <x v="2"/>
    <x v="0"/>
    <x v="8"/>
    <x v="2"/>
    <x v="8"/>
    <x v="1"/>
  </r>
  <r>
    <s v="TX501472"/>
    <x v="4"/>
    <x v="1"/>
    <n v="33.6"/>
    <x v="863"/>
    <x v="54"/>
    <d v="2025-02-26T00:00:00"/>
    <s v="F"/>
    <x v="0"/>
    <x v="0"/>
    <x v="0"/>
    <x v="17"/>
    <x v="1"/>
    <x v="8"/>
    <x v="2"/>
  </r>
  <r>
    <s v="TX501473"/>
    <x v="12"/>
    <x v="0"/>
    <n v="90.4"/>
    <x v="786"/>
    <x v="54"/>
    <d v="2025-02-28T00:00:00"/>
    <s v="M"/>
    <x v="1"/>
    <x v="2"/>
    <x v="0"/>
    <x v="10"/>
    <x v="5"/>
    <x v="8"/>
    <x v="1"/>
  </r>
  <r>
    <s v="TX501474"/>
    <x v="11"/>
    <x v="2"/>
    <n v="70.3"/>
    <x v="1202"/>
    <x v="54"/>
    <d v="2025-02-24T00:00:00"/>
    <s v="M"/>
    <x v="1"/>
    <x v="2"/>
    <x v="0"/>
    <x v="11"/>
    <x v="7"/>
    <x v="8"/>
    <x v="1"/>
  </r>
  <r>
    <s v="TX501475"/>
    <x v="4"/>
    <x v="1"/>
    <n v="20.5"/>
    <x v="783"/>
    <x v="54"/>
    <d v="2025-02-27T00:00:00"/>
    <s v="F"/>
    <x v="0"/>
    <x v="1"/>
    <x v="0"/>
    <x v="11"/>
    <x v="2"/>
    <x v="8"/>
    <x v="2"/>
  </r>
  <r>
    <s v="TX501476"/>
    <x v="5"/>
    <x v="5"/>
    <n v="37.6"/>
    <x v="1203"/>
    <x v="54"/>
    <d v="2025-02-25T00:00:00"/>
    <s v="M"/>
    <x v="0"/>
    <x v="0"/>
    <x v="0"/>
    <x v="38"/>
    <x v="3"/>
    <x v="8"/>
    <x v="1"/>
  </r>
  <r>
    <s v="TX501477"/>
    <x v="5"/>
    <x v="12"/>
    <n v="61.5"/>
    <x v="1204"/>
    <x v="54"/>
    <d v="2025-03-03T00:00:00"/>
    <s v="F"/>
    <x v="1"/>
    <x v="4"/>
    <x v="0"/>
    <x v="13"/>
    <x v="6"/>
    <x v="8"/>
    <x v="2"/>
  </r>
  <r>
    <s v="TX501478"/>
    <x v="9"/>
    <x v="0"/>
    <n v="33.5"/>
    <x v="253"/>
    <x v="55"/>
    <d v="2025-03-01T00:00:00"/>
    <s v="M"/>
    <x v="4"/>
    <x v="1"/>
    <x v="0"/>
    <x v="21"/>
    <x v="5"/>
    <x v="8"/>
    <x v="1"/>
  </r>
  <r>
    <s v="TX501479"/>
    <x v="4"/>
    <x v="2"/>
    <n v="29.3"/>
    <x v="1205"/>
    <x v="55"/>
    <d v="2025-02-27T00:00:00"/>
    <s v="F"/>
    <x v="1"/>
    <x v="2"/>
    <x v="0"/>
    <x v="1"/>
    <x v="1"/>
    <x v="8"/>
    <x v="2"/>
  </r>
  <r>
    <s v="TX501480"/>
    <x v="2"/>
    <x v="1"/>
    <n v="125.9"/>
    <x v="1206"/>
    <x v="55"/>
    <d v="2025-03-02T00:00:00"/>
    <s v="F"/>
    <x v="4"/>
    <x v="1"/>
    <x v="0"/>
    <x v="1"/>
    <x v="0"/>
    <x v="8"/>
    <x v="2"/>
  </r>
  <r>
    <s v="TX501481"/>
    <x v="5"/>
    <x v="9"/>
    <n v="29.3"/>
    <x v="1207"/>
    <x v="55"/>
    <d v="2025-02-25T00:00:00"/>
    <s v="M"/>
    <x v="2"/>
    <x v="0"/>
    <x v="0"/>
    <x v="44"/>
    <x v="7"/>
    <x v="8"/>
    <x v="1"/>
  </r>
  <r>
    <s v="TX501482"/>
    <x v="9"/>
    <x v="0"/>
    <n v="37.799999999999997"/>
    <x v="463"/>
    <x v="55"/>
    <d v="2025-02-28T00:00:00"/>
    <s v="F"/>
    <x v="0"/>
    <x v="2"/>
    <x v="0"/>
    <x v="3"/>
    <x v="2"/>
    <x v="8"/>
    <x v="2"/>
  </r>
  <r>
    <s v="TX501483"/>
    <x v="0"/>
    <x v="12"/>
    <n v="31.7"/>
    <x v="1208"/>
    <x v="55"/>
    <d v="2025-02-26T00:00:00"/>
    <s v="M"/>
    <x v="2"/>
    <x v="2"/>
    <x v="0"/>
    <x v="3"/>
    <x v="3"/>
    <x v="8"/>
    <x v="1"/>
  </r>
  <r>
    <s v="TX501484"/>
    <x v="8"/>
    <x v="9"/>
    <n v="26.3"/>
    <x v="1209"/>
    <x v="55"/>
    <d v="2025-02-26T00:00:00"/>
    <s v="F"/>
    <x v="3"/>
    <x v="2"/>
    <x v="0"/>
    <x v="3"/>
    <x v="3"/>
    <x v="8"/>
    <x v="2"/>
  </r>
  <r>
    <s v="TX501485"/>
    <x v="8"/>
    <x v="2"/>
    <n v="23.1"/>
    <x v="59"/>
    <x v="55"/>
    <d v="2025-02-26T00:00:00"/>
    <s v="O"/>
    <x v="2"/>
    <x v="1"/>
    <x v="0"/>
    <x v="3"/>
    <x v="3"/>
    <x v="8"/>
    <x v="3"/>
  </r>
  <r>
    <s v="TX501486"/>
    <x v="4"/>
    <x v="0"/>
    <n v="22.3"/>
    <x v="968"/>
    <x v="55"/>
    <d v="2025-02-27T00:00:00"/>
    <s v="F"/>
    <x v="2"/>
    <x v="0"/>
    <x v="0"/>
    <x v="3"/>
    <x v="1"/>
    <x v="8"/>
    <x v="2"/>
  </r>
  <r>
    <s v="TX501487"/>
    <x v="12"/>
    <x v="1"/>
    <n v="99.5"/>
    <x v="1210"/>
    <x v="55"/>
    <d v="2025-02-27T00:00:00"/>
    <s v="F"/>
    <x v="2"/>
    <x v="0"/>
    <x v="0"/>
    <x v="3"/>
    <x v="1"/>
    <x v="8"/>
    <x v="2"/>
  </r>
  <r>
    <s v="TX501488"/>
    <x v="12"/>
    <x v="12"/>
    <n v="47.4"/>
    <x v="455"/>
    <x v="55"/>
    <d v="2025-02-28T00:00:00"/>
    <s v="F"/>
    <x v="1"/>
    <x v="0"/>
    <x v="0"/>
    <x v="3"/>
    <x v="2"/>
    <x v="8"/>
    <x v="2"/>
  </r>
  <r>
    <s v="TX501489"/>
    <x v="0"/>
    <x v="5"/>
    <n v="37.5"/>
    <x v="1211"/>
    <x v="55"/>
    <d v="2025-02-27T00:00:00"/>
    <s v="F"/>
    <x v="0"/>
    <x v="3"/>
    <x v="0"/>
    <x v="3"/>
    <x v="1"/>
    <x v="8"/>
    <x v="2"/>
  </r>
  <r>
    <s v="TX501490"/>
    <x v="10"/>
    <x v="0"/>
    <n v="45.1"/>
    <x v="1212"/>
    <x v="55"/>
    <d v="2025-03-02T00:00:00"/>
    <s v="M"/>
    <x v="3"/>
    <x v="2"/>
    <x v="0"/>
    <x v="24"/>
    <x v="0"/>
    <x v="8"/>
    <x v="1"/>
  </r>
  <r>
    <s v="TX501491"/>
    <x v="5"/>
    <x v="7"/>
    <n v="34.4"/>
    <x v="1213"/>
    <x v="55"/>
    <d v="2025-02-28T00:00:00"/>
    <s v="M"/>
    <x v="2"/>
    <x v="0"/>
    <x v="0"/>
    <x v="16"/>
    <x v="2"/>
    <x v="8"/>
    <x v="1"/>
  </r>
  <r>
    <s v="TX501492"/>
    <x v="4"/>
    <x v="1"/>
    <n v="38"/>
    <x v="998"/>
    <x v="55"/>
    <d v="2025-02-27T00:00:00"/>
    <s v="F"/>
    <x v="1"/>
    <x v="0"/>
    <x v="0"/>
    <x v="5"/>
    <x v="1"/>
    <x v="8"/>
    <x v="2"/>
  </r>
  <r>
    <s v="TX501493"/>
    <x v="3"/>
    <x v="21"/>
    <n v="32.4"/>
    <x v="1214"/>
    <x v="55"/>
    <d v="2025-02-28T00:00:00"/>
    <s v="M"/>
    <x v="4"/>
    <x v="0"/>
    <x v="0"/>
    <x v="6"/>
    <x v="2"/>
    <x v="8"/>
    <x v="1"/>
  </r>
  <r>
    <s v="TX501494"/>
    <x v="6"/>
    <x v="2"/>
    <n v="40.9"/>
    <x v="544"/>
    <x v="55"/>
    <d v="2025-02-25T00:00:00"/>
    <s v=""/>
    <x v="1"/>
    <x v="0"/>
    <x v="0"/>
    <x v="8"/>
    <x v="7"/>
    <x v="8"/>
    <x v="0"/>
  </r>
  <r>
    <s v="TX501495"/>
    <x v="7"/>
    <x v="3"/>
    <n v="76.2"/>
    <x v="1215"/>
    <x v="55"/>
    <d v="2025-02-27T00:00:00"/>
    <s v="F"/>
    <x v="2"/>
    <x v="1"/>
    <x v="0"/>
    <x v="8"/>
    <x v="1"/>
    <x v="8"/>
    <x v="2"/>
  </r>
  <r>
    <s v="TX501496"/>
    <x v="2"/>
    <x v="0"/>
    <n v="85.6"/>
    <x v="1216"/>
    <x v="55"/>
    <d v="2025-02-27T00:00:00"/>
    <s v="M"/>
    <x v="2"/>
    <x v="0"/>
    <x v="0"/>
    <x v="8"/>
    <x v="1"/>
    <x v="8"/>
    <x v="1"/>
  </r>
  <r>
    <s v="TX501497"/>
    <x v="4"/>
    <x v="12"/>
    <n v="25"/>
    <x v="1217"/>
    <x v="55"/>
    <d v="2025-02-27T00:00:00"/>
    <s v="F"/>
    <x v="2"/>
    <x v="2"/>
    <x v="0"/>
    <x v="8"/>
    <x v="1"/>
    <x v="8"/>
    <x v="2"/>
  </r>
  <r>
    <s v="TX501498"/>
    <x v="2"/>
    <x v="9"/>
    <n v="150.69999999999999"/>
    <x v="1218"/>
    <x v="55"/>
    <d v="2025-02-26T00:00:00"/>
    <s v=""/>
    <x v="0"/>
    <x v="2"/>
    <x v="0"/>
    <x v="8"/>
    <x v="3"/>
    <x v="8"/>
    <x v="0"/>
  </r>
  <r>
    <s v="TX501499"/>
    <x v="8"/>
    <x v="0"/>
    <n v="19.600000000000001"/>
    <x v="1219"/>
    <x v="55"/>
    <d v="2025-02-26T00:00:00"/>
    <s v="M"/>
    <x v="1"/>
    <x v="4"/>
    <x v="0"/>
    <x v="8"/>
    <x v="3"/>
    <x v="8"/>
    <x v="1"/>
  </r>
  <r>
    <s v="TX501500"/>
    <x v="13"/>
    <x v="1"/>
    <n v="37.5"/>
    <x v="611"/>
    <x v="55"/>
    <d v="2025-02-28T00:00:00"/>
    <s v="F"/>
    <x v="1"/>
    <x v="2"/>
    <x v="0"/>
    <x v="17"/>
    <x v="2"/>
    <x v="8"/>
    <x v="2"/>
  </r>
  <r>
    <s v="TX501501"/>
    <x v="9"/>
    <x v="2"/>
    <n v="51.9"/>
    <x v="515"/>
    <x v="55"/>
    <d v="2025-03-03T00:00:00"/>
    <s v="F"/>
    <x v="0"/>
    <x v="4"/>
    <x v="0"/>
    <x v="11"/>
    <x v="4"/>
    <x v="8"/>
    <x v="2"/>
  </r>
  <r>
    <s v="TX501502"/>
    <x v="1"/>
    <x v="1"/>
    <n v="30.9"/>
    <x v="546"/>
    <x v="55"/>
    <d v="2025-02-27T00:00:00"/>
    <s v="F"/>
    <x v="1"/>
    <x v="0"/>
    <x v="0"/>
    <x v="18"/>
    <x v="1"/>
    <x v="8"/>
    <x v="2"/>
  </r>
  <r>
    <s v="TX501503"/>
    <x v="4"/>
    <x v="2"/>
    <n v="21.2"/>
    <x v="1220"/>
    <x v="55"/>
    <d v="2025-02-28T00:00:00"/>
    <s v="F"/>
    <x v="1"/>
    <x v="0"/>
    <x v="0"/>
    <x v="19"/>
    <x v="2"/>
    <x v="8"/>
    <x v="2"/>
  </r>
  <r>
    <s v="TX501504"/>
    <x v="13"/>
    <x v="14"/>
    <n v="17.5"/>
    <x v="1221"/>
    <x v="55"/>
    <d v="2025-02-26T00:00:00"/>
    <s v="M"/>
    <x v="1"/>
    <x v="1"/>
    <x v="0"/>
    <x v="13"/>
    <x v="3"/>
    <x v="8"/>
    <x v="1"/>
  </r>
  <r>
    <s v="TX501505"/>
    <x v="12"/>
    <x v="1"/>
    <n v="53.8"/>
    <x v="799"/>
    <x v="55"/>
    <d v="2025-03-02T00:00:00"/>
    <s v="F"/>
    <x v="0"/>
    <x v="2"/>
    <x v="0"/>
    <x v="21"/>
    <x v="0"/>
    <x v="8"/>
    <x v="2"/>
  </r>
  <r>
    <s v="TX501506"/>
    <x v="19"/>
    <x v="1"/>
    <n v="17"/>
    <x v="1222"/>
    <x v="55"/>
    <d v="2025-02-26T00:00:00"/>
    <s v="M"/>
    <x v="3"/>
    <x v="0"/>
    <x v="0"/>
    <x v="21"/>
    <x v="3"/>
    <x v="8"/>
    <x v="1"/>
  </r>
  <r>
    <s v="TX501507"/>
    <x v="6"/>
    <x v="0"/>
    <n v="103.2"/>
    <x v="1223"/>
    <x v="55"/>
    <d v="2025-03-05T00:00:00"/>
    <s v="M"/>
    <x v="2"/>
    <x v="1"/>
    <x v="0"/>
    <x v="1"/>
    <x v="9"/>
    <x v="8"/>
    <x v="1"/>
  </r>
  <r>
    <s v="TX501508"/>
    <x v="6"/>
    <x v="12"/>
    <n v="70.3"/>
    <x v="552"/>
    <x v="55"/>
    <d v="2025-02-26T00:00:00"/>
    <s v="M"/>
    <x v="0"/>
    <x v="0"/>
    <x v="0"/>
    <x v="3"/>
    <x v="3"/>
    <x v="8"/>
    <x v="1"/>
  </r>
  <r>
    <s v="TX501509"/>
    <x v="2"/>
    <x v="1"/>
    <n v="73.8"/>
    <x v="1224"/>
    <x v="55"/>
    <d v="2025-02-25T00:00:00"/>
    <s v="M"/>
    <x v="3"/>
    <x v="2"/>
    <x v="0"/>
    <x v="3"/>
    <x v="7"/>
    <x v="8"/>
    <x v="1"/>
  </r>
  <r>
    <s v="TX501510"/>
    <x v="1"/>
    <x v="4"/>
    <n v="67.7"/>
    <x v="1225"/>
    <x v="55"/>
    <d v="2025-03-01T00:00:00"/>
    <s v="M"/>
    <x v="1"/>
    <x v="1"/>
    <x v="0"/>
    <x v="3"/>
    <x v="5"/>
    <x v="8"/>
    <x v="1"/>
  </r>
  <r>
    <s v="TX501511"/>
    <x v="13"/>
    <x v="3"/>
    <n v="43.8"/>
    <x v="1226"/>
    <x v="55"/>
    <d v="2025-02-27T00:00:00"/>
    <s v="M"/>
    <x v="1"/>
    <x v="0"/>
    <x v="0"/>
    <x v="3"/>
    <x v="1"/>
    <x v="8"/>
    <x v="1"/>
  </r>
  <r>
    <s v="TX501512"/>
    <x v="17"/>
    <x v="13"/>
    <n v="71.900000000000006"/>
    <x v="1227"/>
    <x v="55"/>
    <d v="2025-02-26T00:00:00"/>
    <s v="F"/>
    <x v="2"/>
    <x v="0"/>
    <x v="0"/>
    <x v="3"/>
    <x v="3"/>
    <x v="8"/>
    <x v="2"/>
  </r>
  <r>
    <s v="TX501513"/>
    <x v="8"/>
    <x v="1"/>
    <n v="26.3"/>
    <x v="1228"/>
    <x v="56"/>
    <d v="2025-02-28T00:00:00"/>
    <s v="F"/>
    <x v="0"/>
    <x v="1"/>
    <x v="0"/>
    <x v="3"/>
    <x v="1"/>
    <x v="8"/>
    <x v="2"/>
  </r>
  <r>
    <s v="TX501514"/>
    <x v="6"/>
    <x v="12"/>
    <n v="52.6"/>
    <x v="138"/>
    <x v="56"/>
    <d v="2025-02-28T00:00:00"/>
    <s v="F"/>
    <x v="2"/>
    <x v="1"/>
    <x v="0"/>
    <x v="3"/>
    <x v="1"/>
    <x v="8"/>
    <x v="2"/>
  </r>
  <r>
    <s v="TX501515"/>
    <x v="10"/>
    <x v="0"/>
    <n v="32.700000000000003"/>
    <x v="1229"/>
    <x v="56"/>
    <d v="2025-03-05T00:00:00"/>
    <s v="F"/>
    <x v="0"/>
    <x v="2"/>
    <x v="0"/>
    <x v="3"/>
    <x v="6"/>
    <x v="8"/>
    <x v="2"/>
  </r>
  <r>
    <s v="TX501516"/>
    <x v="5"/>
    <x v="12"/>
    <n v="38.9"/>
    <x v="1230"/>
    <x v="56"/>
    <d v="2025-02-27T00:00:00"/>
    <s v="F"/>
    <x v="0"/>
    <x v="0"/>
    <x v="0"/>
    <x v="3"/>
    <x v="3"/>
    <x v="8"/>
    <x v="2"/>
  </r>
  <r>
    <s v="TX501517"/>
    <x v="9"/>
    <x v="9"/>
    <n v="35"/>
    <x v="25"/>
    <x v="56"/>
    <d v="2025-02-28T00:00:00"/>
    <s v="M"/>
    <x v="0"/>
    <x v="0"/>
    <x v="0"/>
    <x v="3"/>
    <x v="1"/>
    <x v="8"/>
    <x v="1"/>
  </r>
  <r>
    <s v="TX501518"/>
    <x v="2"/>
    <x v="1"/>
    <n v="121"/>
    <x v="1231"/>
    <x v="56"/>
    <d v="2025-02-27T00:00:00"/>
    <s v="F"/>
    <x v="1"/>
    <x v="1"/>
    <x v="0"/>
    <x v="3"/>
    <x v="3"/>
    <x v="8"/>
    <x v="2"/>
  </r>
  <r>
    <s v="TX501519"/>
    <x v="6"/>
    <x v="2"/>
    <n v="65.099999999999994"/>
    <x v="1174"/>
    <x v="56"/>
    <d v="2025-03-02T00:00:00"/>
    <s v="M"/>
    <x v="2"/>
    <x v="0"/>
    <x v="0"/>
    <x v="36"/>
    <x v="5"/>
    <x v="8"/>
    <x v="1"/>
  </r>
  <r>
    <s v="TX501520"/>
    <x v="1"/>
    <x v="38"/>
    <n v="63.8"/>
    <x v="1232"/>
    <x v="56"/>
    <d v="2025-02-28T00:00:00"/>
    <s v="F"/>
    <x v="0"/>
    <x v="0"/>
    <x v="0"/>
    <x v="8"/>
    <x v="1"/>
    <x v="8"/>
    <x v="2"/>
  </r>
  <r>
    <s v="TX501521"/>
    <x v="7"/>
    <x v="0"/>
    <n v="77.7"/>
    <x v="1233"/>
    <x v="56"/>
    <d v="2025-02-28T00:00:00"/>
    <s v="M"/>
    <x v="0"/>
    <x v="0"/>
    <x v="0"/>
    <x v="8"/>
    <x v="1"/>
    <x v="8"/>
    <x v="1"/>
  </r>
  <r>
    <s v="TX501522"/>
    <x v="5"/>
    <x v="12"/>
    <n v="60.3"/>
    <x v="1234"/>
    <x v="56"/>
    <d v="2025-02-26T00:00:00"/>
    <s v="M"/>
    <x v="0"/>
    <x v="2"/>
    <x v="0"/>
    <x v="8"/>
    <x v="7"/>
    <x v="8"/>
    <x v="1"/>
  </r>
  <r>
    <s v="TX501523"/>
    <x v="5"/>
    <x v="1"/>
    <n v="124.1"/>
    <x v="1235"/>
    <x v="56"/>
    <d v="2025-03-01T00:00:00"/>
    <s v="F"/>
    <x v="0"/>
    <x v="2"/>
    <x v="0"/>
    <x v="8"/>
    <x v="2"/>
    <x v="8"/>
    <x v="2"/>
  </r>
  <r>
    <s v="TX501524"/>
    <x v="16"/>
    <x v="3"/>
    <n v="66"/>
    <x v="1236"/>
    <x v="56"/>
    <d v="2025-02-26T00:00:00"/>
    <s v=""/>
    <x v="3"/>
    <x v="0"/>
    <x v="0"/>
    <x v="17"/>
    <x v="7"/>
    <x v="8"/>
    <x v="0"/>
  </r>
  <r>
    <s v="TX501525"/>
    <x v="2"/>
    <x v="42"/>
    <n v="118.2"/>
    <x v="1237"/>
    <x v="56"/>
    <d v="2025-03-03T00:00:00"/>
    <s v=""/>
    <x v="0"/>
    <x v="0"/>
    <x v="0"/>
    <x v="17"/>
    <x v="0"/>
    <x v="8"/>
    <x v="0"/>
  </r>
  <r>
    <s v="TX501526"/>
    <x v="5"/>
    <x v="9"/>
    <n v="64.3"/>
    <x v="1238"/>
    <x v="56"/>
    <d v="2025-02-27T00:00:00"/>
    <s v="M"/>
    <x v="4"/>
    <x v="4"/>
    <x v="0"/>
    <x v="26"/>
    <x v="3"/>
    <x v="8"/>
    <x v="1"/>
  </r>
  <r>
    <s v="TX501527"/>
    <x v="1"/>
    <x v="1"/>
    <n v="54.8"/>
    <x v="1239"/>
    <x v="56"/>
    <d v="2025-02-26T00:00:00"/>
    <s v="M"/>
    <x v="0"/>
    <x v="1"/>
    <x v="0"/>
    <x v="26"/>
    <x v="7"/>
    <x v="8"/>
    <x v="1"/>
  </r>
  <r>
    <s v="TX501528"/>
    <x v="7"/>
    <x v="1"/>
    <n v="78.599999999999994"/>
    <x v="507"/>
    <x v="56"/>
    <d v="2025-02-27T00:00:00"/>
    <s v="M"/>
    <x v="0"/>
    <x v="2"/>
    <x v="0"/>
    <x v="9"/>
    <x v="3"/>
    <x v="8"/>
    <x v="1"/>
  </r>
  <r>
    <s v="TX501529"/>
    <x v="2"/>
    <x v="9"/>
    <n v="158.5"/>
    <x v="1240"/>
    <x v="56"/>
    <d v="2025-02-28T00:00:00"/>
    <s v=""/>
    <x v="2"/>
    <x v="2"/>
    <x v="0"/>
    <x v="9"/>
    <x v="1"/>
    <x v="8"/>
    <x v="0"/>
  </r>
  <r>
    <s v="TX501530"/>
    <x v="4"/>
    <x v="7"/>
    <n v="23.5"/>
    <x v="666"/>
    <x v="56"/>
    <d v="2025-03-01T00:00:00"/>
    <s v="M"/>
    <x v="0"/>
    <x v="4"/>
    <x v="0"/>
    <x v="10"/>
    <x v="2"/>
    <x v="8"/>
    <x v="1"/>
  </r>
  <r>
    <s v="TX501531"/>
    <x v="5"/>
    <x v="1"/>
    <n v="32.1"/>
    <x v="1005"/>
    <x v="56"/>
    <d v="2025-02-28T00:00:00"/>
    <s v=""/>
    <x v="3"/>
    <x v="0"/>
    <x v="0"/>
    <x v="10"/>
    <x v="1"/>
    <x v="8"/>
    <x v="0"/>
  </r>
  <r>
    <s v="TX501532"/>
    <x v="17"/>
    <x v="12"/>
    <n v="71.900000000000006"/>
    <x v="1241"/>
    <x v="56"/>
    <d v="2025-02-26T00:00:00"/>
    <s v="M"/>
    <x v="2"/>
    <x v="0"/>
    <x v="0"/>
    <x v="19"/>
    <x v="7"/>
    <x v="8"/>
    <x v="1"/>
  </r>
  <r>
    <s v="TX501533"/>
    <x v="4"/>
    <x v="13"/>
    <n v="22.3"/>
    <x v="981"/>
    <x v="56"/>
    <d v="2025-02-27T00:00:00"/>
    <s v=""/>
    <x v="3"/>
    <x v="2"/>
    <x v="0"/>
    <x v="13"/>
    <x v="3"/>
    <x v="8"/>
    <x v="0"/>
  </r>
  <r>
    <s v="TX501534"/>
    <x v="11"/>
    <x v="1"/>
    <n v="29.5"/>
    <x v="1242"/>
    <x v="56"/>
    <d v="2025-02-27T00:00:00"/>
    <s v="F"/>
    <x v="0"/>
    <x v="2"/>
    <x v="0"/>
    <x v="13"/>
    <x v="3"/>
    <x v="8"/>
    <x v="2"/>
  </r>
  <r>
    <s v="TX501535"/>
    <x v="6"/>
    <x v="12"/>
    <n v="41.9"/>
    <x v="1243"/>
    <x v="56"/>
    <d v="2025-03-02T00:00:00"/>
    <s v="F"/>
    <x v="0"/>
    <x v="1"/>
    <x v="0"/>
    <x v="21"/>
    <x v="5"/>
    <x v="8"/>
    <x v="2"/>
  </r>
  <r>
    <s v="TX501536"/>
    <x v="6"/>
    <x v="2"/>
    <n v="107.8"/>
    <x v="1244"/>
    <x v="56"/>
    <d v="2025-02-27T00:00:00"/>
    <s v="M"/>
    <x v="1"/>
    <x v="2"/>
    <x v="0"/>
    <x v="46"/>
    <x v="3"/>
    <x v="8"/>
    <x v="1"/>
  </r>
  <r>
    <s v="TX501537"/>
    <x v="4"/>
    <x v="9"/>
    <n v="18.100000000000001"/>
    <x v="497"/>
    <x v="56"/>
    <d v="2025-03-01T00:00:00"/>
    <s v="M"/>
    <x v="0"/>
    <x v="2"/>
    <x v="0"/>
    <x v="2"/>
    <x v="2"/>
    <x v="8"/>
    <x v="1"/>
  </r>
  <r>
    <s v="TX501538"/>
    <x v="12"/>
    <x v="11"/>
    <n v="79.8"/>
    <x v="1245"/>
    <x v="56"/>
    <d v="2025-02-27T00:00:00"/>
    <s v="F"/>
    <x v="1"/>
    <x v="1"/>
    <x v="0"/>
    <x v="22"/>
    <x v="3"/>
    <x v="8"/>
    <x v="2"/>
  </r>
  <r>
    <s v="TX501539"/>
    <x v="0"/>
    <x v="2"/>
    <n v="22.3"/>
    <x v="884"/>
    <x v="56"/>
    <d v="2025-03-01T00:00:00"/>
    <s v="F"/>
    <x v="0"/>
    <x v="2"/>
    <x v="0"/>
    <x v="22"/>
    <x v="2"/>
    <x v="8"/>
    <x v="2"/>
  </r>
  <r>
    <s v="TX501540"/>
    <x v="8"/>
    <x v="0"/>
    <n v="22.9"/>
    <x v="1246"/>
    <x v="56"/>
    <d v="2025-02-26T00:00:00"/>
    <s v="F"/>
    <x v="1"/>
    <x v="0"/>
    <x v="0"/>
    <x v="22"/>
    <x v="7"/>
    <x v="8"/>
    <x v="2"/>
  </r>
  <r>
    <s v="TX501541"/>
    <x v="0"/>
    <x v="2"/>
    <n v="16.2"/>
    <x v="1247"/>
    <x v="57"/>
    <d v="2025-02-27T00:00:00"/>
    <s v="M"/>
    <x v="4"/>
    <x v="2"/>
    <x v="0"/>
    <x v="3"/>
    <x v="7"/>
    <x v="8"/>
    <x v="1"/>
  </r>
  <r>
    <s v="TX501542"/>
    <x v="10"/>
    <x v="12"/>
    <n v="59.5"/>
    <x v="1248"/>
    <x v="57"/>
    <d v="2025-02-28T00:00:00"/>
    <s v="M"/>
    <x v="1"/>
    <x v="2"/>
    <x v="0"/>
    <x v="3"/>
    <x v="3"/>
    <x v="8"/>
    <x v="1"/>
  </r>
  <r>
    <s v="TX501543"/>
    <x v="18"/>
    <x v="9"/>
    <n v="26.2"/>
    <x v="1249"/>
    <x v="57"/>
    <d v="2025-03-02T00:00:00"/>
    <s v="M"/>
    <x v="3"/>
    <x v="4"/>
    <x v="0"/>
    <x v="3"/>
    <x v="2"/>
    <x v="8"/>
    <x v="1"/>
  </r>
  <r>
    <s v="TX501544"/>
    <x v="3"/>
    <x v="0"/>
    <n v="44.2"/>
    <x v="573"/>
    <x v="57"/>
    <d v="2025-03-02T00:00:00"/>
    <s v="F"/>
    <x v="1"/>
    <x v="0"/>
    <x v="0"/>
    <x v="3"/>
    <x v="2"/>
    <x v="8"/>
    <x v="2"/>
  </r>
  <r>
    <s v="TX501545"/>
    <x v="9"/>
    <x v="1"/>
    <n v="59.2"/>
    <x v="1250"/>
    <x v="57"/>
    <d v="2025-02-27T00:00:00"/>
    <s v="F"/>
    <x v="1"/>
    <x v="4"/>
    <x v="0"/>
    <x v="3"/>
    <x v="7"/>
    <x v="8"/>
    <x v="2"/>
  </r>
  <r>
    <s v="TX501546"/>
    <x v="15"/>
    <x v="12"/>
    <n v="41.5"/>
    <x v="1251"/>
    <x v="57"/>
    <d v="2025-03-01T00:00:00"/>
    <s v="F"/>
    <x v="0"/>
    <x v="0"/>
    <x v="0"/>
    <x v="16"/>
    <x v="1"/>
    <x v="8"/>
    <x v="2"/>
  </r>
  <r>
    <s v="TX501547"/>
    <x v="6"/>
    <x v="4"/>
    <n v="67.099999999999994"/>
    <x v="1252"/>
    <x v="57"/>
    <d v="2025-03-13T00:00:00"/>
    <s v="F"/>
    <x v="0"/>
    <x v="2"/>
    <x v="0"/>
    <x v="23"/>
    <x v="12"/>
    <x v="8"/>
    <x v="2"/>
  </r>
  <r>
    <s v="TX501548"/>
    <x v="8"/>
    <x v="1"/>
    <n v="28.7"/>
    <x v="1253"/>
    <x v="57"/>
    <d v="2025-03-03T00:00:00"/>
    <s v="F"/>
    <x v="1"/>
    <x v="0"/>
    <x v="0"/>
    <x v="6"/>
    <x v="5"/>
    <x v="8"/>
    <x v="2"/>
  </r>
  <r>
    <s v="TX501549"/>
    <x v="2"/>
    <x v="12"/>
    <n v="132.1"/>
    <x v="1254"/>
    <x v="57"/>
    <d v="2025-02-28T00:00:00"/>
    <s v="F"/>
    <x v="0"/>
    <x v="1"/>
    <x v="0"/>
    <x v="6"/>
    <x v="3"/>
    <x v="8"/>
    <x v="2"/>
  </r>
  <r>
    <s v="TX501550"/>
    <x v="18"/>
    <x v="1"/>
    <n v="47"/>
    <x v="255"/>
    <x v="57"/>
    <d v="2025-03-01T00:00:00"/>
    <s v="M"/>
    <x v="4"/>
    <x v="0"/>
    <x v="0"/>
    <x v="8"/>
    <x v="1"/>
    <x v="8"/>
    <x v="1"/>
  </r>
  <r>
    <s v="TX501551"/>
    <x v="8"/>
    <x v="1"/>
    <n v="41.6"/>
    <x v="707"/>
    <x v="57"/>
    <d v="2025-03-03T00:00:00"/>
    <s v="M"/>
    <x v="1"/>
    <x v="2"/>
    <x v="0"/>
    <x v="8"/>
    <x v="5"/>
    <x v="8"/>
    <x v="1"/>
  </r>
  <r>
    <s v="TX501552"/>
    <x v="8"/>
    <x v="43"/>
    <n v="17.3"/>
    <x v="1255"/>
    <x v="57"/>
    <d v="2025-03-01T00:00:00"/>
    <s v="M"/>
    <x v="2"/>
    <x v="2"/>
    <x v="0"/>
    <x v="8"/>
    <x v="1"/>
    <x v="8"/>
    <x v="1"/>
  </r>
  <r>
    <s v="TX501553"/>
    <x v="13"/>
    <x v="2"/>
    <n v="41.8"/>
    <x v="352"/>
    <x v="57"/>
    <d v="2025-03-02T00:00:00"/>
    <s v="M"/>
    <x v="0"/>
    <x v="2"/>
    <x v="0"/>
    <x v="8"/>
    <x v="2"/>
    <x v="8"/>
    <x v="1"/>
  </r>
  <r>
    <s v="TX501554"/>
    <x v="10"/>
    <x v="0"/>
    <n v="24"/>
    <x v="835"/>
    <x v="57"/>
    <d v="2025-02-28T00:00:00"/>
    <s v="F"/>
    <x v="0"/>
    <x v="0"/>
    <x v="0"/>
    <x v="17"/>
    <x v="3"/>
    <x v="8"/>
    <x v="2"/>
  </r>
  <r>
    <s v="TX501555"/>
    <x v="14"/>
    <x v="11"/>
    <n v="18.5"/>
    <x v="1256"/>
    <x v="57"/>
    <d v="2025-03-01T00:00:00"/>
    <s v="F"/>
    <x v="0"/>
    <x v="0"/>
    <x v="0"/>
    <x v="9"/>
    <x v="1"/>
    <x v="8"/>
    <x v="2"/>
  </r>
  <r>
    <s v="TX501556"/>
    <x v="3"/>
    <x v="4"/>
    <n v="66.7"/>
    <x v="1257"/>
    <x v="57"/>
    <d v="2025-03-02T00:00:00"/>
    <s v=""/>
    <x v="0"/>
    <x v="2"/>
    <x v="0"/>
    <x v="11"/>
    <x v="2"/>
    <x v="8"/>
    <x v="0"/>
  </r>
  <r>
    <s v="TX501557"/>
    <x v="1"/>
    <x v="12"/>
    <n v="33.1"/>
    <x v="979"/>
    <x v="57"/>
    <d v="2025-03-04T00:00:00"/>
    <s v="M"/>
    <x v="3"/>
    <x v="0"/>
    <x v="0"/>
    <x v="11"/>
    <x v="0"/>
    <x v="8"/>
    <x v="1"/>
  </r>
  <r>
    <s v="TX501558"/>
    <x v="19"/>
    <x v="11"/>
    <n v="42.1"/>
    <x v="1258"/>
    <x v="57"/>
    <d v="2025-03-10T00:00:00"/>
    <s v="M"/>
    <x v="1"/>
    <x v="0"/>
    <x v="0"/>
    <x v="18"/>
    <x v="11"/>
    <x v="8"/>
    <x v="1"/>
  </r>
  <r>
    <s v="TX501559"/>
    <x v="18"/>
    <x v="3"/>
    <n v="58.7"/>
    <x v="1259"/>
    <x v="57"/>
    <d v="2025-02-27T00:00:00"/>
    <s v="O"/>
    <x v="3"/>
    <x v="0"/>
    <x v="0"/>
    <x v="31"/>
    <x v="7"/>
    <x v="8"/>
    <x v="3"/>
  </r>
  <r>
    <s v="TX501560"/>
    <x v="6"/>
    <x v="12"/>
    <n v="54"/>
    <x v="760"/>
    <x v="57"/>
    <d v="2025-03-01T00:00:00"/>
    <s v="F"/>
    <x v="1"/>
    <x v="0"/>
    <x v="0"/>
    <x v="1"/>
    <x v="1"/>
    <x v="8"/>
    <x v="2"/>
  </r>
  <r>
    <s v="TX501561"/>
    <x v="8"/>
    <x v="0"/>
    <n v="52.1"/>
    <x v="475"/>
    <x v="57"/>
    <d v="2025-02-28T00:00:00"/>
    <s v="F"/>
    <x v="2"/>
    <x v="2"/>
    <x v="0"/>
    <x v="2"/>
    <x v="3"/>
    <x v="8"/>
    <x v="2"/>
  </r>
  <r>
    <s v="TX501562"/>
    <x v="19"/>
    <x v="1"/>
    <n v="27"/>
    <x v="1260"/>
    <x v="57"/>
    <d v="2025-03-02T00:00:00"/>
    <s v="O"/>
    <x v="2"/>
    <x v="0"/>
    <x v="0"/>
    <x v="22"/>
    <x v="2"/>
    <x v="8"/>
    <x v="3"/>
  </r>
  <r>
    <s v="TX501563"/>
    <x v="12"/>
    <x v="7"/>
    <n v="31"/>
    <x v="892"/>
    <x v="58"/>
    <d v="2025-03-01T00:00:00"/>
    <s v="F"/>
    <x v="3"/>
    <x v="2"/>
    <x v="0"/>
    <x v="22"/>
    <x v="3"/>
    <x v="8"/>
    <x v="2"/>
  </r>
  <r>
    <s v="TX501564"/>
    <x v="10"/>
    <x v="1"/>
    <n v="46.7"/>
    <x v="1261"/>
    <x v="58"/>
    <d v="2025-02-28T00:00:00"/>
    <s v="F"/>
    <x v="0"/>
    <x v="0"/>
    <x v="0"/>
    <x v="34"/>
    <x v="7"/>
    <x v="8"/>
    <x v="2"/>
  </r>
  <r>
    <s v="TX501565"/>
    <x v="6"/>
    <x v="0"/>
    <n v="144.69999999999999"/>
    <x v="1262"/>
    <x v="58"/>
    <d v="2025-03-03T00:00:00"/>
    <s v="M"/>
    <x v="0"/>
    <x v="2"/>
    <x v="0"/>
    <x v="3"/>
    <x v="2"/>
    <x v="8"/>
    <x v="1"/>
  </r>
  <r>
    <s v="TX501566"/>
    <x v="2"/>
    <x v="11"/>
    <n v="90.9"/>
    <x v="1263"/>
    <x v="58"/>
    <d v="2025-03-01T00:00:00"/>
    <s v="M"/>
    <x v="0"/>
    <x v="2"/>
    <x v="0"/>
    <x v="3"/>
    <x v="3"/>
    <x v="8"/>
    <x v="1"/>
  </r>
  <r>
    <s v="TX501567"/>
    <x v="1"/>
    <x v="1"/>
    <n v="75.8"/>
    <x v="318"/>
    <x v="58"/>
    <d v="2025-03-01T00:00:00"/>
    <s v="F"/>
    <x v="2"/>
    <x v="1"/>
    <x v="0"/>
    <x v="3"/>
    <x v="3"/>
    <x v="8"/>
    <x v="2"/>
  </r>
  <r>
    <s v="TX501568"/>
    <x v="7"/>
    <x v="9"/>
    <n v="57.9"/>
    <x v="1264"/>
    <x v="58"/>
    <d v="2025-03-02T00:00:00"/>
    <s v="M"/>
    <x v="2"/>
    <x v="2"/>
    <x v="0"/>
    <x v="3"/>
    <x v="1"/>
    <x v="8"/>
    <x v="1"/>
  </r>
  <r>
    <s v="TX501569"/>
    <x v="8"/>
    <x v="9"/>
    <n v="44.8"/>
    <x v="692"/>
    <x v="58"/>
    <d v="2025-03-01T00:00:00"/>
    <s v="F"/>
    <x v="3"/>
    <x v="2"/>
    <x v="0"/>
    <x v="3"/>
    <x v="3"/>
    <x v="8"/>
    <x v="2"/>
  </r>
  <r>
    <s v="TX501570"/>
    <x v="9"/>
    <x v="2"/>
    <n v="44.2"/>
    <x v="1265"/>
    <x v="58"/>
    <d v="2025-03-04T00:00:00"/>
    <s v="M"/>
    <x v="2"/>
    <x v="2"/>
    <x v="0"/>
    <x v="3"/>
    <x v="5"/>
    <x v="8"/>
    <x v="1"/>
  </r>
  <r>
    <s v="TX501571"/>
    <x v="5"/>
    <x v="9"/>
    <n v="53.5"/>
    <x v="1266"/>
    <x v="58"/>
    <d v="2025-03-02T00:00:00"/>
    <s v="M"/>
    <x v="0"/>
    <x v="0"/>
    <x v="0"/>
    <x v="37"/>
    <x v="1"/>
    <x v="8"/>
    <x v="1"/>
  </r>
  <r>
    <s v="TX501572"/>
    <x v="6"/>
    <x v="1"/>
    <n v="72.2"/>
    <x v="613"/>
    <x v="58"/>
    <d v="2025-03-01T00:00:00"/>
    <s v="M"/>
    <x v="0"/>
    <x v="2"/>
    <x v="0"/>
    <x v="25"/>
    <x v="3"/>
    <x v="8"/>
    <x v="1"/>
  </r>
  <r>
    <s v="TX501573"/>
    <x v="6"/>
    <x v="12"/>
    <n v="62.4"/>
    <x v="1267"/>
    <x v="58"/>
    <d v="2025-03-03T00:00:00"/>
    <s v="F"/>
    <x v="0"/>
    <x v="1"/>
    <x v="0"/>
    <x v="23"/>
    <x v="2"/>
    <x v="8"/>
    <x v="2"/>
  </r>
  <r>
    <s v="TX501574"/>
    <x v="10"/>
    <x v="9"/>
    <n v="24.7"/>
    <x v="1268"/>
    <x v="58"/>
    <d v="2025-03-01T00:00:00"/>
    <s v="F"/>
    <x v="0"/>
    <x v="0"/>
    <x v="0"/>
    <x v="6"/>
    <x v="3"/>
    <x v="8"/>
    <x v="2"/>
  </r>
  <r>
    <s v="TX501575"/>
    <x v="1"/>
    <x v="9"/>
    <n v="61.7"/>
    <x v="1269"/>
    <x v="58"/>
    <d v="2025-03-02T00:00:00"/>
    <s v="F"/>
    <x v="2"/>
    <x v="0"/>
    <x v="0"/>
    <x v="8"/>
    <x v="1"/>
    <x v="8"/>
    <x v="2"/>
  </r>
  <r>
    <s v="TX501576"/>
    <x v="8"/>
    <x v="9"/>
    <n v="18.2"/>
    <x v="1270"/>
    <x v="58"/>
    <d v="2025-03-02T00:00:00"/>
    <s v="F"/>
    <x v="3"/>
    <x v="0"/>
    <x v="0"/>
    <x v="8"/>
    <x v="1"/>
    <x v="8"/>
    <x v="2"/>
  </r>
  <r>
    <s v="TX501577"/>
    <x v="10"/>
    <x v="12"/>
    <n v="37.200000000000003"/>
    <x v="956"/>
    <x v="58"/>
    <d v="2025-03-06T00:00:00"/>
    <s v="F"/>
    <x v="0"/>
    <x v="0"/>
    <x v="0"/>
    <x v="8"/>
    <x v="4"/>
    <x v="8"/>
    <x v="2"/>
  </r>
  <r>
    <s v="TX501578"/>
    <x v="9"/>
    <x v="2"/>
    <n v="53.5"/>
    <x v="1271"/>
    <x v="58"/>
    <d v="2025-03-02T00:00:00"/>
    <s v="F"/>
    <x v="1"/>
    <x v="2"/>
    <x v="0"/>
    <x v="9"/>
    <x v="1"/>
    <x v="8"/>
    <x v="2"/>
  </r>
  <r>
    <s v="TX501579"/>
    <x v="8"/>
    <x v="2"/>
    <n v="43.6"/>
    <x v="1272"/>
    <x v="58"/>
    <d v="2025-02-28T00:00:00"/>
    <s v="F"/>
    <x v="0"/>
    <x v="0"/>
    <x v="0"/>
    <x v="9"/>
    <x v="7"/>
    <x v="8"/>
    <x v="2"/>
  </r>
  <r>
    <s v="TX501580"/>
    <x v="1"/>
    <x v="7"/>
    <n v="135"/>
    <x v="1273"/>
    <x v="58"/>
    <d v="2025-03-02T00:00:00"/>
    <s v="F"/>
    <x v="0"/>
    <x v="2"/>
    <x v="0"/>
    <x v="9"/>
    <x v="1"/>
    <x v="8"/>
    <x v="2"/>
  </r>
  <r>
    <s v="TX501581"/>
    <x v="8"/>
    <x v="9"/>
    <n v="38.5"/>
    <x v="796"/>
    <x v="58"/>
    <d v="2025-02-28T00:00:00"/>
    <s v="M"/>
    <x v="4"/>
    <x v="2"/>
    <x v="0"/>
    <x v="10"/>
    <x v="7"/>
    <x v="8"/>
    <x v="1"/>
  </r>
  <r>
    <s v="TX501582"/>
    <x v="9"/>
    <x v="1"/>
    <n v="24"/>
    <x v="510"/>
    <x v="58"/>
    <d v="2025-03-05T00:00:00"/>
    <s v="F"/>
    <x v="0"/>
    <x v="0"/>
    <x v="0"/>
    <x v="11"/>
    <x v="0"/>
    <x v="8"/>
    <x v="2"/>
  </r>
  <r>
    <s v="TX501583"/>
    <x v="4"/>
    <x v="2"/>
    <n v="28.2"/>
    <x v="1274"/>
    <x v="58"/>
    <d v="2025-03-02T00:00:00"/>
    <s v="M"/>
    <x v="0"/>
    <x v="3"/>
    <x v="0"/>
    <x v="18"/>
    <x v="1"/>
    <x v="8"/>
    <x v="1"/>
  </r>
  <r>
    <s v="TX501584"/>
    <x v="7"/>
    <x v="2"/>
    <n v="37.4"/>
    <x v="794"/>
    <x v="58"/>
    <d v="2025-03-01T00:00:00"/>
    <s v="F"/>
    <x v="3"/>
    <x v="0"/>
    <x v="0"/>
    <x v="1"/>
    <x v="3"/>
    <x v="8"/>
    <x v="2"/>
  </r>
  <r>
    <s v="TX501585"/>
    <x v="6"/>
    <x v="2"/>
    <n v="53.5"/>
    <x v="1271"/>
    <x v="58"/>
    <d v="2025-03-03T00:00:00"/>
    <s v=""/>
    <x v="4"/>
    <x v="4"/>
    <x v="0"/>
    <x v="1"/>
    <x v="2"/>
    <x v="8"/>
    <x v="0"/>
  </r>
  <r>
    <s v="TX501586"/>
    <x v="11"/>
    <x v="9"/>
    <n v="36.200000000000003"/>
    <x v="1275"/>
    <x v="58"/>
    <d v="2025-03-01T00:00:00"/>
    <s v="M"/>
    <x v="1"/>
    <x v="2"/>
    <x v="0"/>
    <x v="33"/>
    <x v="3"/>
    <x v="8"/>
    <x v="1"/>
  </r>
  <r>
    <s v="TX501587"/>
    <x v="0"/>
    <x v="8"/>
    <n v="31.9"/>
    <x v="281"/>
    <x v="58"/>
    <d v="2025-03-01T00:00:00"/>
    <s v="F"/>
    <x v="4"/>
    <x v="0"/>
    <x v="0"/>
    <x v="3"/>
    <x v="3"/>
    <x v="8"/>
    <x v="2"/>
  </r>
  <r>
    <s v="TX501588"/>
    <x v="8"/>
    <x v="2"/>
    <n v="21.3"/>
    <x v="1276"/>
    <x v="58"/>
    <d v="2025-03-01T00:00:00"/>
    <s v="M"/>
    <x v="0"/>
    <x v="2"/>
    <x v="0"/>
    <x v="3"/>
    <x v="3"/>
    <x v="8"/>
    <x v="1"/>
  </r>
  <r>
    <s v="TX501589"/>
    <x v="8"/>
    <x v="0"/>
    <n v="36.299999999999997"/>
    <x v="1277"/>
    <x v="58"/>
    <d v="2025-03-02T00:00:00"/>
    <s v="O"/>
    <x v="4"/>
    <x v="0"/>
    <x v="0"/>
    <x v="3"/>
    <x v="1"/>
    <x v="8"/>
    <x v="3"/>
  </r>
  <r>
    <s v="TX501590"/>
    <x v="6"/>
    <x v="2"/>
    <n v="110.5"/>
    <x v="1278"/>
    <x v="58"/>
    <d v="2025-03-01T00:00:00"/>
    <s v="F"/>
    <x v="0"/>
    <x v="3"/>
    <x v="0"/>
    <x v="3"/>
    <x v="3"/>
    <x v="8"/>
    <x v="2"/>
  </r>
  <r>
    <s v="TX501591"/>
    <x v="10"/>
    <x v="3"/>
    <n v="32.6"/>
    <x v="1279"/>
    <x v="58"/>
    <d v="2025-03-02T00:00:00"/>
    <s v="F"/>
    <x v="0"/>
    <x v="1"/>
    <x v="0"/>
    <x v="3"/>
    <x v="1"/>
    <x v="8"/>
    <x v="2"/>
  </r>
  <r>
    <s v="TX501592"/>
    <x v="5"/>
    <x v="2"/>
    <n v="55.6"/>
    <x v="701"/>
    <x v="59"/>
    <d v="2025-03-14T00:00:00"/>
    <s v="F"/>
    <x v="0"/>
    <x v="0"/>
    <x v="0"/>
    <x v="3"/>
    <x v="10"/>
    <x v="8"/>
    <x v="2"/>
  </r>
  <r>
    <s v="TX501593"/>
    <x v="1"/>
    <x v="12"/>
    <n v="38"/>
    <x v="465"/>
    <x v="59"/>
    <d v="2025-03-02T00:00:00"/>
    <s v="F"/>
    <x v="3"/>
    <x v="2"/>
    <x v="0"/>
    <x v="5"/>
    <x v="3"/>
    <x v="8"/>
    <x v="2"/>
  </r>
  <r>
    <s v="TX501594"/>
    <x v="10"/>
    <x v="1"/>
    <n v="51.8"/>
    <x v="186"/>
    <x v="59"/>
    <d v="2025-03-07T00:00:00"/>
    <s v="M"/>
    <x v="1"/>
    <x v="4"/>
    <x v="0"/>
    <x v="6"/>
    <x v="4"/>
    <x v="8"/>
    <x v="1"/>
  </r>
  <r>
    <s v="TX501595"/>
    <x v="11"/>
    <x v="8"/>
    <n v="28.7"/>
    <x v="1166"/>
    <x v="59"/>
    <d v="2025-03-06T00:00:00"/>
    <s v="F"/>
    <x v="0"/>
    <x v="0"/>
    <x v="0"/>
    <x v="6"/>
    <x v="0"/>
    <x v="8"/>
    <x v="2"/>
  </r>
  <r>
    <s v="TX501596"/>
    <x v="6"/>
    <x v="4"/>
    <n v="52.2"/>
    <x v="1280"/>
    <x v="59"/>
    <d v="2025-03-01T00:00:00"/>
    <s v="M"/>
    <x v="0"/>
    <x v="1"/>
    <x v="0"/>
    <x v="6"/>
    <x v="7"/>
    <x v="8"/>
    <x v="1"/>
  </r>
  <r>
    <s v="TX501597"/>
    <x v="1"/>
    <x v="1"/>
    <n v="68.2"/>
    <x v="517"/>
    <x v="59"/>
    <d v="2025-03-02T00:00:00"/>
    <s v=""/>
    <x v="2"/>
    <x v="0"/>
    <x v="0"/>
    <x v="7"/>
    <x v="3"/>
    <x v="8"/>
    <x v="0"/>
  </r>
  <r>
    <s v="TX501598"/>
    <x v="0"/>
    <x v="2"/>
    <n v="34"/>
    <x v="1062"/>
    <x v="59"/>
    <d v="2025-03-05T00:00:00"/>
    <s v="F"/>
    <x v="0"/>
    <x v="0"/>
    <x v="0"/>
    <x v="8"/>
    <x v="5"/>
    <x v="8"/>
    <x v="2"/>
  </r>
  <r>
    <s v="TX501599"/>
    <x v="8"/>
    <x v="2"/>
    <n v="19.100000000000001"/>
    <x v="1281"/>
    <x v="59"/>
    <d v="2025-03-02T00:00:00"/>
    <s v="F"/>
    <x v="4"/>
    <x v="0"/>
    <x v="0"/>
    <x v="8"/>
    <x v="3"/>
    <x v="8"/>
    <x v="2"/>
  </r>
  <r>
    <s v="TX501600"/>
    <x v="5"/>
    <x v="8"/>
    <n v="34"/>
    <x v="1123"/>
    <x v="59"/>
    <d v="2025-03-09T00:00:00"/>
    <s v="F"/>
    <x v="4"/>
    <x v="0"/>
    <x v="0"/>
    <x v="8"/>
    <x v="9"/>
    <x v="8"/>
    <x v="2"/>
  </r>
  <r>
    <s v="TX501601"/>
    <x v="12"/>
    <x v="1"/>
    <n v="109.1"/>
    <x v="1282"/>
    <x v="59"/>
    <d v="2025-03-03T00:00:00"/>
    <s v="M"/>
    <x v="0"/>
    <x v="2"/>
    <x v="0"/>
    <x v="8"/>
    <x v="1"/>
    <x v="8"/>
    <x v="1"/>
  </r>
  <r>
    <s v="TX501602"/>
    <x v="18"/>
    <x v="1"/>
    <n v="64.8"/>
    <x v="632"/>
    <x v="59"/>
    <d v="2025-03-03T00:00:00"/>
    <s v="M"/>
    <x v="0"/>
    <x v="2"/>
    <x v="0"/>
    <x v="8"/>
    <x v="1"/>
    <x v="8"/>
    <x v="1"/>
  </r>
  <r>
    <s v="TX501603"/>
    <x v="10"/>
    <x v="1"/>
    <n v="21.1"/>
    <x v="1283"/>
    <x v="59"/>
    <d v="2025-03-01T00:00:00"/>
    <s v="F"/>
    <x v="1"/>
    <x v="0"/>
    <x v="0"/>
    <x v="11"/>
    <x v="7"/>
    <x v="8"/>
    <x v="2"/>
  </r>
  <r>
    <s v="TX501604"/>
    <x v="0"/>
    <x v="8"/>
    <n v="21.3"/>
    <x v="1284"/>
    <x v="59"/>
    <d v="2025-03-03T00:00:00"/>
    <s v="M"/>
    <x v="3"/>
    <x v="1"/>
    <x v="0"/>
    <x v="18"/>
    <x v="1"/>
    <x v="8"/>
    <x v="1"/>
  </r>
  <r>
    <s v="TX501605"/>
    <x v="9"/>
    <x v="2"/>
    <n v="24.3"/>
    <x v="1285"/>
    <x v="59"/>
    <d v="2025-03-02T00:00:00"/>
    <s v="M"/>
    <x v="1"/>
    <x v="0"/>
    <x v="0"/>
    <x v="19"/>
    <x v="3"/>
    <x v="8"/>
    <x v="1"/>
  </r>
  <r>
    <s v="TX501606"/>
    <x v="8"/>
    <x v="0"/>
    <n v="43.3"/>
    <x v="1286"/>
    <x v="59"/>
    <d v="2025-03-05T00:00:00"/>
    <s v="M"/>
    <x v="1"/>
    <x v="1"/>
    <x v="0"/>
    <x v="13"/>
    <x v="5"/>
    <x v="8"/>
    <x v="1"/>
  </r>
  <r>
    <s v="TX501607"/>
    <x v="9"/>
    <x v="2"/>
    <n v="41"/>
    <x v="1287"/>
    <x v="59"/>
    <d v="2025-03-02T00:00:00"/>
    <s v="F"/>
    <x v="3"/>
    <x v="4"/>
    <x v="0"/>
    <x v="21"/>
    <x v="3"/>
    <x v="8"/>
    <x v="2"/>
  </r>
  <r>
    <s v="TX501608"/>
    <x v="16"/>
    <x v="2"/>
    <n v="54.1"/>
    <x v="1288"/>
    <x v="59"/>
    <d v="2025-03-03T00:00:00"/>
    <s v="F"/>
    <x v="4"/>
    <x v="0"/>
    <x v="0"/>
    <x v="21"/>
    <x v="1"/>
    <x v="8"/>
    <x v="2"/>
  </r>
  <r>
    <s v="TX501609"/>
    <x v="11"/>
    <x v="1"/>
    <n v="39"/>
    <x v="292"/>
    <x v="59"/>
    <d v="2025-03-02T00:00:00"/>
    <s v="M"/>
    <x v="1"/>
    <x v="2"/>
    <x v="0"/>
    <x v="1"/>
    <x v="3"/>
    <x v="8"/>
    <x v="1"/>
  </r>
  <r>
    <s v="TX501610"/>
    <x v="8"/>
    <x v="1"/>
    <n v="40.299999999999997"/>
    <x v="7"/>
    <x v="59"/>
    <d v="2025-03-03T00:00:00"/>
    <s v="M"/>
    <x v="3"/>
    <x v="0"/>
    <x v="0"/>
    <x v="27"/>
    <x v="1"/>
    <x v="8"/>
    <x v="1"/>
  </r>
  <r>
    <s v="TX501611"/>
    <x v="8"/>
    <x v="2"/>
    <n v="24.1"/>
    <x v="1289"/>
    <x v="59"/>
    <d v="2025-03-02T00:00:00"/>
    <s v="M"/>
    <x v="0"/>
    <x v="2"/>
    <x v="0"/>
    <x v="34"/>
    <x v="3"/>
    <x v="8"/>
    <x v="1"/>
  </r>
  <r>
    <s v="TX501612"/>
    <x v="6"/>
    <x v="9"/>
    <n v="52.3"/>
    <x v="1290"/>
    <x v="59"/>
    <d v="2025-03-02T00:00:00"/>
    <s v="M"/>
    <x v="2"/>
    <x v="0"/>
    <x v="0"/>
    <x v="3"/>
    <x v="3"/>
    <x v="8"/>
    <x v="1"/>
  </r>
  <r>
    <s v="TX501613"/>
    <x v="12"/>
    <x v="12"/>
    <n v="68.8"/>
    <x v="1291"/>
    <x v="59"/>
    <d v="2025-03-05T00:00:00"/>
    <s v="F"/>
    <x v="4"/>
    <x v="2"/>
    <x v="0"/>
    <x v="3"/>
    <x v="5"/>
    <x v="8"/>
    <x v="2"/>
  </r>
  <r>
    <s v="TX501614"/>
    <x v="2"/>
    <x v="1"/>
    <n v="128.80000000000001"/>
    <x v="1292"/>
    <x v="60"/>
    <d v="2025-03-05T00:00:00"/>
    <s v="F"/>
    <x v="1"/>
    <x v="1"/>
    <x v="0"/>
    <x v="3"/>
    <x v="2"/>
    <x v="9"/>
    <x v="2"/>
  </r>
  <r>
    <s v="TX501615"/>
    <x v="15"/>
    <x v="9"/>
    <n v="48.2"/>
    <x v="1044"/>
    <x v="60"/>
    <d v="2025-03-04T00:00:00"/>
    <s v="F"/>
    <x v="3"/>
    <x v="0"/>
    <x v="0"/>
    <x v="3"/>
    <x v="1"/>
    <x v="9"/>
    <x v="2"/>
  </r>
  <r>
    <s v="TX501616"/>
    <x v="10"/>
    <x v="0"/>
    <n v="39.700000000000003"/>
    <x v="144"/>
    <x v="60"/>
    <d v="2025-03-04T00:00:00"/>
    <s v="F"/>
    <x v="0"/>
    <x v="1"/>
    <x v="0"/>
    <x v="3"/>
    <x v="1"/>
    <x v="9"/>
    <x v="2"/>
  </r>
  <r>
    <s v="TX501617"/>
    <x v="9"/>
    <x v="0"/>
    <n v="59.7"/>
    <x v="1201"/>
    <x v="60"/>
    <d v="2025-03-05T00:00:00"/>
    <s v="F"/>
    <x v="4"/>
    <x v="0"/>
    <x v="0"/>
    <x v="3"/>
    <x v="2"/>
    <x v="9"/>
    <x v="2"/>
  </r>
  <r>
    <s v="TX501618"/>
    <x v="6"/>
    <x v="0"/>
    <n v="48.3"/>
    <x v="1293"/>
    <x v="60"/>
    <d v="2025-03-16T00:00:00"/>
    <s v="O"/>
    <x v="0"/>
    <x v="2"/>
    <x v="0"/>
    <x v="3"/>
    <x v="12"/>
    <x v="9"/>
    <x v="3"/>
  </r>
  <r>
    <s v="TX501619"/>
    <x v="8"/>
    <x v="2"/>
    <n v="45.5"/>
    <x v="1294"/>
    <x v="60"/>
    <d v="2025-03-04T00:00:00"/>
    <s v="M"/>
    <x v="2"/>
    <x v="1"/>
    <x v="0"/>
    <x v="3"/>
    <x v="1"/>
    <x v="9"/>
    <x v="1"/>
  </r>
  <r>
    <s v="TX501620"/>
    <x v="9"/>
    <x v="6"/>
    <n v="51"/>
    <x v="1295"/>
    <x v="60"/>
    <d v="2025-03-02T00:00:00"/>
    <s v="F"/>
    <x v="2"/>
    <x v="0"/>
    <x v="0"/>
    <x v="3"/>
    <x v="7"/>
    <x v="9"/>
    <x v="2"/>
  </r>
  <r>
    <s v="TX501621"/>
    <x v="4"/>
    <x v="13"/>
    <n v="20.399999999999999"/>
    <x v="1296"/>
    <x v="60"/>
    <d v="2025-03-03T00:00:00"/>
    <s v="M"/>
    <x v="2"/>
    <x v="0"/>
    <x v="0"/>
    <x v="3"/>
    <x v="3"/>
    <x v="9"/>
    <x v="1"/>
  </r>
  <r>
    <s v="TX501622"/>
    <x v="10"/>
    <x v="1"/>
    <n v="30.4"/>
    <x v="1297"/>
    <x v="60"/>
    <d v="2025-03-04T00:00:00"/>
    <s v="M"/>
    <x v="2"/>
    <x v="0"/>
    <x v="0"/>
    <x v="3"/>
    <x v="1"/>
    <x v="9"/>
    <x v="1"/>
  </r>
  <r>
    <s v="TX501623"/>
    <x v="7"/>
    <x v="1"/>
    <n v="71.5"/>
    <x v="1298"/>
    <x v="60"/>
    <d v="2025-03-06T00:00:00"/>
    <s v="F"/>
    <x v="0"/>
    <x v="0"/>
    <x v="0"/>
    <x v="3"/>
    <x v="5"/>
    <x v="9"/>
    <x v="2"/>
  </r>
  <r>
    <s v="TX501624"/>
    <x v="8"/>
    <x v="13"/>
    <n v="18"/>
    <x v="807"/>
    <x v="60"/>
    <d v="2025-03-03T00:00:00"/>
    <s v="O"/>
    <x v="1"/>
    <x v="2"/>
    <x v="0"/>
    <x v="6"/>
    <x v="3"/>
    <x v="9"/>
    <x v="3"/>
  </r>
  <r>
    <s v="TX501625"/>
    <x v="15"/>
    <x v="5"/>
    <n v="45.6"/>
    <x v="1299"/>
    <x v="60"/>
    <d v="2025-03-03T00:00:00"/>
    <s v="O"/>
    <x v="1"/>
    <x v="1"/>
    <x v="0"/>
    <x v="7"/>
    <x v="3"/>
    <x v="9"/>
    <x v="3"/>
  </r>
  <r>
    <s v="TX501626"/>
    <x v="9"/>
    <x v="0"/>
    <n v="31.8"/>
    <x v="627"/>
    <x v="60"/>
    <d v="2025-03-06T00:00:00"/>
    <s v="F"/>
    <x v="0"/>
    <x v="2"/>
    <x v="0"/>
    <x v="7"/>
    <x v="5"/>
    <x v="9"/>
    <x v="2"/>
  </r>
  <r>
    <s v="TX501627"/>
    <x v="8"/>
    <x v="9"/>
    <n v="19.899999999999999"/>
    <x v="1300"/>
    <x v="60"/>
    <d v="2025-03-03T00:00:00"/>
    <s v="F"/>
    <x v="1"/>
    <x v="0"/>
    <x v="0"/>
    <x v="7"/>
    <x v="3"/>
    <x v="9"/>
    <x v="2"/>
  </r>
  <r>
    <s v="TX501628"/>
    <x v="12"/>
    <x v="11"/>
    <n v="52.1"/>
    <x v="1301"/>
    <x v="60"/>
    <d v="2025-03-04T00:00:00"/>
    <s v="M"/>
    <x v="0"/>
    <x v="0"/>
    <x v="0"/>
    <x v="8"/>
    <x v="1"/>
    <x v="9"/>
    <x v="1"/>
  </r>
  <r>
    <s v="TX501629"/>
    <x v="1"/>
    <x v="3"/>
    <n v="45.9"/>
    <x v="1198"/>
    <x v="60"/>
    <d v="2025-03-03T00:00:00"/>
    <s v="M"/>
    <x v="0"/>
    <x v="1"/>
    <x v="0"/>
    <x v="8"/>
    <x v="3"/>
    <x v="9"/>
    <x v="1"/>
  </r>
  <r>
    <s v="TX501630"/>
    <x v="1"/>
    <x v="7"/>
    <n v="115.9"/>
    <x v="1302"/>
    <x v="60"/>
    <d v="2025-03-05T00:00:00"/>
    <s v="F"/>
    <x v="1"/>
    <x v="0"/>
    <x v="0"/>
    <x v="8"/>
    <x v="2"/>
    <x v="9"/>
    <x v="2"/>
  </r>
  <r>
    <s v="TX501631"/>
    <x v="6"/>
    <x v="11"/>
    <n v="86"/>
    <x v="1303"/>
    <x v="60"/>
    <d v="2025-03-07T00:00:00"/>
    <s v="F"/>
    <x v="0"/>
    <x v="1"/>
    <x v="0"/>
    <x v="8"/>
    <x v="0"/>
    <x v="9"/>
    <x v="2"/>
  </r>
  <r>
    <s v="TX501632"/>
    <x v="7"/>
    <x v="3"/>
    <n v="73.599999999999994"/>
    <x v="1304"/>
    <x v="60"/>
    <d v="2025-03-04T00:00:00"/>
    <s v="F"/>
    <x v="0"/>
    <x v="0"/>
    <x v="0"/>
    <x v="17"/>
    <x v="1"/>
    <x v="9"/>
    <x v="2"/>
  </r>
  <r>
    <s v="TX501633"/>
    <x v="10"/>
    <x v="2"/>
    <n v="26.7"/>
    <x v="1133"/>
    <x v="60"/>
    <d v="2025-03-06T00:00:00"/>
    <s v="F"/>
    <x v="0"/>
    <x v="0"/>
    <x v="0"/>
    <x v="11"/>
    <x v="5"/>
    <x v="9"/>
    <x v="2"/>
  </r>
  <r>
    <s v="TX501634"/>
    <x v="8"/>
    <x v="3"/>
    <n v="46.6"/>
    <x v="1305"/>
    <x v="60"/>
    <d v="2025-03-04T00:00:00"/>
    <s v=""/>
    <x v="3"/>
    <x v="0"/>
    <x v="0"/>
    <x v="11"/>
    <x v="1"/>
    <x v="9"/>
    <x v="0"/>
  </r>
  <r>
    <s v="TX501635"/>
    <x v="3"/>
    <x v="2"/>
    <n v="84.6"/>
    <x v="1306"/>
    <x v="60"/>
    <d v="2025-03-04T00:00:00"/>
    <s v="M"/>
    <x v="4"/>
    <x v="0"/>
    <x v="0"/>
    <x v="11"/>
    <x v="1"/>
    <x v="9"/>
    <x v="1"/>
  </r>
  <r>
    <s v="TX501636"/>
    <x v="7"/>
    <x v="21"/>
    <n v="41.5"/>
    <x v="1307"/>
    <x v="60"/>
    <d v="2025-03-16T00:00:00"/>
    <s v="M"/>
    <x v="1"/>
    <x v="0"/>
    <x v="0"/>
    <x v="53"/>
    <x v="12"/>
    <x v="9"/>
    <x v="1"/>
  </r>
  <r>
    <s v="TX501637"/>
    <x v="8"/>
    <x v="0"/>
    <n v="32.799999999999997"/>
    <x v="944"/>
    <x v="60"/>
    <d v="2025-03-05T00:00:00"/>
    <s v="M"/>
    <x v="0"/>
    <x v="2"/>
    <x v="0"/>
    <x v="30"/>
    <x v="2"/>
    <x v="9"/>
    <x v="1"/>
  </r>
  <r>
    <s v="TX501638"/>
    <x v="4"/>
    <x v="3"/>
    <n v="46.7"/>
    <x v="1308"/>
    <x v="60"/>
    <d v="2025-03-04T00:00:00"/>
    <s v="O"/>
    <x v="0"/>
    <x v="2"/>
    <x v="0"/>
    <x v="18"/>
    <x v="1"/>
    <x v="9"/>
    <x v="3"/>
  </r>
  <r>
    <s v="TX501639"/>
    <x v="15"/>
    <x v="3"/>
    <n v="21"/>
    <x v="926"/>
    <x v="60"/>
    <d v="2025-03-05T00:00:00"/>
    <s v="M"/>
    <x v="2"/>
    <x v="1"/>
    <x v="0"/>
    <x v="21"/>
    <x v="2"/>
    <x v="9"/>
    <x v="1"/>
  </r>
  <r>
    <s v="TX501640"/>
    <x v="5"/>
    <x v="3"/>
    <n v="29.4"/>
    <x v="43"/>
    <x v="60"/>
    <d v="2025-03-02T00:00:00"/>
    <s v="M"/>
    <x v="3"/>
    <x v="2"/>
    <x v="0"/>
    <x v="21"/>
    <x v="7"/>
    <x v="9"/>
    <x v="1"/>
  </r>
  <r>
    <s v="TX501641"/>
    <x v="15"/>
    <x v="1"/>
    <n v="32.299999999999997"/>
    <x v="1099"/>
    <x v="60"/>
    <d v="2025-03-03T00:00:00"/>
    <s v="M"/>
    <x v="0"/>
    <x v="2"/>
    <x v="0"/>
    <x v="21"/>
    <x v="3"/>
    <x v="9"/>
    <x v="1"/>
  </r>
  <r>
    <s v="TX501642"/>
    <x v="6"/>
    <x v="0"/>
    <n v="42.2"/>
    <x v="1283"/>
    <x v="61"/>
    <d v="2025-03-05T00:00:00"/>
    <s v="F"/>
    <x v="0"/>
    <x v="2"/>
    <x v="0"/>
    <x v="21"/>
    <x v="1"/>
    <x v="9"/>
    <x v="2"/>
  </r>
  <r>
    <s v="TX501643"/>
    <x v="6"/>
    <x v="0"/>
    <n v="53.7"/>
    <x v="1309"/>
    <x v="61"/>
    <d v="2025-03-05T00:00:00"/>
    <s v="M"/>
    <x v="1"/>
    <x v="1"/>
    <x v="0"/>
    <x v="1"/>
    <x v="1"/>
    <x v="9"/>
    <x v="1"/>
  </r>
  <r>
    <s v="TX501644"/>
    <x v="2"/>
    <x v="1"/>
    <n v="123.9"/>
    <x v="1310"/>
    <x v="61"/>
    <d v="2025-03-06T00:00:00"/>
    <s v="M"/>
    <x v="2"/>
    <x v="0"/>
    <x v="0"/>
    <x v="1"/>
    <x v="2"/>
    <x v="9"/>
    <x v="1"/>
  </r>
  <r>
    <s v="TX501645"/>
    <x v="4"/>
    <x v="2"/>
    <n v="35.9"/>
    <x v="1311"/>
    <x v="61"/>
    <d v="2025-03-05T00:00:00"/>
    <s v="M"/>
    <x v="2"/>
    <x v="0"/>
    <x v="0"/>
    <x v="22"/>
    <x v="1"/>
    <x v="9"/>
    <x v="1"/>
  </r>
  <r>
    <s v="TX501646"/>
    <x v="4"/>
    <x v="1"/>
    <n v="23.6"/>
    <x v="828"/>
    <x v="61"/>
    <d v="2025-03-06T00:00:00"/>
    <s v="M"/>
    <x v="0"/>
    <x v="2"/>
    <x v="0"/>
    <x v="3"/>
    <x v="2"/>
    <x v="9"/>
    <x v="1"/>
  </r>
  <r>
    <s v="TX501647"/>
    <x v="15"/>
    <x v="36"/>
    <n v="45.7"/>
    <x v="1312"/>
    <x v="61"/>
    <d v="2025-03-04T00:00:00"/>
    <s v="M"/>
    <x v="0"/>
    <x v="1"/>
    <x v="0"/>
    <x v="3"/>
    <x v="3"/>
    <x v="9"/>
    <x v="1"/>
  </r>
  <r>
    <s v="TX501648"/>
    <x v="6"/>
    <x v="5"/>
    <n v="118.3"/>
    <x v="1313"/>
    <x v="61"/>
    <d v="2025-03-05T00:00:00"/>
    <s v="M"/>
    <x v="4"/>
    <x v="2"/>
    <x v="0"/>
    <x v="3"/>
    <x v="1"/>
    <x v="9"/>
    <x v="1"/>
  </r>
  <r>
    <s v="TX501649"/>
    <x v="19"/>
    <x v="0"/>
    <n v="36"/>
    <x v="53"/>
    <x v="61"/>
    <d v="2025-03-04T00:00:00"/>
    <s v="F"/>
    <x v="0"/>
    <x v="1"/>
    <x v="0"/>
    <x v="3"/>
    <x v="3"/>
    <x v="9"/>
    <x v="2"/>
  </r>
  <r>
    <s v="TX501650"/>
    <x v="8"/>
    <x v="1"/>
    <n v="37.1"/>
    <x v="1314"/>
    <x v="61"/>
    <d v="2025-03-06T00:00:00"/>
    <s v="F"/>
    <x v="2"/>
    <x v="0"/>
    <x v="0"/>
    <x v="3"/>
    <x v="2"/>
    <x v="9"/>
    <x v="2"/>
  </r>
  <r>
    <s v="TX501651"/>
    <x v="18"/>
    <x v="2"/>
    <n v="45.1"/>
    <x v="246"/>
    <x v="61"/>
    <d v="2025-03-05T00:00:00"/>
    <s v="F"/>
    <x v="1"/>
    <x v="2"/>
    <x v="0"/>
    <x v="3"/>
    <x v="1"/>
    <x v="9"/>
    <x v="2"/>
  </r>
  <r>
    <s v="TX501652"/>
    <x v="5"/>
    <x v="27"/>
    <n v="37.9"/>
    <x v="1315"/>
    <x v="61"/>
    <d v="2025-03-04T00:00:00"/>
    <s v="F"/>
    <x v="3"/>
    <x v="2"/>
    <x v="0"/>
    <x v="3"/>
    <x v="3"/>
    <x v="9"/>
    <x v="2"/>
  </r>
  <r>
    <s v="TX501653"/>
    <x v="2"/>
    <x v="1"/>
    <n v="121.6"/>
    <x v="1316"/>
    <x v="61"/>
    <d v="2025-03-06T00:00:00"/>
    <s v="M"/>
    <x v="3"/>
    <x v="2"/>
    <x v="0"/>
    <x v="3"/>
    <x v="2"/>
    <x v="9"/>
    <x v="1"/>
  </r>
  <r>
    <s v="TX501654"/>
    <x v="5"/>
    <x v="3"/>
    <n v="38.200000000000003"/>
    <x v="1317"/>
    <x v="61"/>
    <d v="2025-03-06T00:00:00"/>
    <s v="F"/>
    <x v="0"/>
    <x v="0"/>
    <x v="0"/>
    <x v="3"/>
    <x v="2"/>
    <x v="9"/>
    <x v="2"/>
  </r>
  <r>
    <s v="TX501655"/>
    <x v="17"/>
    <x v="1"/>
    <n v="37.200000000000003"/>
    <x v="610"/>
    <x v="61"/>
    <d v="2025-03-06T00:00:00"/>
    <s v="M"/>
    <x v="4"/>
    <x v="0"/>
    <x v="0"/>
    <x v="3"/>
    <x v="2"/>
    <x v="9"/>
    <x v="1"/>
  </r>
  <r>
    <s v="TX501656"/>
    <x v="2"/>
    <x v="12"/>
    <n v="115.7"/>
    <x v="1318"/>
    <x v="61"/>
    <d v="2025-03-06T00:00:00"/>
    <s v="F"/>
    <x v="1"/>
    <x v="0"/>
    <x v="0"/>
    <x v="3"/>
    <x v="2"/>
    <x v="9"/>
    <x v="2"/>
  </r>
  <r>
    <s v="TX501657"/>
    <x v="2"/>
    <x v="13"/>
    <n v="99.4"/>
    <x v="1319"/>
    <x v="61"/>
    <d v="2025-03-06T00:00:00"/>
    <s v="M"/>
    <x v="0"/>
    <x v="2"/>
    <x v="0"/>
    <x v="3"/>
    <x v="2"/>
    <x v="9"/>
    <x v="1"/>
  </r>
  <r>
    <s v="TX501658"/>
    <x v="11"/>
    <x v="0"/>
    <n v="38.700000000000003"/>
    <x v="1320"/>
    <x v="61"/>
    <d v="2025-03-04T00:00:00"/>
    <s v="F"/>
    <x v="2"/>
    <x v="0"/>
    <x v="0"/>
    <x v="25"/>
    <x v="3"/>
    <x v="9"/>
    <x v="2"/>
  </r>
  <r>
    <s v="TX501659"/>
    <x v="4"/>
    <x v="1"/>
    <n v="35.5"/>
    <x v="1321"/>
    <x v="61"/>
    <d v="2025-03-06T00:00:00"/>
    <s v="M"/>
    <x v="0"/>
    <x v="2"/>
    <x v="0"/>
    <x v="25"/>
    <x v="2"/>
    <x v="9"/>
    <x v="1"/>
  </r>
  <r>
    <s v="TX501660"/>
    <x v="2"/>
    <x v="12"/>
    <n v="93.3"/>
    <x v="1322"/>
    <x v="61"/>
    <d v="2025-03-06T00:00:00"/>
    <s v="F"/>
    <x v="0"/>
    <x v="2"/>
    <x v="0"/>
    <x v="6"/>
    <x v="2"/>
    <x v="9"/>
    <x v="2"/>
  </r>
  <r>
    <s v="TX501661"/>
    <x v="16"/>
    <x v="0"/>
    <n v="31.4"/>
    <x v="1323"/>
    <x v="61"/>
    <d v="2025-03-08T00:00:00"/>
    <s v="F"/>
    <x v="2"/>
    <x v="2"/>
    <x v="0"/>
    <x v="6"/>
    <x v="0"/>
    <x v="9"/>
    <x v="2"/>
  </r>
  <r>
    <s v="TX501662"/>
    <x v="1"/>
    <x v="0"/>
    <n v="85.9"/>
    <x v="1324"/>
    <x v="61"/>
    <d v="2025-03-06T00:00:00"/>
    <s v="M"/>
    <x v="1"/>
    <x v="0"/>
    <x v="0"/>
    <x v="6"/>
    <x v="2"/>
    <x v="9"/>
    <x v="1"/>
  </r>
  <r>
    <s v="TX501663"/>
    <x v="6"/>
    <x v="8"/>
    <n v="41.7"/>
    <x v="335"/>
    <x v="61"/>
    <d v="2025-03-11T00:00:00"/>
    <s v="M"/>
    <x v="0"/>
    <x v="2"/>
    <x v="0"/>
    <x v="7"/>
    <x v="9"/>
    <x v="9"/>
    <x v="1"/>
  </r>
  <r>
    <s v="TX501664"/>
    <x v="8"/>
    <x v="12"/>
    <n v="31.5"/>
    <x v="624"/>
    <x v="61"/>
    <d v="2025-03-04T00:00:00"/>
    <s v="F"/>
    <x v="0"/>
    <x v="0"/>
    <x v="0"/>
    <x v="7"/>
    <x v="3"/>
    <x v="9"/>
    <x v="2"/>
  </r>
  <r>
    <s v="TX501665"/>
    <x v="8"/>
    <x v="1"/>
    <n v="36.299999999999997"/>
    <x v="1325"/>
    <x v="61"/>
    <d v="2025-03-04T00:00:00"/>
    <s v="F"/>
    <x v="0"/>
    <x v="4"/>
    <x v="0"/>
    <x v="8"/>
    <x v="3"/>
    <x v="9"/>
    <x v="2"/>
  </r>
  <r>
    <s v="TX501666"/>
    <x v="8"/>
    <x v="2"/>
    <n v="33.4"/>
    <x v="1326"/>
    <x v="61"/>
    <d v="2025-03-04T00:00:00"/>
    <s v="F"/>
    <x v="3"/>
    <x v="0"/>
    <x v="0"/>
    <x v="17"/>
    <x v="3"/>
    <x v="9"/>
    <x v="2"/>
  </r>
  <r>
    <s v="TX501667"/>
    <x v="2"/>
    <x v="2"/>
    <n v="65.2"/>
    <x v="1327"/>
    <x v="61"/>
    <d v="2025-03-04T00:00:00"/>
    <s v="F"/>
    <x v="2"/>
    <x v="2"/>
    <x v="0"/>
    <x v="26"/>
    <x v="3"/>
    <x v="9"/>
    <x v="2"/>
  </r>
  <r>
    <s v="TX501668"/>
    <x v="8"/>
    <x v="11"/>
    <n v="65.5"/>
    <x v="1328"/>
    <x v="61"/>
    <d v="2025-03-06T00:00:00"/>
    <s v="F"/>
    <x v="0"/>
    <x v="2"/>
    <x v="0"/>
    <x v="9"/>
    <x v="2"/>
    <x v="9"/>
    <x v="2"/>
  </r>
  <r>
    <s v="TX501669"/>
    <x v="6"/>
    <x v="2"/>
    <n v="52.8"/>
    <x v="1329"/>
    <x v="61"/>
    <d v="2025-03-06T00:00:00"/>
    <s v="M"/>
    <x v="2"/>
    <x v="0"/>
    <x v="0"/>
    <x v="9"/>
    <x v="2"/>
    <x v="9"/>
    <x v="1"/>
  </r>
  <r>
    <s v="TX501670"/>
    <x v="9"/>
    <x v="9"/>
    <n v="24"/>
    <x v="160"/>
    <x v="61"/>
    <d v="2025-03-07T00:00:00"/>
    <s v="M"/>
    <x v="0"/>
    <x v="1"/>
    <x v="0"/>
    <x v="11"/>
    <x v="5"/>
    <x v="9"/>
    <x v="1"/>
  </r>
  <r>
    <s v="TX501671"/>
    <x v="3"/>
    <x v="2"/>
    <n v="51.2"/>
    <x v="1330"/>
    <x v="61"/>
    <d v="2025-03-04T00:00:00"/>
    <s v="F"/>
    <x v="0"/>
    <x v="0"/>
    <x v="0"/>
    <x v="32"/>
    <x v="3"/>
    <x v="9"/>
    <x v="2"/>
  </r>
  <r>
    <s v="TX501672"/>
    <x v="5"/>
    <x v="2"/>
    <n v="28.3"/>
    <x v="1331"/>
    <x v="61"/>
    <d v="2025-03-05T00:00:00"/>
    <s v="M"/>
    <x v="4"/>
    <x v="0"/>
    <x v="0"/>
    <x v="19"/>
    <x v="1"/>
    <x v="9"/>
    <x v="1"/>
  </r>
  <r>
    <s v="TX501673"/>
    <x v="6"/>
    <x v="2"/>
    <n v="42.3"/>
    <x v="1332"/>
    <x v="61"/>
    <d v="2025-03-03T00:00:00"/>
    <s v="F"/>
    <x v="2"/>
    <x v="1"/>
    <x v="0"/>
    <x v="19"/>
    <x v="7"/>
    <x v="9"/>
    <x v="2"/>
  </r>
  <r>
    <s v="TX501674"/>
    <x v="2"/>
    <x v="8"/>
    <n v="163.30000000000001"/>
    <x v="1333"/>
    <x v="62"/>
    <d v="2025-03-05T00:00:00"/>
    <s v="F"/>
    <x v="1"/>
    <x v="0"/>
    <x v="0"/>
    <x v="13"/>
    <x v="3"/>
    <x v="9"/>
    <x v="2"/>
  </r>
  <r>
    <s v="TX501675"/>
    <x v="6"/>
    <x v="3"/>
    <n v="47.3"/>
    <x v="1334"/>
    <x v="62"/>
    <d v="2025-03-07T00:00:00"/>
    <s v="F"/>
    <x v="4"/>
    <x v="1"/>
    <x v="0"/>
    <x v="21"/>
    <x v="2"/>
    <x v="9"/>
    <x v="2"/>
  </r>
  <r>
    <s v="TX501676"/>
    <x v="8"/>
    <x v="27"/>
    <n v="27.3"/>
    <x v="1335"/>
    <x v="62"/>
    <d v="2025-03-05T00:00:00"/>
    <s v="F"/>
    <x v="2"/>
    <x v="0"/>
    <x v="0"/>
    <x v="21"/>
    <x v="3"/>
    <x v="9"/>
    <x v="2"/>
  </r>
  <r>
    <s v="TX501677"/>
    <x v="10"/>
    <x v="13"/>
    <n v="34.9"/>
    <x v="1336"/>
    <x v="62"/>
    <d v="2025-03-15T00:00:00"/>
    <s v="F"/>
    <x v="0"/>
    <x v="0"/>
    <x v="0"/>
    <x v="21"/>
    <x v="11"/>
    <x v="9"/>
    <x v="2"/>
  </r>
  <r>
    <s v="TX501678"/>
    <x v="6"/>
    <x v="1"/>
    <n v="53.9"/>
    <x v="215"/>
    <x v="62"/>
    <d v="2025-03-07T00:00:00"/>
    <s v="O"/>
    <x v="0"/>
    <x v="4"/>
    <x v="0"/>
    <x v="1"/>
    <x v="2"/>
    <x v="9"/>
    <x v="3"/>
  </r>
  <r>
    <s v="TX501679"/>
    <x v="2"/>
    <x v="1"/>
    <n v="87.2"/>
    <x v="1337"/>
    <x v="62"/>
    <d v="2025-03-05T00:00:00"/>
    <s v="F"/>
    <x v="0"/>
    <x v="1"/>
    <x v="0"/>
    <x v="1"/>
    <x v="3"/>
    <x v="9"/>
    <x v="2"/>
  </r>
  <r>
    <s v="TX501680"/>
    <x v="15"/>
    <x v="0"/>
    <n v="58.8"/>
    <x v="572"/>
    <x v="62"/>
    <d v="2025-03-06T00:00:00"/>
    <s v="F"/>
    <x v="2"/>
    <x v="0"/>
    <x v="0"/>
    <x v="44"/>
    <x v="1"/>
    <x v="9"/>
    <x v="2"/>
  </r>
  <r>
    <s v="TX501681"/>
    <x v="2"/>
    <x v="3"/>
    <n v="125.5"/>
    <x v="1338"/>
    <x v="62"/>
    <d v="2025-03-05T00:00:00"/>
    <s v="M"/>
    <x v="2"/>
    <x v="4"/>
    <x v="0"/>
    <x v="22"/>
    <x v="3"/>
    <x v="9"/>
    <x v="1"/>
  </r>
  <r>
    <s v="TX501682"/>
    <x v="1"/>
    <x v="12"/>
    <n v="124.6"/>
    <x v="1339"/>
    <x v="62"/>
    <d v="2025-03-06T00:00:00"/>
    <s v="F"/>
    <x v="0"/>
    <x v="1"/>
    <x v="0"/>
    <x v="22"/>
    <x v="1"/>
    <x v="9"/>
    <x v="2"/>
  </r>
  <r>
    <s v="TX501683"/>
    <x v="1"/>
    <x v="3"/>
    <n v="39.9"/>
    <x v="1340"/>
    <x v="62"/>
    <d v="2025-03-05T00:00:00"/>
    <s v="M"/>
    <x v="2"/>
    <x v="1"/>
    <x v="0"/>
    <x v="3"/>
    <x v="3"/>
    <x v="9"/>
    <x v="1"/>
  </r>
  <r>
    <s v="TX501684"/>
    <x v="6"/>
    <x v="0"/>
    <n v="94.6"/>
    <x v="422"/>
    <x v="62"/>
    <d v="2025-03-18T00:00:00"/>
    <s v="F"/>
    <x v="0"/>
    <x v="1"/>
    <x v="0"/>
    <x v="3"/>
    <x v="12"/>
    <x v="9"/>
    <x v="2"/>
  </r>
  <r>
    <s v="TX501685"/>
    <x v="2"/>
    <x v="1"/>
    <n v="149.6"/>
    <x v="1341"/>
    <x v="62"/>
    <d v="2025-03-05T00:00:00"/>
    <s v="F"/>
    <x v="0"/>
    <x v="0"/>
    <x v="0"/>
    <x v="3"/>
    <x v="3"/>
    <x v="9"/>
    <x v="2"/>
  </r>
  <r>
    <s v="TX501686"/>
    <x v="8"/>
    <x v="0"/>
    <n v="52.2"/>
    <x v="1342"/>
    <x v="62"/>
    <d v="2025-03-05T00:00:00"/>
    <s v=""/>
    <x v="1"/>
    <x v="0"/>
    <x v="0"/>
    <x v="3"/>
    <x v="3"/>
    <x v="9"/>
    <x v="0"/>
  </r>
  <r>
    <s v="TX501687"/>
    <x v="6"/>
    <x v="1"/>
    <n v="96.5"/>
    <x v="1343"/>
    <x v="62"/>
    <d v="2025-03-05T00:00:00"/>
    <s v="F"/>
    <x v="1"/>
    <x v="1"/>
    <x v="0"/>
    <x v="3"/>
    <x v="3"/>
    <x v="9"/>
    <x v="2"/>
  </r>
  <r>
    <s v="TX501688"/>
    <x v="8"/>
    <x v="1"/>
    <n v="79.8"/>
    <x v="1344"/>
    <x v="62"/>
    <d v="2025-03-06T00:00:00"/>
    <s v="F"/>
    <x v="0"/>
    <x v="1"/>
    <x v="0"/>
    <x v="3"/>
    <x v="1"/>
    <x v="9"/>
    <x v="2"/>
  </r>
  <r>
    <s v="TX501689"/>
    <x v="8"/>
    <x v="2"/>
    <n v="35.6"/>
    <x v="694"/>
    <x v="62"/>
    <d v="2025-03-05T00:00:00"/>
    <s v="F"/>
    <x v="2"/>
    <x v="0"/>
    <x v="0"/>
    <x v="3"/>
    <x v="3"/>
    <x v="9"/>
    <x v="2"/>
  </r>
  <r>
    <s v="TX501690"/>
    <x v="16"/>
    <x v="0"/>
    <n v="50.2"/>
    <x v="486"/>
    <x v="62"/>
    <d v="2025-03-05T00:00:00"/>
    <s v="F"/>
    <x v="1"/>
    <x v="2"/>
    <x v="0"/>
    <x v="3"/>
    <x v="3"/>
    <x v="9"/>
    <x v="2"/>
  </r>
  <r>
    <s v="TX501691"/>
    <x v="1"/>
    <x v="2"/>
    <n v="55.3"/>
    <x v="1345"/>
    <x v="62"/>
    <d v="2025-03-07T00:00:00"/>
    <s v="F"/>
    <x v="0"/>
    <x v="4"/>
    <x v="0"/>
    <x v="40"/>
    <x v="2"/>
    <x v="9"/>
    <x v="2"/>
  </r>
  <r>
    <s v="TX501692"/>
    <x v="6"/>
    <x v="3"/>
    <n v="104.5"/>
    <x v="1346"/>
    <x v="62"/>
    <d v="2025-03-08T00:00:00"/>
    <s v="F"/>
    <x v="1"/>
    <x v="0"/>
    <x v="0"/>
    <x v="7"/>
    <x v="5"/>
    <x v="9"/>
    <x v="2"/>
  </r>
  <r>
    <s v="TX501693"/>
    <x v="6"/>
    <x v="12"/>
    <n v="66.5"/>
    <x v="751"/>
    <x v="62"/>
    <d v="2025-03-06T00:00:00"/>
    <s v="M"/>
    <x v="1"/>
    <x v="0"/>
    <x v="0"/>
    <x v="7"/>
    <x v="1"/>
    <x v="9"/>
    <x v="1"/>
  </r>
  <r>
    <s v="TX501694"/>
    <x v="10"/>
    <x v="8"/>
    <n v="38.299999999999997"/>
    <x v="1347"/>
    <x v="62"/>
    <d v="2025-03-05T00:00:00"/>
    <s v="F"/>
    <x v="0"/>
    <x v="0"/>
    <x v="0"/>
    <x v="7"/>
    <x v="3"/>
    <x v="9"/>
    <x v="2"/>
  </r>
  <r>
    <s v="TX501695"/>
    <x v="6"/>
    <x v="2"/>
    <n v="63.8"/>
    <x v="1348"/>
    <x v="62"/>
    <d v="2025-03-07T00:00:00"/>
    <s v="F"/>
    <x v="1"/>
    <x v="0"/>
    <x v="0"/>
    <x v="8"/>
    <x v="2"/>
    <x v="9"/>
    <x v="2"/>
  </r>
  <r>
    <s v="TX501696"/>
    <x v="15"/>
    <x v="0"/>
    <n v="21.4"/>
    <x v="1349"/>
    <x v="62"/>
    <d v="2025-03-04T00:00:00"/>
    <s v="M"/>
    <x v="4"/>
    <x v="0"/>
    <x v="0"/>
    <x v="8"/>
    <x v="7"/>
    <x v="9"/>
    <x v="1"/>
  </r>
  <r>
    <s v="TX501697"/>
    <x v="8"/>
    <x v="12"/>
    <n v="44.1"/>
    <x v="1350"/>
    <x v="62"/>
    <d v="2025-03-06T00:00:00"/>
    <s v="F"/>
    <x v="2"/>
    <x v="0"/>
    <x v="0"/>
    <x v="8"/>
    <x v="1"/>
    <x v="9"/>
    <x v="2"/>
  </r>
  <r>
    <s v="TX501698"/>
    <x v="5"/>
    <x v="8"/>
    <n v="57.6"/>
    <x v="1351"/>
    <x v="62"/>
    <d v="2025-03-06T00:00:00"/>
    <s v="M"/>
    <x v="1"/>
    <x v="2"/>
    <x v="0"/>
    <x v="8"/>
    <x v="1"/>
    <x v="9"/>
    <x v="1"/>
  </r>
  <r>
    <s v="TX501699"/>
    <x v="9"/>
    <x v="1"/>
    <n v="20.3"/>
    <x v="1352"/>
    <x v="62"/>
    <d v="2025-03-10T00:00:00"/>
    <s v="F"/>
    <x v="3"/>
    <x v="0"/>
    <x v="0"/>
    <x v="8"/>
    <x v="4"/>
    <x v="9"/>
    <x v="2"/>
  </r>
  <r>
    <s v="TX501700"/>
    <x v="8"/>
    <x v="0"/>
    <n v="22.9"/>
    <x v="1246"/>
    <x v="62"/>
    <d v="2025-03-06T00:00:00"/>
    <s v="F"/>
    <x v="2"/>
    <x v="2"/>
    <x v="0"/>
    <x v="8"/>
    <x v="1"/>
    <x v="9"/>
    <x v="2"/>
  </r>
  <r>
    <s v="TX501701"/>
    <x v="6"/>
    <x v="12"/>
    <n v="105.9"/>
    <x v="1353"/>
    <x v="62"/>
    <d v="2025-03-05T00:00:00"/>
    <s v="F"/>
    <x v="1"/>
    <x v="2"/>
    <x v="0"/>
    <x v="17"/>
    <x v="3"/>
    <x v="9"/>
    <x v="2"/>
  </r>
  <r>
    <s v="TX501702"/>
    <x v="1"/>
    <x v="11"/>
    <n v="37.4"/>
    <x v="1354"/>
    <x v="62"/>
    <d v="2025-03-08T00:00:00"/>
    <s v="M"/>
    <x v="1"/>
    <x v="0"/>
    <x v="0"/>
    <x v="11"/>
    <x v="5"/>
    <x v="9"/>
    <x v="1"/>
  </r>
  <r>
    <s v="TX501703"/>
    <x v="18"/>
    <x v="1"/>
    <n v="79"/>
    <x v="1355"/>
    <x v="62"/>
    <d v="2025-03-05T00:00:00"/>
    <s v="M"/>
    <x v="2"/>
    <x v="0"/>
    <x v="0"/>
    <x v="28"/>
    <x v="3"/>
    <x v="9"/>
    <x v="1"/>
  </r>
  <r>
    <s v="TX501704"/>
    <x v="0"/>
    <x v="2"/>
    <n v="19.3"/>
    <x v="1356"/>
    <x v="62"/>
    <d v="2025-03-05T00:00:00"/>
    <s v="F"/>
    <x v="4"/>
    <x v="0"/>
    <x v="0"/>
    <x v="21"/>
    <x v="3"/>
    <x v="9"/>
    <x v="2"/>
  </r>
  <r>
    <s v="TX501705"/>
    <x v="0"/>
    <x v="0"/>
    <n v="24"/>
    <x v="835"/>
    <x v="62"/>
    <d v="2025-03-05T00:00:00"/>
    <s v="F"/>
    <x v="1"/>
    <x v="0"/>
    <x v="0"/>
    <x v="1"/>
    <x v="3"/>
    <x v="9"/>
    <x v="2"/>
  </r>
  <r>
    <s v="TX501706"/>
    <x v="6"/>
    <x v="9"/>
    <n v="71.3"/>
    <x v="1357"/>
    <x v="62"/>
    <d v="2025-03-07T00:00:00"/>
    <s v="F"/>
    <x v="2"/>
    <x v="0"/>
    <x v="0"/>
    <x v="2"/>
    <x v="2"/>
    <x v="9"/>
    <x v="2"/>
  </r>
  <r>
    <s v="TX501707"/>
    <x v="5"/>
    <x v="1"/>
    <n v="166.2"/>
    <x v="1358"/>
    <x v="62"/>
    <d v="2025-03-05T00:00:00"/>
    <s v="M"/>
    <x v="0"/>
    <x v="2"/>
    <x v="0"/>
    <x v="50"/>
    <x v="3"/>
    <x v="9"/>
    <x v="1"/>
  </r>
  <r>
    <s v="TX501708"/>
    <x v="6"/>
    <x v="0"/>
    <n v="81"/>
    <x v="969"/>
    <x v="62"/>
    <d v="2025-03-05T00:00:00"/>
    <s v="F"/>
    <x v="2"/>
    <x v="1"/>
    <x v="0"/>
    <x v="3"/>
    <x v="3"/>
    <x v="9"/>
    <x v="2"/>
  </r>
  <r>
    <s v="TX501709"/>
    <x v="10"/>
    <x v="13"/>
    <n v="38.5"/>
    <x v="1359"/>
    <x v="62"/>
    <d v="2025-03-08T00:00:00"/>
    <s v="F"/>
    <x v="0"/>
    <x v="0"/>
    <x v="0"/>
    <x v="3"/>
    <x v="5"/>
    <x v="9"/>
    <x v="2"/>
  </r>
  <r>
    <s v="TX501710"/>
    <x v="6"/>
    <x v="0"/>
    <n v="86.1"/>
    <x v="1360"/>
    <x v="62"/>
    <d v="2025-03-06T00:00:00"/>
    <s v="F"/>
    <x v="3"/>
    <x v="0"/>
    <x v="0"/>
    <x v="3"/>
    <x v="1"/>
    <x v="9"/>
    <x v="2"/>
  </r>
  <r>
    <s v="TX501711"/>
    <x v="2"/>
    <x v="9"/>
    <n v="51"/>
    <x v="951"/>
    <x v="62"/>
    <d v="2025-03-05T00:00:00"/>
    <s v="M"/>
    <x v="0"/>
    <x v="1"/>
    <x v="0"/>
    <x v="3"/>
    <x v="3"/>
    <x v="9"/>
    <x v="1"/>
  </r>
  <r>
    <s v="TX501712"/>
    <x v="3"/>
    <x v="9"/>
    <n v="115.4"/>
    <x v="1361"/>
    <x v="62"/>
    <d v="2025-03-05T00:00:00"/>
    <s v="M"/>
    <x v="0"/>
    <x v="0"/>
    <x v="0"/>
    <x v="3"/>
    <x v="3"/>
    <x v="9"/>
    <x v="1"/>
  </r>
  <r>
    <s v="TX501713"/>
    <x v="6"/>
    <x v="12"/>
    <n v="176.5"/>
    <x v="1362"/>
    <x v="62"/>
    <d v="2025-03-05T00:00:00"/>
    <s v="F"/>
    <x v="2"/>
    <x v="2"/>
    <x v="0"/>
    <x v="3"/>
    <x v="3"/>
    <x v="9"/>
    <x v="2"/>
  </r>
  <r>
    <s v="TX501714"/>
    <x v="7"/>
    <x v="2"/>
    <n v="48.9"/>
    <x v="1363"/>
    <x v="62"/>
    <d v="2025-03-05T00:00:00"/>
    <s v="M"/>
    <x v="4"/>
    <x v="0"/>
    <x v="0"/>
    <x v="3"/>
    <x v="3"/>
    <x v="9"/>
    <x v="1"/>
  </r>
  <r>
    <s v="TX501715"/>
    <x v="8"/>
    <x v="2"/>
    <n v="18.100000000000001"/>
    <x v="1364"/>
    <x v="62"/>
    <d v="2025-03-11T00:00:00"/>
    <s v="F"/>
    <x v="1"/>
    <x v="2"/>
    <x v="0"/>
    <x v="29"/>
    <x v="6"/>
    <x v="9"/>
    <x v="2"/>
  </r>
  <r>
    <s v="TX501716"/>
    <x v="2"/>
    <x v="1"/>
    <n v="118.5"/>
    <x v="1365"/>
    <x v="62"/>
    <d v="2025-03-07T00:00:00"/>
    <s v="M"/>
    <x v="1"/>
    <x v="2"/>
    <x v="0"/>
    <x v="16"/>
    <x v="2"/>
    <x v="9"/>
    <x v="1"/>
  </r>
  <r>
    <s v="TX501717"/>
    <x v="15"/>
    <x v="3"/>
    <n v="59.1"/>
    <x v="1366"/>
    <x v="62"/>
    <d v="2025-03-05T00:00:00"/>
    <s v="F"/>
    <x v="3"/>
    <x v="0"/>
    <x v="0"/>
    <x v="25"/>
    <x v="3"/>
    <x v="9"/>
    <x v="2"/>
  </r>
  <r>
    <s v="TX501718"/>
    <x v="4"/>
    <x v="0"/>
    <n v="21.2"/>
    <x v="333"/>
    <x v="62"/>
    <d v="2025-03-05T00:00:00"/>
    <s v="F"/>
    <x v="0"/>
    <x v="1"/>
    <x v="0"/>
    <x v="6"/>
    <x v="3"/>
    <x v="9"/>
    <x v="2"/>
  </r>
  <r>
    <s v="TX501719"/>
    <x v="6"/>
    <x v="1"/>
    <n v="68.8"/>
    <x v="1367"/>
    <x v="62"/>
    <d v="2025-03-09T00:00:00"/>
    <s v="F"/>
    <x v="3"/>
    <x v="2"/>
    <x v="0"/>
    <x v="6"/>
    <x v="0"/>
    <x v="9"/>
    <x v="2"/>
  </r>
  <r>
    <s v="TX501720"/>
    <x v="6"/>
    <x v="1"/>
    <n v="65.400000000000006"/>
    <x v="1272"/>
    <x v="62"/>
    <d v="2025-03-08T00:00:00"/>
    <s v="F"/>
    <x v="0"/>
    <x v="0"/>
    <x v="0"/>
    <x v="6"/>
    <x v="5"/>
    <x v="9"/>
    <x v="2"/>
  </r>
  <r>
    <s v="TX501721"/>
    <x v="12"/>
    <x v="9"/>
    <n v="66.3"/>
    <x v="1278"/>
    <x v="63"/>
    <d v="2025-03-08T00:00:00"/>
    <s v="F"/>
    <x v="4"/>
    <x v="0"/>
    <x v="0"/>
    <x v="6"/>
    <x v="2"/>
    <x v="9"/>
    <x v="2"/>
  </r>
  <r>
    <s v="TX501722"/>
    <x v="6"/>
    <x v="2"/>
    <n v="97.5"/>
    <x v="1368"/>
    <x v="63"/>
    <d v="2025-03-05T00:00:00"/>
    <s v="M"/>
    <x v="3"/>
    <x v="0"/>
    <x v="0"/>
    <x v="8"/>
    <x v="7"/>
    <x v="9"/>
    <x v="1"/>
  </r>
  <r>
    <s v="TX501723"/>
    <x v="1"/>
    <x v="1"/>
    <n v="44"/>
    <x v="1155"/>
    <x v="63"/>
    <d v="2025-03-08T00:00:00"/>
    <s v="F"/>
    <x v="1"/>
    <x v="2"/>
    <x v="0"/>
    <x v="8"/>
    <x v="2"/>
    <x v="9"/>
    <x v="2"/>
  </r>
  <r>
    <s v="TX501724"/>
    <x v="0"/>
    <x v="0"/>
    <n v="21.9"/>
    <x v="731"/>
    <x v="63"/>
    <d v="2025-03-06T00:00:00"/>
    <s v="M"/>
    <x v="0"/>
    <x v="0"/>
    <x v="0"/>
    <x v="8"/>
    <x v="3"/>
    <x v="9"/>
    <x v="1"/>
  </r>
  <r>
    <s v="TX501725"/>
    <x v="4"/>
    <x v="3"/>
    <n v="21.5"/>
    <x v="379"/>
    <x v="63"/>
    <d v="2025-03-07T00:00:00"/>
    <s v="F"/>
    <x v="1"/>
    <x v="2"/>
    <x v="0"/>
    <x v="9"/>
    <x v="1"/>
    <x v="9"/>
    <x v="2"/>
  </r>
  <r>
    <s v="TX501726"/>
    <x v="12"/>
    <x v="13"/>
    <n v="133"/>
    <x v="1369"/>
    <x v="63"/>
    <d v="2025-03-06T00:00:00"/>
    <s v="O"/>
    <x v="0"/>
    <x v="2"/>
    <x v="0"/>
    <x v="10"/>
    <x v="3"/>
    <x v="9"/>
    <x v="3"/>
  </r>
  <r>
    <s v="TX501727"/>
    <x v="8"/>
    <x v="1"/>
    <n v="47.7"/>
    <x v="233"/>
    <x v="63"/>
    <d v="2025-03-09T00:00:00"/>
    <s v="M"/>
    <x v="0"/>
    <x v="2"/>
    <x v="0"/>
    <x v="10"/>
    <x v="5"/>
    <x v="9"/>
    <x v="1"/>
  </r>
  <r>
    <s v="TX501728"/>
    <x v="16"/>
    <x v="2"/>
    <n v="58.1"/>
    <x v="889"/>
    <x v="63"/>
    <d v="2025-03-06T00:00:00"/>
    <s v="F"/>
    <x v="0"/>
    <x v="0"/>
    <x v="0"/>
    <x v="11"/>
    <x v="3"/>
    <x v="9"/>
    <x v="2"/>
  </r>
  <r>
    <s v="TX501729"/>
    <x v="12"/>
    <x v="12"/>
    <n v="66.599999999999994"/>
    <x v="1370"/>
    <x v="63"/>
    <d v="2025-03-06T00:00:00"/>
    <s v=""/>
    <x v="0"/>
    <x v="0"/>
    <x v="0"/>
    <x v="11"/>
    <x v="3"/>
    <x v="9"/>
    <x v="0"/>
  </r>
  <r>
    <s v="TX501730"/>
    <x v="9"/>
    <x v="0"/>
    <n v="24.1"/>
    <x v="1057"/>
    <x v="63"/>
    <d v="2025-03-08T00:00:00"/>
    <s v="M"/>
    <x v="2"/>
    <x v="1"/>
    <x v="0"/>
    <x v="19"/>
    <x v="2"/>
    <x v="9"/>
    <x v="1"/>
  </r>
  <r>
    <s v="TX501731"/>
    <x v="10"/>
    <x v="9"/>
    <n v="51.5"/>
    <x v="1371"/>
    <x v="63"/>
    <d v="2025-03-10T00:00:00"/>
    <s v="F"/>
    <x v="0"/>
    <x v="0"/>
    <x v="0"/>
    <x v="13"/>
    <x v="0"/>
    <x v="9"/>
    <x v="2"/>
  </r>
  <r>
    <s v="TX501732"/>
    <x v="0"/>
    <x v="5"/>
    <n v="25.8"/>
    <x v="674"/>
    <x v="63"/>
    <d v="2025-03-09T00:00:00"/>
    <s v="F"/>
    <x v="3"/>
    <x v="4"/>
    <x v="0"/>
    <x v="21"/>
    <x v="5"/>
    <x v="9"/>
    <x v="2"/>
  </r>
  <r>
    <s v="TX501733"/>
    <x v="9"/>
    <x v="12"/>
    <n v="47.7"/>
    <x v="1372"/>
    <x v="63"/>
    <d v="2025-03-05T00:00:00"/>
    <s v="F"/>
    <x v="0"/>
    <x v="1"/>
    <x v="0"/>
    <x v="21"/>
    <x v="7"/>
    <x v="9"/>
    <x v="2"/>
  </r>
  <r>
    <s v="TX501734"/>
    <x v="7"/>
    <x v="9"/>
    <n v="73.599999999999994"/>
    <x v="1373"/>
    <x v="63"/>
    <d v="2025-03-09T00:00:00"/>
    <s v="M"/>
    <x v="1"/>
    <x v="0"/>
    <x v="0"/>
    <x v="21"/>
    <x v="5"/>
    <x v="9"/>
    <x v="1"/>
  </r>
  <r>
    <s v="TX501735"/>
    <x v="5"/>
    <x v="3"/>
    <n v="91.2"/>
    <x v="1374"/>
    <x v="63"/>
    <d v="2025-03-06T00:00:00"/>
    <s v="M"/>
    <x v="1"/>
    <x v="2"/>
    <x v="0"/>
    <x v="21"/>
    <x v="3"/>
    <x v="9"/>
    <x v="1"/>
  </r>
  <r>
    <s v="TX501736"/>
    <x v="1"/>
    <x v="8"/>
    <n v="36.200000000000003"/>
    <x v="1375"/>
    <x v="63"/>
    <d v="2025-03-05T00:00:00"/>
    <s v="M"/>
    <x v="2"/>
    <x v="2"/>
    <x v="0"/>
    <x v="1"/>
    <x v="7"/>
    <x v="9"/>
    <x v="1"/>
  </r>
  <r>
    <s v="TX501737"/>
    <x v="9"/>
    <x v="8"/>
    <n v="98"/>
    <x v="1376"/>
    <x v="63"/>
    <d v="2025-03-09T00:00:00"/>
    <s v="F"/>
    <x v="2"/>
    <x v="0"/>
    <x v="0"/>
    <x v="2"/>
    <x v="5"/>
    <x v="9"/>
    <x v="2"/>
  </r>
  <r>
    <s v="TX501738"/>
    <x v="1"/>
    <x v="8"/>
    <n v="43.6"/>
    <x v="1377"/>
    <x v="63"/>
    <d v="2025-03-06T00:00:00"/>
    <s v="F"/>
    <x v="2"/>
    <x v="0"/>
    <x v="0"/>
    <x v="22"/>
    <x v="3"/>
    <x v="9"/>
    <x v="2"/>
  </r>
  <r>
    <s v="TX501739"/>
    <x v="8"/>
    <x v="7"/>
    <n v="37.799999999999997"/>
    <x v="1378"/>
    <x v="63"/>
    <d v="2025-03-05T00:00:00"/>
    <s v="O"/>
    <x v="0"/>
    <x v="0"/>
    <x v="0"/>
    <x v="50"/>
    <x v="7"/>
    <x v="9"/>
    <x v="3"/>
  </r>
  <r>
    <s v="TX501740"/>
    <x v="17"/>
    <x v="9"/>
    <n v="63.7"/>
    <x v="46"/>
    <x v="63"/>
    <d v="2025-03-08T00:00:00"/>
    <s v="F"/>
    <x v="2"/>
    <x v="1"/>
    <x v="0"/>
    <x v="3"/>
    <x v="2"/>
    <x v="9"/>
    <x v="2"/>
  </r>
  <r>
    <s v="TX501741"/>
    <x v="5"/>
    <x v="11"/>
    <n v="62.9"/>
    <x v="1379"/>
    <x v="63"/>
    <d v="2025-03-10T00:00:00"/>
    <s v="M"/>
    <x v="3"/>
    <x v="2"/>
    <x v="0"/>
    <x v="3"/>
    <x v="0"/>
    <x v="9"/>
    <x v="1"/>
  </r>
  <r>
    <s v="TX501742"/>
    <x v="6"/>
    <x v="3"/>
    <n v="61.7"/>
    <x v="245"/>
    <x v="63"/>
    <d v="2025-03-08T00:00:00"/>
    <s v="F"/>
    <x v="2"/>
    <x v="2"/>
    <x v="0"/>
    <x v="3"/>
    <x v="2"/>
    <x v="9"/>
    <x v="2"/>
  </r>
  <r>
    <s v="TX501743"/>
    <x v="18"/>
    <x v="21"/>
    <n v="36.5"/>
    <x v="1380"/>
    <x v="63"/>
    <d v="2025-03-06T00:00:00"/>
    <s v="M"/>
    <x v="0"/>
    <x v="2"/>
    <x v="0"/>
    <x v="3"/>
    <x v="3"/>
    <x v="9"/>
    <x v="1"/>
  </r>
  <r>
    <s v="TX501744"/>
    <x v="11"/>
    <x v="2"/>
    <n v="98.6"/>
    <x v="1381"/>
    <x v="63"/>
    <d v="2025-03-08T00:00:00"/>
    <s v="O"/>
    <x v="0"/>
    <x v="4"/>
    <x v="0"/>
    <x v="3"/>
    <x v="2"/>
    <x v="9"/>
    <x v="3"/>
  </r>
  <r>
    <s v="TX501745"/>
    <x v="8"/>
    <x v="1"/>
    <n v="19.2"/>
    <x v="1139"/>
    <x v="63"/>
    <d v="2025-03-15T00:00:00"/>
    <s v="M"/>
    <x v="0"/>
    <x v="0"/>
    <x v="0"/>
    <x v="3"/>
    <x v="14"/>
    <x v="9"/>
    <x v="1"/>
  </r>
  <r>
    <s v="TX501746"/>
    <x v="3"/>
    <x v="13"/>
    <n v="55.6"/>
    <x v="335"/>
    <x v="63"/>
    <d v="2025-03-09T00:00:00"/>
    <s v="F"/>
    <x v="0"/>
    <x v="2"/>
    <x v="0"/>
    <x v="3"/>
    <x v="5"/>
    <x v="9"/>
    <x v="2"/>
  </r>
  <r>
    <s v="TX501747"/>
    <x v="5"/>
    <x v="13"/>
    <n v="56.4"/>
    <x v="1382"/>
    <x v="63"/>
    <d v="2025-03-06T00:00:00"/>
    <s v="F"/>
    <x v="1"/>
    <x v="0"/>
    <x v="0"/>
    <x v="3"/>
    <x v="3"/>
    <x v="9"/>
    <x v="2"/>
  </r>
  <r>
    <s v="TX501748"/>
    <x v="4"/>
    <x v="8"/>
    <n v="43.1"/>
    <x v="1383"/>
    <x v="63"/>
    <d v="2025-03-09T00:00:00"/>
    <s v="F"/>
    <x v="4"/>
    <x v="0"/>
    <x v="0"/>
    <x v="3"/>
    <x v="5"/>
    <x v="9"/>
    <x v="2"/>
  </r>
  <r>
    <s v="TX501749"/>
    <x v="1"/>
    <x v="1"/>
    <n v="77.3"/>
    <x v="1384"/>
    <x v="63"/>
    <d v="2025-03-07T00:00:00"/>
    <s v="M"/>
    <x v="0"/>
    <x v="0"/>
    <x v="0"/>
    <x v="6"/>
    <x v="1"/>
    <x v="9"/>
    <x v="1"/>
  </r>
  <r>
    <s v="TX501750"/>
    <x v="9"/>
    <x v="8"/>
    <n v="38.299999999999997"/>
    <x v="1347"/>
    <x v="63"/>
    <d v="2025-03-06T00:00:00"/>
    <s v="M"/>
    <x v="0"/>
    <x v="0"/>
    <x v="0"/>
    <x v="7"/>
    <x v="3"/>
    <x v="9"/>
    <x v="1"/>
  </r>
  <r>
    <s v="TX501751"/>
    <x v="0"/>
    <x v="3"/>
    <n v="16.8"/>
    <x v="557"/>
    <x v="63"/>
    <d v="2025-03-08T00:00:00"/>
    <s v="M"/>
    <x v="2"/>
    <x v="1"/>
    <x v="0"/>
    <x v="8"/>
    <x v="2"/>
    <x v="9"/>
    <x v="1"/>
  </r>
  <r>
    <s v="TX501752"/>
    <x v="2"/>
    <x v="2"/>
    <n v="63.2"/>
    <x v="1385"/>
    <x v="63"/>
    <d v="2025-03-06T00:00:00"/>
    <s v="F"/>
    <x v="0"/>
    <x v="2"/>
    <x v="0"/>
    <x v="8"/>
    <x v="3"/>
    <x v="9"/>
    <x v="2"/>
  </r>
  <r>
    <s v="TX501753"/>
    <x v="14"/>
    <x v="44"/>
    <n v="39.700000000000003"/>
    <x v="1386"/>
    <x v="63"/>
    <d v="2025-03-06T00:00:00"/>
    <s v="M"/>
    <x v="0"/>
    <x v="0"/>
    <x v="0"/>
    <x v="8"/>
    <x v="3"/>
    <x v="9"/>
    <x v="1"/>
  </r>
  <r>
    <s v="TX501754"/>
    <x v="10"/>
    <x v="2"/>
    <n v="45.8"/>
    <x v="1387"/>
    <x v="63"/>
    <d v="2025-03-06T00:00:00"/>
    <s v="F"/>
    <x v="1"/>
    <x v="2"/>
    <x v="0"/>
    <x v="8"/>
    <x v="3"/>
    <x v="9"/>
    <x v="2"/>
  </r>
  <r>
    <s v="TX501755"/>
    <x v="0"/>
    <x v="13"/>
    <n v="12.4"/>
    <x v="610"/>
    <x v="63"/>
    <d v="2025-03-08T00:00:00"/>
    <s v="M"/>
    <x v="0"/>
    <x v="0"/>
    <x v="0"/>
    <x v="8"/>
    <x v="2"/>
    <x v="9"/>
    <x v="1"/>
  </r>
  <r>
    <s v="TX501756"/>
    <x v="14"/>
    <x v="2"/>
    <n v="50.8"/>
    <x v="1388"/>
    <x v="64"/>
    <d v="2025-03-06T00:00:00"/>
    <s v="F"/>
    <x v="4"/>
    <x v="0"/>
    <x v="0"/>
    <x v="17"/>
    <x v="7"/>
    <x v="9"/>
    <x v="2"/>
  </r>
  <r>
    <s v="TX501757"/>
    <x v="9"/>
    <x v="0"/>
    <n v="76"/>
    <x v="998"/>
    <x v="64"/>
    <d v="2025-03-10T00:00:00"/>
    <s v="O"/>
    <x v="2"/>
    <x v="2"/>
    <x v="0"/>
    <x v="17"/>
    <x v="5"/>
    <x v="9"/>
    <x v="3"/>
  </r>
  <r>
    <s v="TX501758"/>
    <x v="1"/>
    <x v="1"/>
    <n v="51.9"/>
    <x v="1389"/>
    <x v="64"/>
    <d v="2025-03-07T00:00:00"/>
    <s v="M"/>
    <x v="1"/>
    <x v="2"/>
    <x v="0"/>
    <x v="26"/>
    <x v="3"/>
    <x v="9"/>
    <x v="1"/>
  </r>
  <r>
    <s v="TX501759"/>
    <x v="2"/>
    <x v="1"/>
    <n v="93.4"/>
    <x v="1390"/>
    <x v="64"/>
    <d v="2025-03-13T00:00:00"/>
    <s v="M"/>
    <x v="0"/>
    <x v="3"/>
    <x v="0"/>
    <x v="11"/>
    <x v="6"/>
    <x v="9"/>
    <x v="1"/>
  </r>
  <r>
    <s v="TX501760"/>
    <x v="7"/>
    <x v="13"/>
    <n v="30.8"/>
    <x v="827"/>
    <x v="64"/>
    <d v="2025-03-09T00:00:00"/>
    <s v="F"/>
    <x v="1"/>
    <x v="0"/>
    <x v="0"/>
    <x v="11"/>
    <x v="2"/>
    <x v="9"/>
    <x v="2"/>
  </r>
  <r>
    <s v="TX501761"/>
    <x v="2"/>
    <x v="0"/>
    <n v="143.19999999999999"/>
    <x v="1391"/>
    <x v="64"/>
    <d v="2025-03-09T00:00:00"/>
    <s v="M"/>
    <x v="2"/>
    <x v="0"/>
    <x v="0"/>
    <x v="11"/>
    <x v="2"/>
    <x v="9"/>
    <x v="1"/>
  </r>
  <r>
    <s v="TX501762"/>
    <x v="6"/>
    <x v="5"/>
    <n v="40.4"/>
    <x v="1392"/>
    <x v="64"/>
    <d v="2025-03-08T00:00:00"/>
    <s v="M"/>
    <x v="2"/>
    <x v="2"/>
    <x v="0"/>
    <x v="18"/>
    <x v="1"/>
    <x v="9"/>
    <x v="1"/>
  </r>
  <r>
    <s v="TX501763"/>
    <x v="2"/>
    <x v="10"/>
    <n v="131.5"/>
    <x v="1393"/>
    <x v="64"/>
    <d v="2025-03-08T00:00:00"/>
    <s v="M"/>
    <x v="1"/>
    <x v="1"/>
    <x v="0"/>
    <x v="18"/>
    <x v="1"/>
    <x v="9"/>
    <x v="1"/>
  </r>
  <r>
    <s v="TX501764"/>
    <x v="18"/>
    <x v="3"/>
    <n v="61.6"/>
    <x v="348"/>
    <x v="64"/>
    <d v="2025-03-07T00:00:00"/>
    <s v="M"/>
    <x v="2"/>
    <x v="0"/>
    <x v="0"/>
    <x v="21"/>
    <x v="3"/>
    <x v="9"/>
    <x v="1"/>
  </r>
  <r>
    <s v="TX501765"/>
    <x v="9"/>
    <x v="9"/>
    <n v="32.700000000000003"/>
    <x v="838"/>
    <x v="64"/>
    <d v="2025-03-08T00:00:00"/>
    <s v="M"/>
    <x v="2"/>
    <x v="0"/>
    <x v="0"/>
    <x v="1"/>
    <x v="1"/>
    <x v="9"/>
    <x v="1"/>
  </r>
  <r>
    <s v="TX501766"/>
    <x v="0"/>
    <x v="7"/>
    <n v="13.7"/>
    <x v="383"/>
    <x v="64"/>
    <d v="2025-03-07T00:00:00"/>
    <s v="M"/>
    <x v="0"/>
    <x v="2"/>
    <x v="0"/>
    <x v="3"/>
    <x v="3"/>
    <x v="9"/>
    <x v="1"/>
  </r>
  <r>
    <s v="TX501767"/>
    <x v="0"/>
    <x v="12"/>
    <n v="32.1"/>
    <x v="58"/>
    <x v="64"/>
    <d v="2025-03-07T00:00:00"/>
    <s v="M"/>
    <x v="4"/>
    <x v="1"/>
    <x v="0"/>
    <x v="3"/>
    <x v="3"/>
    <x v="9"/>
    <x v="1"/>
  </r>
  <r>
    <s v="TX501768"/>
    <x v="14"/>
    <x v="8"/>
    <n v="12"/>
    <x v="854"/>
    <x v="64"/>
    <d v="2025-03-07T00:00:00"/>
    <s v="M"/>
    <x v="1"/>
    <x v="0"/>
    <x v="0"/>
    <x v="24"/>
    <x v="3"/>
    <x v="9"/>
    <x v="1"/>
  </r>
  <r>
    <s v="TX501769"/>
    <x v="12"/>
    <x v="0"/>
    <n v="64.3"/>
    <x v="1394"/>
    <x v="64"/>
    <d v="2025-03-08T00:00:00"/>
    <s v="F"/>
    <x v="2"/>
    <x v="2"/>
    <x v="0"/>
    <x v="6"/>
    <x v="1"/>
    <x v="9"/>
    <x v="2"/>
  </r>
  <r>
    <s v="TX501770"/>
    <x v="1"/>
    <x v="2"/>
    <n v="58.2"/>
    <x v="1395"/>
    <x v="64"/>
    <d v="2025-03-08T00:00:00"/>
    <s v="F"/>
    <x v="1"/>
    <x v="2"/>
    <x v="0"/>
    <x v="6"/>
    <x v="1"/>
    <x v="9"/>
    <x v="2"/>
  </r>
  <r>
    <s v="TX501771"/>
    <x v="6"/>
    <x v="12"/>
    <n v="59.2"/>
    <x v="1396"/>
    <x v="64"/>
    <d v="2025-03-06T00:00:00"/>
    <s v="M"/>
    <x v="1"/>
    <x v="2"/>
    <x v="0"/>
    <x v="6"/>
    <x v="7"/>
    <x v="9"/>
    <x v="1"/>
  </r>
  <r>
    <s v="TX501772"/>
    <x v="10"/>
    <x v="5"/>
    <n v="35.6"/>
    <x v="590"/>
    <x v="64"/>
    <d v="2025-03-13T00:00:00"/>
    <s v="M"/>
    <x v="0"/>
    <x v="2"/>
    <x v="0"/>
    <x v="8"/>
    <x v="6"/>
    <x v="9"/>
    <x v="1"/>
  </r>
  <r>
    <s v="TX501773"/>
    <x v="16"/>
    <x v="8"/>
    <n v="37"/>
    <x v="1397"/>
    <x v="64"/>
    <d v="2025-03-10T00:00:00"/>
    <s v="F"/>
    <x v="2"/>
    <x v="1"/>
    <x v="0"/>
    <x v="8"/>
    <x v="5"/>
    <x v="9"/>
    <x v="2"/>
  </r>
  <r>
    <s v="TX501774"/>
    <x v="1"/>
    <x v="15"/>
    <n v="80.8"/>
    <x v="1398"/>
    <x v="64"/>
    <d v="2025-03-08T00:00:00"/>
    <s v="F"/>
    <x v="0"/>
    <x v="0"/>
    <x v="0"/>
    <x v="8"/>
    <x v="1"/>
    <x v="9"/>
    <x v="2"/>
  </r>
  <r>
    <s v="TX501775"/>
    <x v="8"/>
    <x v="1"/>
    <n v="63.2"/>
    <x v="628"/>
    <x v="64"/>
    <d v="2025-03-07T00:00:00"/>
    <s v="M"/>
    <x v="0"/>
    <x v="1"/>
    <x v="0"/>
    <x v="8"/>
    <x v="3"/>
    <x v="9"/>
    <x v="1"/>
  </r>
  <r>
    <s v="TX501776"/>
    <x v="3"/>
    <x v="1"/>
    <n v="40.799999999999997"/>
    <x v="330"/>
    <x v="64"/>
    <d v="2025-03-08T00:00:00"/>
    <s v="M"/>
    <x v="0"/>
    <x v="1"/>
    <x v="0"/>
    <x v="17"/>
    <x v="1"/>
    <x v="9"/>
    <x v="1"/>
  </r>
  <r>
    <s v="TX501777"/>
    <x v="13"/>
    <x v="13"/>
    <n v="25.7"/>
    <x v="1399"/>
    <x v="64"/>
    <d v="2025-03-08T00:00:00"/>
    <s v="M"/>
    <x v="4"/>
    <x v="0"/>
    <x v="0"/>
    <x v="18"/>
    <x v="1"/>
    <x v="9"/>
    <x v="1"/>
  </r>
  <r>
    <s v="TX501778"/>
    <x v="16"/>
    <x v="1"/>
    <n v="49.9"/>
    <x v="350"/>
    <x v="64"/>
    <d v="2025-03-09T00:00:00"/>
    <s v="M"/>
    <x v="0"/>
    <x v="0"/>
    <x v="0"/>
    <x v="20"/>
    <x v="2"/>
    <x v="9"/>
    <x v="1"/>
  </r>
  <r>
    <s v="TX501779"/>
    <x v="8"/>
    <x v="1"/>
    <n v="20.2"/>
    <x v="1400"/>
    <x v="64"/>
    <d v="2025-03-08T00:00:00"/>
    <s v="F"/>
    <x v="3"/>
    <x v="0"/>
    <x v="0"/>
    <x v="21"/>
    <x v="1"/>
    <x v="9"/>
    <x v="2"/>
  </r>
  <r>
    <s v="TX501780"/>
    <x v="6"/>
    <x v="2"/>
    <n v="48.4"/>
    <x v="1401"/>
    <x v="64"/>
    <d v="2025-03-11T00:00:00"/>
    <s v="F"/>
    <x v="0"/>
    <x v="2"/>
    <x v="0"/>
    <x v="21"/>
    <x v="0"/>
    <x v="9"/>
    <x v="2"/>
  </r>
  <r>
    <s v="TX501781"/>
    <x v="6"/>
    <x v="1"/>
    <n v="81"/>
    <x v="915"/>
    <x v="64"/>
    <d v="2025-03-07T00:00:00"/>
    <s v="F"/>
    <x v="1"/>
    <x v="2"/>
    <x v="0"/>
    <x v="21"/>
    <x v="3"/>
    <x v="9"/>
    <x v="2"/>
  </r>
  <r>
    <s v="TX501782"/>
    <x v="8"/>
    <x v="13"/>
    <n v="19.899999999999999"/>
    <x v="1402"/>
    <x v="64"/>
    <d v="2025-03-09T00:00:00"/>
    <s v="F"/>
    <x v="0"/>
    <x v="1"/>
    <x v="0"/>
    <x v="22"/>
    <x v="2"/>
    <x v="9"/>
    <x v="2"/>
  </r>
  <r>
    <s v="TX501783"/>
    <x v="4"/>
    <x v="12"/>
    <n v="32.200000000000003"/>
    <x v="1403"/>
    <x v="64"/>
    <d v="2025-03-16T00:00:00"/>
    <s v="M"/>
    <x v="0"/>
    <x v="0"/>
    <x v="0"/>
    <x v="22"/>
    <x v="14"/>
    <x v="9"/>
    <x v="1"/>
  </r>
  <r>
    <s v="TX501784"/>
    <x v="5"/>
    <x v="2"/>
    <n v="76.8"/>
    <x v="1404"/>
    <x v="64"/>
    <d v="2025-03-07T00:00:00"/>
    <s v="F"/>
    <x v="0"/>
    <x v="1"/>
    <x v="0"/>
    <x v="3"/>
    <x v="3"/>
    <x v="9"/>
    <x v="2"/>
  </r>
  <r>
    <s v="TX501785"/>
    <x v="6"/>
    <x v="1"/>
    <n v="41.9"/>
    <x v="1405"/>
    <x v="64"/>
    <d v="2025-03-08T00:00:00"/>
    <s v="F"/>
    <x v="0"/>
    <x v="0"/>
    <x v="0"/>
    <x v="3"/>
    <x v="1"/>
    <x v="9"/>
    <x v="2"/>
  </r>
  <r>
    <s v="TX501786"/>
    <x v="0"/>
    <x v="3"/>
    <n v="34"/>
    <x v="1248"/>
    <x v="64"/>
    <d v="2025-03-08T00:00:00"/>
    <s v="F"/>
    <x v="1"/>
    <x v="2"/>
    <x v="0"/>
    <x v="3"/>
    <x v="1"/>
    <x v="9"/>
    <x v="2"/>
  </r>
  <r>
    <s v="TX501787"/>
    <x v="7"/>
    <x v="3"/>
    <n v="61.3"/>
    <x v="1406"/>
    <x v="64"/>
    <d v="2025-03-06T00:00:00"/>
    <s v="F"/>
    <x v="4"/>
    <x v="2"/>
    <x v="0"/>
    <x v="3"/>
    <x v="7"/>
    <x v="9"/>
    <x v="2"/>
  </r>
  <r>
    <s v="TX501788"/>
    <x v="9"/>
    <x v="0"/>
    <n v="54.7"/>
    <x v="1407"/>
    <x v="65"/>
    <d v="2025-03-08T00:00:00"/>
    <s v="M"/>
    <x v="0"/>
    <x v="1"/>
    <x v="0"/>
    <x v="3"/>
    <x v="3"/>
    <x v="9"/>
    <x v="1"/>
  </r>
  <r>
    <s v="TX501789"/>
    <x v="6"/>
    <x v="7"/>
    <n v="84.7"/>
    <x v="1408"/>
    <x v="65"/>
    <d v="2025-03-11T00:00:00"/>
    <s v="F"/>
    <x v="0"/>
    <x v="0"/>
    <x v="0"/>
    <x v="3"/>
    <x v="5"/>
    <x v="9"/>
    <x v="2"/>
  </r>
  <r>
    <s v="TX501790"/>
    <x v="1"/>
    <x v="2"/>
    <n v="93.4"/>
    <x v="1409"/>
    <x v="65"/>
    <d v="2025-03-11T00:00:00"/>
    <s v="F"/>
    <x v="3"/>
    <x v="0"/>
    <x v="0"/>
    <x v="3"/>
    <x v="5"/>
    <x v="9"/>
    <x v="2"/>
  </r>
  <r>
    <s v="TX501791"/>
    <x v="8"/>
    <x v="9"/>
    <n v="27"/>
    <x v="340"/>
    <x v="65"/>
    <d v="2025-03-10T00:00:00"/>
    <s v="M"/>
    <x v="0"/>
    <x v="1"/>
    <x v="0"/>
    <x v="3"/>
    <x v="2"/>
    <x v="9"/>
    <x v="1"/>
  </r>
  <r>
    <s v="TX501792"/>
    <x v="0"/>
    <x v="12"/>
    <n v="10.9"/>
    <x v="1195"/>
    <x v="65"/>
    <d v="2025-03-08T00:00:00"/>
    <s v="M"/>
    <x v="2"/>
    <x v="0"/>
    <x v="0"/>
    <x v="3"/>
    <x v="3"/>
    <x v="9"/>
    <x v="1"/>
  </r>
  <r>
    <s v="TX501793"/>
    <x v="16"/>
    <x v="2"/>
    <n v="48"/>
    <x v="1410"/>
    <x v="65"/>
    <d v="2025-03-12T00:00:00"/>
    <s v="F"/>
    <x v="4"/>
    <x v="0"/>
    <x v="0"/>
    <x v="3"/>
    <x v="0"/>
    <x v="9"/>
    <x v="2"/>
  </r>
  <r>
    <s v="TX501794"/>
    <x v="5"/>
    <x v="1"/>
    <n v="67.900000000000006"/>
    <x v="1411"/>
    <x v="65"/>
    <d v="2025-03-08T00:00:00"/>
    <s v="M"/>
    <x v="0"/>
    <x v="2"/>
    <x v="0"/>
    <x v="23"/>
    <x v="3"/>
    <x v="9"/>
    <x v="1"/>
  </r>
  <r>
    <s v="TX501795"/>
    <x v="4"/>
    <x v="2"/>
    <n v="36"/>
    <x v="807"/>
    <x v="65"/>
    <d v="2025-03-08T00:00:00"/>
    <s v="M"/>
    <x v="1"/>
    <x v="0"/>
    <x v="0"/>
    <x v="6"/>
    <x v="3"/>
    <x v="9"/>
    <x v="1"/>
  </r>
  <r>
    <s v="TX501796"/>
    <x v="2"/>
    <x v="0"/>
    <n v="128.80000000000001"/>
    <x v="1403"/>
    <x v="65"/>
    <d v="2025-03-08T00:00:00"/>
    <s v="M"/>
    <x v="4"/>
    <x v="2"/>
    <x v="0"/>
    <x v="6"/>
    <x v="3"/>
    <x v="9"/>
    <x v="1"/>
  </r>
  <r>
    <s v="TX501797"/>
    <x v="18"/>
    <x v="3"/>
    <n v="33.299999999999997"/>
    <x v="1412"/>
    <x v="65"/>
    <d v="2025-03-08T00:00:00"/>
    <s v="F"/>
    <x v="3"/>
    <x v="0"/>
    <x v="0"/>
    <x v="8"/>
    <x v="3"/>
    <x v="9"/>
    <x v="2"/>
  </r>
  <r>
    <s v="TX501798"/>
    <x v="10"/>
    <x v="2"/>
    <n v="37.799999999999997"/>
    <x v="1413"/>
    <x v="65"/>
    <d v="2025-03-09T00:00:00"/>
    <s v="M"/>
    <x v="1"/>
    <x v="2"/>
    <x v="0"/>
    <x v="8"/>
    <x v="1"/>
    <x v="9"/>
    <x v="1"/>
  </r>
  <r>
    <s v="TX501799"/>
    <x v="5"/>
    <x v="2"/>
    <n v="26"/>
    <x v="292"/>
    <x v="65"/>
    <d v="2025-03-12T00:00:00"/>
    <s v="F"/>
    <x v="0"/>
    <x v="0"/>
    <x v="0"/>
    <x v="8"/>
    <x v="0"/>
    <x v="9"/>
    <x v="2"/>
  </r>
  <r>
    <s v="TX501800"/>
    <x v="8"/>
    <x v="10"/>
    <n v="28.3"/>
    <x v="1414"/>
    <x v="65"/>
    <d v="2025-03-08T00:00:00"/>
    <s v="F"/>
    <x v="3"/>
    <x v="4"/>
    <x v="0"/>
    <x v="8"/>
    <x v="3"/>
    <x v="9"/>
    <x v="2"/>
  </r>
  <r>
    <s v="TX501801"/>
    <x v="8"/>
    <x v="12"/>
    <n v="31.3"/>
    <x v="1415"/>
    <x v="65"/>
    <d v="2025-03-07T00:00:00"/>
    <s v="F"/>
    <x v="0"/>
    <x v="0"/>
    <x v="0"/>
    <x v="8"/>
    <x v="7"/>
    <x v="9"/>
    <x v="2"/>
  </r>
  <r>
    <s v="TX501802"/>
    <x v="7"/>
    <x v="2"/>
    <n v="69.5"/>
    <x v="1416"/>
    <x v="65"/>
    <d v="2025-03-08T00:00:00"/>
    <s v="F"/>
    <x v="3"/>
    <x v="2"/>
    <x v="0"/>
    <x v="8"/>
    <x v="3"/>
    <x v="9"/>
    <x v="2"/>
  </r>
  <r>
    <s v="TX501803"/>
    <x v="0"/>
    <x v="1"/>
    <n v="16.7"/>
    <x v="1417"/>
    <x v="65"/>
    <d v="2025-03-08T00:00:00"/>
    <s v="F"/>
    <x v="3"/>
    <x v="1"/>
    <x v="0"/>
    <x v="8"/>
    <x v="3"/>
    <x v="9"/>
    <x v="2"/>
  </r>
  <r>
    <s v="TX501804"/>
    <x v="9"/>
    <x v="1"/>
    <n v="62.6"/>
    <x v="1415"/>
    <x v="65"/>
    <d v="2025-03-08T00:00:00"/>
    <s v="M"/>
    <x v="2"/>
    <x v="2"/>
    <x v="0"/>
    <x v="9"/>
    <x v="3"/>
    <x v="9"/>
    <x v="1"/>
  </r>
  <r>
    <s v="TX501805"/>
    <x v="7"/>
    <x v="0"/>
    <n v="81.2"/>
    <x v="1101"/>
    <x v="65"/>
    <d v="2025-03-13T00:00:00"/>
    <s v="M"/>
    <x v="4"/>
    <x v="4"/>
    <x v="0"/>
    <x v="9"/>
    <x v="4"/>
    <x v="9"/>
    <x v="1"/>
  </r>
  <r>
    <s v="TX501806"/>
    <x v="0"/>
    <x v="7"/>
    <n v="12.7"/>
    <x v="520"/>
    <x v="65"/>
    <d v="2025-03-08T00:00:00"/>
    <s v="F"/>
    <x v="0"/>
    <x v="2"/>
    <x v="0"/>
    <x v="9"/>
    <x v="3"/>
    <x v="9"/>
    <x v="2"/>
  </r>
  <r>
    <s v="TX501807"/>
    <x v="7"/>
    <x v="12"/>
    <n v="77.7"/>
    <x v="1418"/>
    <x v="66"/>
    <d v="2025-03-12T00:00:00"/>
    <s v="M"/>
    <x v="1"/>
    <x v="0"/>
    <x v="0"/>
    <x v="11"/>
    <x v="5"/>
    <x v="9"/>
    <x v="1"/>
  </r>
  <r>
    <s v="TX501808"/>
    <x v="5"/>
    <x v="1"/>
    <n v="37.299999999999997"/>
    <x v="110"/>
    <x v="66"/>
    <d v="2025-03-09T00:00:00"/>
    <s v="F"/>
    <x v="0"/>
    <x v="2"/>
    <x v="0"/>
    <x v="18"/>
    <x v="3"/>
    <x v="9"/>
    <x v="2"/>
  </r>
  <r>
    <s v="TX501809"/>
    <x v="10"/>
    <x v="12"/>
    <n v="35.6"/>
    <x v="1419"/>
    <x v="66"/>
    <d v="2025-03-10T00:00:00"/>
    <s v="F"/>
    <x v="1"/>
    <x v="1"/>
    <x v="0"/>
    <x v="19"/>
    <x v="1"/>
    <x v="9"/>
    <x v="2"/>
  </r>
  <r>
    <s v="TX501810"/>
    <x v="2"/>
    <x v="2"/>
    <n v="95"/>
    <x v="1420"/>
    <x v="66"/>
    <d v="2025-03-12T00:00:00"/>
    <s v="F"/>
    <x v="2"/>
    <x v="2"/>
    <x v="0"/>
    <x v="56"/>
    <x v="5"/>
    <x v="9"/>
    <x v="2"/>
  </r>
  <r>
    <s v="TX501811"/>
    <x v="2"/>
    <x v="12"/>
    <n v="172.1"/>
    <x v="1421"/>
    <x v="66"/>
    <d v="2025-03-12T00:00:00"/>
    <s v="O"/>
    <x v="2"/>
    <x v="2"/>
    <x v="0"/>
    <x v="21"/>
    <x v="5"/>
    <x v="9"/>
    <x v="3"/>
  </r>
  <r>
    <s v="TX501812"/>
    <x v="2"/>
    <x v="1"/>
    <n v="233"/>
    <x v="1147"/>
    <x v="66"/>
    <d v="2025-03-11T00:00:00"/>
    <s v="F"/>
    <x v="1"/>
    <x v="0"/>
    <x v="0"/>
    <x v="21"/>
    <x v="2"/>
    <x v="9"/>
    <x v="2"/>
  </r>
  <r>
    <s v="TX501813"/>
    <x v="0"/>
    <x v="0"/>
    <n v="43.5"/>
    <x v="1422"/>
    <x v="66"/>
    <d v="2025-03-09T00:00:00"/>
    <s v="F"/>
    <x v="2"/>
    <x v="2"/>
    <x v="0"/>
    <x v="21"/>
    <x v="3"/>
    <x v="9"/>
    <x v="2"/>
  </r>
  <r>
    <s v="TX501814"/>
    <x v="9"/>
    <x v="1"/>
    <n v="47.8"/>
    <x v="139"/>
    <x v="66"/>
    <d v="2025-03-11T00:00:00"/>
    <s v="M"/>
    <x v="4"/>
    <x v="2"/>
    <x v="0"/>
    <x v="1"/>
    <x v="2"/>
    <x v="9"/>
    <x v="1"/>
  </r>
  <r>
    <s v="TX501815"/>
    <x v="12"/>
    <x v="1"/>
    <n v="65.8"/>
    <x v="1423"/>
    <x v="66"/>
    <d v="2025-03-10T00:00:00"/>
    <s v="F"/>
    <x v="0"/>
    <x v="3"/>
    <x v="0"/>
    <x v="33"/>
    <x v="1"/>
    <x v="9"/>
    <x v="2"/>
  </r>
  <r>
    <s v="TX501816"/>
    <x v="15"/>
    <x v="5"/>
    <n v="38.700000000000003"/>
    <x v="1424"/>
    <x v="66"/>
    <d v="2025-03-08T00:00:00"/>
    <s v="M"/>
    <x v="0"/>
    <x v="0"/>
    <x v="0"/>
    <x v="22"/>
    <x v="7"/>
    <x v="9"/>
    <x v="1"/>
  </r>
  <r>
    <s v="TX501817"/>
    <x v="3"/>
    <x v="12"/>
    <n v="55.7"/>
    <x v="839"/>
    <x v="66"/>
    <d v="2025-03-10T00:00:00"/>
    <s v="O"/>
    <x v="0"/>
    <x v="1"/>
    <x v="0"/>
    <x v="22"/>
    <x v="1"/>
    <x v="9"/>
    <x v="3"/>
  </r>
  <r>
    <s v="TX501818"/>
    <x v="7"/>
    <x v="1"/>
    <n v="102.4"/>
    <x v="403"/>
    <x v="66"/>
    <d v="2025-03-08T00:00:00"/>
    <s v="F"/>
    <x v="1"/>
    <x v="0"/>
    <x v="0"/>
    <x v="3"/>
    <x v="7"/>
    <x v="9"/>
    <x v="2"/>
  </r>
  <r>
    <s v="TX501819"/>
    <x v="1"/>
    <x v="0"/>
    <n v="92"/>
    <x v="988"/>
    <x v="66"/>
    <d v="2025-03-12T00:00:00"/>
    <s v=""/>
    <x v="2"/>
    <x v="0"/>
    <x v="0"/>
    <x v="3"/>
    <x v="5"/>
    <x v="9"/>
    <x v="0"/>
  </r>
  <r>
    <s v="TX501820"/>
    <x v="6"/>
    <x v="12"/>
    <n v="75.900000000000006"/>
    <x v="80"/>
    <x v="66"/>
    <d v="2025-03-10T00:00:00"/>
    <s v="F"/>
    <x v="1"/>
    <x v="0"/>
    <x v="0"/>
    <x v="3"/>
    <x v="1"/>
    <x v="9"/>
    <x v="2"/>
  </r>
  <r>
    <s v="TX501821"/>
    <x v="1"/>
    <x v="12"/>
    <n v="36.200000000000003"/>
    <x v="353"/>
    <x v="66"/>
    <d v="2025-03-09T00:00:00"/>
    <s v="F"/>
    <x v="1"/>
    <x v="0"/>
    <x v="0"/>
    <x v="3"/>
    <x v="3"/>
    <x v="9"/>
    <x v="2"/>
  </r>
  <r>
    <s v="TX501822"/>
    <x v="6"/>
    <x v="45"/>
    <n v="83.5"/>
    <x v="1425"/>
    <x v="66"/>
    <d v="2025-03-10T00:00:00"/>
    <s v=""/>
    <x v="3"/>
    <x v="0"/>
    <x v="0"/>
    <x v="3"/>
    <x v="1"/>
    <x v="9"/>
    <x v="0"/>
  </r>
  <r>
    <s v="TX501823"/>
    <x v="19"/>
    <x v="4"/>
    <n v="52.4"/>
    <x v="1092"/>
    <x v="66"/>
    <d v="2025-03-08T00:00:00"/>
    <s v="M"/>
    <x v="2"/>
    <x v="0"/>
    <x v="0"/>
    <x v="3"/>
    <x v="7"/>
    <x v="9"/>
    <x v="1"/>
  </r>
  <r>
    <s v="TX501824"/>
    <x v="12"/>
    <x v="2"/>
    <n v="69.5"/>
    <x v="1416"/>
    <x v="66"/>
    <d v="2025-03-09T00:00:00"/>
    <s v="O"/>
    <x v="4"/>
    <x v="0"/>
    <x v="0"/>
    <x v="3"/>
    <x v="3"/>
    <x v="9"/>
    <x v="3"/>
  </r>
  <r>
    <s v="TX501825"/>
    <x v="0"/>
    <x v="0"/>
    <n v="15.5"/>
    <x v="1426"/>
    <x v="66"/>
    <d v="2025-03-10T00:00:00"/>
    <s v="M"/>
    <x v="0"/>
    <x v="0"/>
    <x v="0"/>
    <x v="3"/>
    <x v="1"/>
    <x v="9"/>
    <x v="1"/>
  </r>
  <r>
    <s v="TX501826"/>
    <x v="4"/>
    <x v="12"/>
    <n v="35.200000000000003"/>
    <x v="1427"/>
    <x v="66"/>
    <d v="2025-03-09T00:00:00"/>
    <s v="F"/>
    <x v="2"/>
    <x v="2"/>
    <x v="0"/>
    <x v="3"/>
    <x v="3"/>
    <x v="9"/>
    <x v="2"/>
  </r>
  <r>
    <s v="TX501827"/>
    <x v="8"/>
    <x v="13"/>
    <n v="34.6"/>
    <x v="1428"/>
    <x v="66"/>
    <d v="2025-03-09T00:00:00"/>
    <s v=""/>
    <x v="0"/>
    <x v="1"/>
    <x v="0"/>
    <x v="3"/>
    <x v="3"/>
    <x v="9"/>
    <x v="0"/>
  </r>
  <r>
    <s v="TX501828"/>
    <x v="4"/>
    <x v="0"/>
    <n v="21.3"/>
    <x v="1429"/>
    <x v="67"/>
    <d v="2025-03-10T00:00:00"/>
    <s v="M"/>
    <x v="2"/>
    <x v="1"/>
    <x v="0"/>
    <x v="3"/>
    <x v="3"/>
    <x v="10"/>
    <x v="1"/>
  </r>
  <r>
    <s v="TX501829"/>
    <x v="6"/>
    <x v="1"/>
    <n v="136.5"/>
    <x v="1430"/>
    <x v="67"/>
    <d v="2025-03-15T00:00:00"/>
    <s v="F"/>
    <x v="0"/>
    <x v="0"/>
    <x v="0"/>
    <x v="37"/>
    <x v="4"/>
    <x v="10"/>
    <x v="2"/>
  </r>
  <r>
    <s v="TX501830"/>
    <x v="9"/>
    <x v="3"/>
    <n v="30.7"/>
    <x v="1431"/>
    <x v="67"/>
    <d v="2025-03-10T00:00:00"/>
    <s v="M"/>
    <x v="2"/>
    <x v="2"/>
    <x v="0"/>
    <x v="25"/>
    <x v="3"/>
    <x v="10"/>
    <x v="1"/>
  </r>
  <r>
    <s v="TX501831"/>
    <x v="1"/>
    <x v="1"/>
    <n v="61.6"/>
    <x v="1432"/>
    <x v="67"/>
    <d v="2025-03-10T00:00:00"/>
    <s v="F"/>
    <x v="2"/>
    <x v="2"/>
    <x v="0"/>
    <x v="23"/>
    <x v="3"/>
    <x v="10"/>
    <x v="2"/>
  </r>
  <r>
    <s v="TX501832"/>
    <x v="6"/>
    <x v="12"/>
    <n v="54.3"/>
    <x v="1433"/>
    <x v="67"/>
    <d v="2025-03-11T00:00:00"/>
    <s v=""/>
    <x v="4"/>
    <x v="0"/>
    <x v="0"/>
    <x v="7"/>
    <x v="1"/>
    <x v="10"/>
    <x v="0"/>
  </r>
  <r>
    <s v="TX501833"/>
    <x v="1"/>
    <x v="1"/>
    <n v="44.1"/>
    <x v="1047"/>
    <x v="67"/>
    <d v="2025-03-21T00:00:00"/>
    <s v="F"/>
    <x v="0"/>
    <x v="2"/>
    <x v="0"/>
    <x v="8"/>
    <x v="13"/>
    <x v="10"/>
    <x v="2"/>
  </r>
  <r>
    <s v="TX501834"/>
    <x v="8"/>
    <x v="12"/>
    <n v="43.5"/>
    <x v="1434"/>
    <x v="67"/>
    <d v="2025-03-15T00:00:00"/>
    <s v="M"/>
    <x v="3"/>
    <x v="0"/>
    <x v="0"/>
    <x v="8"/>
    <x v="4"/>
    <x v="10"/>
    <x v="1"/>
  </r>
  <r>
    <s v="TX501835"/>
    <x v="8"/>
    <x v="2"/>
    <n v="48.2"/>
    <x v="1435"/>
    <x v="67"/>
    <d v="2025-03-13T00:00:00"/>
    <s v="M"/>
    <x v="3"/>
    <x v="1"/>
    <x v="0"/>
    <x v="8"/>
    <x v="5"/>
    <x v="10"/>
    <x v="1"/>
  </r>
  <r>
    <s v="TX501836"/>
    <x v="19"/>
    <x v="0"/>
    <n v="13.7"/>
    <x v="1436"/>
    <x v="67"/>
    <d v="2025-03-10T00:00:00"/>
    <s v="F"/>
    <x v="2"/>
    <x v="2"/>
    <x v="0"/>
    <x v="8"/>
    <x v="3"/>
    <x v="10"/>
    <x v="2"/>
  </r>
  <r>
    <s v="TX501837"/>
    <x v="2"/>
    <x v="1"/>
    <n v="110.5"/>
    <x v="1437"/>
    <x v="67"/>
    <d v="2025-03-10T00:00:00"/>
    <s v="F"/>
    <x v="0"/>
    <x v="1"/>
    <x v="0"/>
    <x v="8"/>
    <x v="3"/>
    <x v="10"/>
    <x v="2"/>
  </r>
  <r>
    <s v="TX501838"/>
    <x v="8"/>
    <x v="2"/>
    <n v="26"/>
    <x v="292"/>
    <x v="67"/>
    <d v="2025-03-14T00:00:00"/>
    <s v="F"/>
    <x v="1"/>
    <x v="1"/>
    <x v="0"/>
    <x v="8"/>
    <x v="0"/>
    <x v="10"/>
    <x v="2"/>
  </r>
  <r>
    <s v="TX501839"/>
    <x v="2"/>
    <x v="7"/>
    <n v="140.69999999999999"/>
    <x v="1438"/>
    <x v="67"/>
    <d v="2025-03-15T00:00:00"/>
    <s v="M"/>
    <x v="3"/>
    <x v="1"/>
    <x v="0"/>
    <x v="8"/>
    <x v="4"/>
    <x v="10"/>
    <x v="1"/>
  </r>
  <r>
    <s v="TX501840"/>
    <x v="17"/>
    <x v="1"/>
    <n v="41.7"/>
    <x v="925"/>
    <x v="67"/>
    <d v="2025-03-17T00:00:00"/>
    <s v="F"/>
    <x v="0"/>
    <x v="4"/>
    <x v="0"/>
    <x v="8"/>
    <x v="9"/>
    <x v="10"/>
    <x v="2"/>
  </r>
  <r>
    <s v="TX501841"/>
    <x v="2"/>
    <x v="1"/>
    <n v="135.1"/>
    <x v="1439"/>
    <x v="67"/>
    <d v="2025-03-10T00:00:00"/>
    <s v="M"/>
    <x v="0"/>
    <x v="2"/>
    <x v="0"/>
    <x v="17"/>
    <x v="3"/>
    <x v="10"/>
    <x v="1"/>
  </r>
  <r>
    <s v="TX501842"/>
    <x v="12"/>
    <x v="32"/>
    <n v="95.5"/>
    <x v="1440"/>
    <x v="67"/>
    <d v="2025-03-10T00:00:00"/>
    <s v="F"/>
    <x v="4"/>
    <x v="4"/>
    <x v="0"/>
    <x v="26"/>
    <x v="3"/>
    <x v="10"/>
    <x v="2"/>
  </r>
  <r>
    <s v="TX501843"/>
    <x v="15"/>
    <x v="0"/>
    <n v="25.5"/>
    <x v="1441"/>
    <x v="67"/>
    <d v="2025-03-12T00:00:00"/>
    <s v=""/>
    <x v="2"/>
    <x v="2"/>
    <x v="0"/>
    <x v="11"/>
    <x v="2"/>
    <x v="10"/>
    <x v="0"/>
  </r>
  <r>
    <s v="TX501844"/>
    <x v="1"/>
    <x v="0"/>
    <n v="42.6"/>
    <x v="440"/>
    <x v="67"/>
    <d v="2025-03-13T00:00:00"/>
    <s v="F"/>
    <x v="0"/>
    <x v="0"/>
    <x v="0"/>
    <x v="11"/>
    <x v="5"/>
    <x v="10"/>
    <x v="2"/>
  </r>
  <r>
    <s v="TX501845"/>
    <x v="8"/>
    <x v="20"/>
    <n v="32.4"/>
    <x v="1442"/>
    <x v="67"/>
    <d v="2025-03-10T00:00:00"/>
    <s v="M"/>
    <x v="1"/>
    <x v="1"/>
    <x v="0"/>
    <x v="11"/>
    <x v="3"/>
    <x v="10"/>
    <x v="1"/>
  </r>
  <r>
    <s v="TX501846"/>
    <x v="4"/>
    <x v="12"/>
    <n v="20.2"/>
    <x v="1443"/>
    <x v="67"/>
    <d v="2025-03-10T00:00:00"/>
    <s v="O"/>
    <x v="2"/>
    <x v="0"/>
    <x v="0"/>
    <x v="11"/>
    <x v="3"/>
    <x v="10"/>
    <x v="3"/>
  </r>
  <r>
    <s v="TX501847"/>
    <x v="16"/>
    <x v="2"/>
    <n v="52.5"/>
    <x v="905"/>
    <x v="67"/>
    <d v="2025-03-14T00:00:00"/>
    <s v="F"/>
    <x v="4"/>
    <x v="0"/>
    <x v="0"/>
    <x v="18"/>
    <x v="0"/>
    <x v="10"/>
    <x v="2"/>
  </r>
  <r>
    <s v="TX501848"/>
    <x v="2"/>
    <x v="9"/>
    <n v="59.9"/>
    <x v="1444"/>
    <x v="67"/>
    <d v="2025-03-11T00:00:00"/>
    <s v="F"/>
    <x v="2"/>
    <x v="0"/>
    <x v="0"/>
    <x v="19"/>
    <x v="1"/>
    <x v="10"/>
    <x v="2"/>
  </r>
  <r>
    <s v="TX501849"/>
    <x v="4"/>
    <x v="1"/>
    <n v="53.2"/>
    <x v="793"/>
    <x v="67"/>
    <d v="2025-03-10T00:00:00"/>
    <s v="F"/>
    <x v="1"/>
    <x v="3"/>
    <x v="0"/>
    <x v="20"/>
    <x v="3"/>
    <x v="10"/>
    <x v="2"/>
  </r>
  <r>
    <s v="TX501850"/>
    <x v="2"/>
    <x v="1"/>
    <n v="60"/>
    <x v="160"/>
    <x v="67"/>
    <d v="2025-03-15T00:00:00"/>
    <s v="M"/>
    <x v="1"/>
    <x v="2"/>
    <x v="0"/>
    <x v="20"/>
    <x v="4"/>
    <x v="10"/>
    <x v="1"/>
  </r>
  <r>
    <s v="TX501851"/>
    <x v="8"/>
    <x v="2"/>
    <n v="29.3"/>
    <x v="1205"/>
    <x v="67"/>
    <d v="2025-03-10T00:00:00"/>
    <s v="F"/>
    <x v="4"/>
    <x v="0"/>
    <x v="0"/>
    <x v="13"/>
    <x v="3"/>
    <x v="10"/>
    <x v="2"/>
  </r>
  <r>
    <s v="TX501852"/>
    <x v="12"/>
    <x v="1"/>
    <n v="55.4"/>
    <x v="806"/>
    <x v="67"/>
    <d v="2025-03-10T00:00:00"/>
    <s v="F"/>
    <x v="0"/>
    <x v="2"/>
    <x v="0"/>
    <x v="21"/>
    <x v="3"/>
    <x v="10"/>
    <x v="2"/>
  </r>
  <r>
    <s v="TX501853"/>
    <x v="0"/>
    <x v="9"/>
    <n v="20.100000000000001"/>
    <x v="427"/>
    <x v="67"/>
    <d v="2025-03-11T00:00:00"/>
    <s v="F"/>
    <x v="1"/>
    <x v="2"/>
    <x v="0"/>
    <x v="21"/>
    <x v="1"/>
    <x v="10"/>
    <x v="2"/>
  </r>
  <r>
    <s v="TX501854"/>
    <x v="14"/>
    <x v="9"/>
    <n v="24"/>
    <x v="160"/>
    <x v="67"/>
    <d v="2025-03-12T00:00:00"/>
    <s v="M"/>
    <x v="2"/>
    <x v="0"/>
    <x v="0"/>
    <x v="1"/>
    <x v="2"/>
    <x v="10"/>
    <x v="1"/>
  </r>
  <r>
    <s v="TX501855"/>
    <x v="8"/>
    <x v="1"/>
    <n v="30.6"/>
    <x v="1"/>
    <x v="68"/>
    <d v="2025-03-12T00:00:00"/>
    <s v="F"/>
    <x v="0"/>
    <x v="0"/>
    <x v="0"/>
    <x v="1"/>
    <x v="1"/>
    <x v="10"/>
    <x v="2"/>
  </r>
  <r>
    <s v="TX501856"/>
    <x v="10"/>
    <x v="9"/>
    <n v="33"/>
    <x v="1445"/>
    <x v="68"/>
    <d v="2025-03-11T00:00:00"/>
    <s v="M"/>
    <x v="1"/>
    <x v="1"/>
    <x v="0"/>
    <x v="27"/>
    <x v="3"/>
    <x v="10"/>
    <x v="1"/>
  </r>
  <r>
    <s v="TX501857"/>
    <x v="17"/>
    <x v="11"/>
    <n v="42.1"/>
    <x v="1258"/>
    <x v="68"/>
    <d v="2025-03-16T00:00:00"/>
    <s v="F"/>
    <x v="2"/>
    <x v="0"/>
    <x v="0"/>
    <x v="44"/>
    <x v="4"/>
    <x v="10"/>
    <x v="2"/>
  </r>
  <r>
    <s v="TX501858"/>
    <x v="6"/>
    <x v="3"/>
    <n v="77.7"/>
    <x v="1446"/>
    <x v="68"/>
    <d v="2025-03-15T00:00:00"/>
    <s v="F"/>
    <x v="1"/>
    <x v="2"/>
    <x v="0"/>
    <x v="50"/>
    <x v="0"/>
    <x v="10"/>
    <x v="2"/>
  </r>
  <r>
    <s v="TX501859"/>
    <x v="17"/>
    <x v="13"/>
    <n v="22.7"/>
    <x v="1134"/>
    <x v="68"/>
    <d v="2025-03-13T00:00:00"/>
    <s v="F"/>
    <x v="2"/>
    <x v="0"/>
    <x v="0"/>
    <x v="3"/>
    <x v="2"/>
    <x v="10"/>
    <x v="2"/>
  </r>
  <r>
    <s v="TX501860"/>
    <x v="2"/>
    <x v="1"/>
    <n v="133"/>
    <x v="751"/>
    <x v="68"/>
    <d v="2025-03-10T00:00:00"/>
    <s v="M"/>
    <x v="2"/>
    <x v="2"/>
    <x v="0"/>
    <x v="3"/>
    <x v="7"/>
    <x v="10"/>
    <x v="1"/>
  </r>
  <r>
    <s v="TX501861"/>
    <x v="0"/>
    <x v="1"/>
    <n v="23.3"/>
    <x v="1447"/>
    <x v="68"/>
    <d v="2025-03-11T00:00:00"/>
    <s v="M"/>
    <x v="1"/>
    <x v="2"/>
    <x v="0"/>
    <x v="3"/>
    <x v="3"/>
    <x v="10"/>
    <x v="1"/>
  </r>
  <r>
    <s v="TX501862"/>
    <x v="8"/>
    <x v="2"/>
    <n v="20.7"/>
    <x v="1448"/>
    <x v="68"/>
    <d v="2025-03-12T00:00:00"/>
    <s v="O"/>
    <x v="0"/>
    <x v="2"/>
    <x v="0"/>
    <x v="3"/>
    <x v="1"/>
    <x v="10"/>
    <x v="3"/>
  </r>
  <r>
    <s v="TX501863"/>
    <x v="12"/>
    <x v="1"/>
    <n v="47"/>
    <x v="255"/>
    <x v="68"/>
    <d v="2025-03-11T00:00:00"/>
    <s v="M"/>
    <x v="1"/>
    <x v="2"/>
    <x v="0"/>
    <x v="3"/>
    <x v="3"/>
    <x v="10"/>
    <x v="1"/>
  </r>
  <r>
    <s v="TX501864"/>
    <x v="12"/>
    <x v="2"/>
    <n v="38.200000000000003"/>
    <x v="1449"/>
    <x v="68"/>
    <d v="2025-03-12T00:00:00"/>
    <s v="F"/>
    <x v="2"/>
    <x v="4"/>
    <x v="0"/>
    <x v="3"/>
    <x v="1"/>
    <x v="10"/>
    <x v="2"/>
  </r>
  <r>
    <s v="TX501865"/>
    <x v="9"/>
    <x v="0"/>
    <n v="39.1"/>
    <x v="923"/>
    <x v="68"/>
    <d v="2025-03-12T00:00:00"/>
    <s v="F"/>
    <x v="0"/>
    <x v="0"/>
    <x v="0"/>
    <x v="3"/>
    <x v="1"/>
    <x v="10"/>
    <x v="2"/>
  </r>
  <r>
    <s v="TX501866"/>
    <x v="7"/>
    <x v="30"/>
    <n v="55.6"/>
    <x v="1450"/>
    <x v="68"/>
    <d v="2025-03-12T00:00:00"/>
    <s v="M"/>
    <x v="0"/>
    <x v="2"/>
    <x v="0"/>
    <x v="3"/>
    <x v="1"/>
    <x v="10"/>
    <x v="1"/>
  </r>
  <r>
    <s v="TX501867"/>
    <x v="15"/>
    <x v="0"/>
    <n v="43.1"/>
    <x v="39"/>
    <x v="68"/>
    <d v="2025-03-10T00:00:00"/>
    <s v="O"/>
    <x v="1"/>
    <x v="2"/>
    <x v="0"/>
    <x v="3"/>
    <x v="7"/>
    <x v="10"/>
    <x v="3"/>
  </r>
  <r>
    <s v="TX501868"/>
    <x v="6"/>
    <x v="12"/>
    <n v="48.1"/>
    <x v="1451"/>
    <x v="68"/>
    <d v="2025-03-11T00:00:00"/>
    <s v="F"/>
    <x v="4"/>
    <x v="2"/>
    <x v="0"/>
    <x v="3"/>
    <x v="3"/>
    <x v="10"/>
    <x v="2"/>
  </r>
  <r>
    <s v="TX501869"/>
    <x v="4"/>
    <x v="0"/>
    <n v="42"/>
    <x v="337"/>
    <x v="68"/>
    <d v="2025-03-11T00:00:00"/>
    <s v="O"/>
    <x v="0"/>
    <x v="0"/>
    <x v="0"/>
    <x v="3"/>
    <x v="3"/>
    <x v="10"/>
    <x v="3"/>
  </r>
  <r>
    <s v="TX501870"/>
    <x v="8"/>
    <x v="9"/>
    <n v="18.3"/>
    <x v="1058"/>
    <x v="68"/>
    <d v="2025-03-10T00:00:00"/>
    <s v="F"/>
    <x v="2"/>
    <x v="0"/>
    <x v="0"/>
    <x v="3"/>
    <x v="7"/>
    <x v="10"/>
    <x v="2"/>
  </r>
  <r>
    <s v="TX501871"/>
    <x v="10"/>
    <x v="12"/>
    <n v="45.3"/>
    <x v="1452"/>
    <x v="68"/>
    <d v="2025-03-13T00:00:00"/>
    <s v="F"/>
    <x v="0"/>
    <x v="2"/>
    <x v="0"/>
    <x v="3"/>
    <x v="2"/>
    <x v="10"/>
    <x v="2"/>
  </r>
  <r>
    <s v="TX501872"/>
    <x v="0"/>
    <x v="1"/>
    <n v="27.6"/>
    <x v="291"/>
    <x v="68"/>
    <d v="2025-03-12T00:00:00"/>
    <s v="M"/>
    <x v="0"/>
    <x v="2"/>
    <x v="0"/>
    <x v="37"/>
    <x v="1"/>
    <x v="10"/>
    <x v="1"/>
  </r>
  <r>
    <s v="TX501873"/>
    <x v="4"/>
    <x v="9"/>
    <n v="26.9"/>
    <x v="531"/>
    <x v="68"/>
    <d v="2025-03-11T00:00:00"/>
    <s v="F"/>
    <x v="2"/>
    <x v="0"/>
    <x v="0"/>
    <x v="25"/>
    <x v="3"/>
    <x v="10"/>
    <x v="2"/>
  </r>
  <r>
    <s v="TX501874"/>
    <x v="2"/>
    <x v="11"/>
    <n v="82.4"/>
    <x v="1453"/>
    <x v="68"/>
    <d v="2025-03-12T00:00:00"/>
    <s v="O"/>
    <x v="2"/>
    <x v="0"/>
    <x v="0"/>
    <x v="5"/>
    <x v="1"/>
    <x v="10"/>
    <x v="3"/>
  </r>
  <r>
    <s v="TX501875"/>
    <x v="6"/>
    <x v="0"/>
    <n v="103.7"/>
    <x v="1454"/>
    <x v="68"/>
    <d v="2025-03-12T00:00:00"/>
    <s v="F"/>
    <x v="1"/>
    <x v="0"/>
    <x v="0"/>
    <x v="5"/>
    <x v="1"/>
    <x v="10"/>
    <x v="2"/>
  </r>
  <r>
    <s v="TX501876"/>
    <x v="2"/>
    <x v="1"/>
    <n v="58.8"/>
    <x v="833"/>
    <x v="68"/>
    <d v="2025-03-15T00:00:00"/>
    <s v="F"/>
    <x v="1"/>
    <x v="2"/>
    <x v="0"/>
    <x v="6"/>
    <x v="0"/>
    <x v="10"/>
    <x v="2"/>
  </r>
  <r>
    <s v="TX501877"/>
    <x v="13"/>
    <x v="0"/>
    <n v="31.5"/>
    <x v="1455"/>
    <x v="68"/>
    <d v="2025-03-11T00:00:00"/>
    <s v="F"/>
    <x v="1"/>
    <x v="1"/>
    <x v="0"/>
    <x v="6"/>
    <x v="3"/>
    <x v="10"/>
    <x v="2"/>
  </r>
  <r>
    <s v="TX501878"/>
    <x v="7"/>
    <x v="9"/>
    <n v="36.799999999999997"/>
    <x v="79"/>
    <x v="68"/>
    <d v="2025-03-12T00:00:00"/>
    <s v="F"/>
    <x v="0"/>
    <x v="0"/>
    <x v="0"/>
    <x v="8"/>
    <x v="1"/>
    <x v="10"/>
    <x v="2"/>
  </r>
  <r>
    <s v="TX501879"/>
    <x v="3"/>
    <x v="0"/>
    <n v="84.4"/>
    <x v="533"/>
    <x v="68"/>
    <d v="2025-03-11T00:00:00"/>
    <s v="F"/>
    <x v="0"/>
    <x v="0"/>
    <x v="0"/>
    <x v="8"/>
    <x v="3"/>
    <x v="10"/>
    <x v="2"/>
  </r>
  <r>
    <s v="TX501880"/>
    <x v="14"/>
    <x v="0"/>
    <n v="44.7"/>
    <x v="1456"/>
    <x v="68"/>
    <d v="2025-03-11T00:00:00"/>
    <s v="M"/>
    <x v="0"/>
    <x v="1"/>
    <x v="0"/>
    <x v="8"/>
    <x v="3"/>
    <x v="10"/>
    <x v="1"/>
  </r>
  <r>
    <s v="TX501881"/>
    <x v="9"/>
    <x v="8"/>
    <n v="39.4"/>
    <x v="895"/>
    <x v="68"/>
    <d v="2025-03-11T00:00:00"/>
    <s v="F"/>
    <x v="1"/>
    <x v="2"/>
    <x v="0"/>
    <x v="8"/>
    <x v="3"/>
    <x v="10"/>
    <x v="2"/>
  </r>
  <r>
    <s v="TX501882"/>
    <x v="11"/>
    <x v="12"/>
    <n v="34.9"/>
    <x v="1457"/>
    <x v="68"/>
    <d v="2025-03-12T00:00:00"/>
    <s v="F"/>
    <x v="0"/>
    <x v="2"/>
    <x v="0"/>
    <x v="8"/>
    <x v="1"/>
    <x v="10"/>
    <x v="2"/>
  </r>
  <r>
    <s v="TX501883"/>
    <x v="1"/>
    <x v="2"/>
    <n v="62.3"/>
    <x v="1458"/>
    <x v="68"/>
    <d v="2025-03-12T00:00:00"/>
    <s v="M"/>
    <x v="4"/>
    <x v="2"/>
    <x v="0"/>
    <x v="8"/>
    <x v="1"/>
    <x v="10"/>
    <x v="1"/>
  </r>
  <r>
    <s v="TX501884"/>
    <x v="8"/>
    <x v="12"/>
    <n v="21.1"/>
    <x v="533"/>
    <x v="68"/>
    <d v="2025-03-13T00:00:00"/>
    <s v="M"/>
    <x v="3"/>
    <x v="0"/>
    <x v="0"/>
    <x v="8"/>
    <x v="2"/>
    <x v="10"/>
    <x v="1"/>
  </r>
  <r>
    <s v="TX501885"/>
    <x v="8"/>
    <x v="2"/>
    <n v="33.200000000000003"/>
    <x v="1459"/>
    <x v="68"/>
    <d v="2025-03-24T00:00:00"/>
    <s v=""/>
    <x v="0"/>
    <x v="4"/>
    <x v="0"/>
    <x v="8"/>
    <x v="12"/>
    <x v="10"/>
    <x v="0"/>
  </r>
  <r>
    <s v="TX501886"/>
    <x v="1"/>
    <x v="12"/>
    <n v="74.5"/>
    <x v="1460"/>
    <x v="68"/>
    <d v="2025-03-11T00:00:00"/>
    <s v="M"/>
    <x v="4"/>
    <x v="0"/>
    <x v="0"/>
    <x v="8"/>
    <x v="3"/>
    <x v="10"/>
    <x v="1"/>
  </r>
  <r>
    <s v="TX501887"/>
    <x v="10"/>
    <x v="4"/>
    <n v="68.599999999999994"/>
    <x v="1461"/>
    <x v="68"/>
    <d v="2025-03-13T00:00:00"/>
    <s v="F"/>
    <x v="0"/>
    <x v="2"/>
    <x v="0"/>
    <x v="8"/>
    <x v="2"/>
    <x v="10"/>
    <x v="2"/>
  </r>
  <r>
    <s v="TX501888"/>
    <x v="5"/>
    <x v="21"/>
    <n v="36.4"/>
    <x v="1462"/>
    <x v="68"/>
    <d v="2025-03-12T00:00:00"/>
    <s v="F"/>
    <x v="0"/>
    <x v="1"/>
    <x v="0"/>
    <x v="9"/>
    <x v="1"/>
    <x v="10"/>
    <x v="2"/>
  </r>
  <r>
    <s v="TX501889"/>
    <x v="16"/>
    <x v="9"/>
    <n v="67.599999999999994"/>
    <x v="1463"/>
    <x v="69"/>
    <d v="2025-03-14T00:00:00"/>
    <s v="F"/>
    <x v="4"/>
    <x v="1"/>
    <x v="0"/>
    <x v="9"/>
    <x v="2"/>
    <x v="10"/>
    <x v="2"/>
  </r>
  <r>
    <s v="TX501890"/>
    <x v="15"/>
    <x v="0"/>
    <n v="46.3"/>
    <x v="516"/>
    <x v="69"/>
    <d v="2025-03-12T00:00:00"/>
    <s v="M"/>
    <x v="2"/>
    <x v="0"/>
    <x v="0"/>
    <x v="9"/>
    <x v="3"/>
    <x v="10"/>
    <x v="1"/>
  </r>
  <r>
    <s v="TX501891"/>
    <x v="1"/>
    <x v="2"/>
    <n v="124.2"/>
    <x v="1464"/>
    <x v="69"/>
    <d v="2025-03-13T00:00:00"/>
    <s v="F"/>
    <x v="1"/>
    <x v="2"/>
    <x v="0"/>
    <x v="11"/>
    <x v="1"/>
    <x v="10"/>
    <x v="2"/>
  </r>
  <r>
    <s v="TX501892"/>
    <x v="10"/>
    <x v="1"/>
    <n v="37"/>
    <x v="372"/>
    <x v="69"/>
    <d v="2025-03-17T00:00:00"/>
    <s v="M"/>
    <x v="0"/>
    <x v="0"/>
    <x v="0"/>
    <x v="11"/>
    <x v="4"/>
    <x v="10"/>
    <x v="1"/>
  </r>
  <r>
    <s v="TX501893"/>
    <x v="5"/>
    <x v="0"/>
    <n v="41.8"/>
    <x v="1465"/>
    <x v="69"/>
    <d v="2025-03-12T00:00:00"/>
    <s v="M"/>
    <x v="2"/>
    <x v="0"/>
    <x v="0"/>
    <x v="31"/>
    <x v="3"/>
    <x v="10"/>
    <x v="1"/>
  </r>
  <r>
    <s v="TX501894"/>
    <x v="9"/>
    <x v="1"/>
    <n v="57.2"/>
    <x v="1466"/>
    <x v="69"/>
    <d v="2025-03-13T00:00:00"/>
    <s v="M"/>
    <x v="2"/>
    <x v="1"/>
    <x v="0"/>
    <x v="20"/>
    <x v="1"/>
    <x v="10"/>
    <x v="1"/>
  </r>
  <r>
    <s v="TX501895"/>
    <x v="6"/>
    <x v="1"/>
    <n v="47.1"/>
    <x v="1467"/>
    <x v="69"/>
    <d v="2025-03-13T00:00:00"/>
    <s v="F"/>
    <x v="0"/>
    <x v="4"/>
    <x v="0"/>
    <x v="20"/>
    <x v="1"/>
    <x v="10"/>
    <x v="2"/>
  </r>
  <r>
    <s v="TX501896"/>
    <x v="5"/>
    <x v="2"/>
    <n v="86.4"/>
    <x v="1468"/>
    <x v="69"/>
    <d v="2025-03-12T00:00:00"/>
    <s v="M"/>
    <x v="2"/>
    <x v="1"/>
    <x v="0"/>
    <x v="52"/>
    <x v="3"/>
    <x v="10"/>
    <x v="1"/>
  </r>
  <r>
    <s v="TX501897"/>
    <x v="6"/>
    <x v="9"/>
    <n v="105"/>
    <x v="1469"/>
    <x v="69"/>
    <d v="2025-03-14T00:00:00"/>
    <s v="M"/>
    <x v="0"/>
    <x v="0"/>
    <x v="0"/>
    <x v="13"/>
    <x v="2"/>
    <x v="10"/>
    <x v="1"/>
  </r>
  <r>
    <s v="TX501898"/>
    <x v="18"/>
    <x v="0"/>
    <n v="33"/>
    <x v="940"/>
    <x v="69"/>
    <d v="2025-03-14T00:00:00"/>
    <s v="M"/>
    <x v="4"/>
    <x v="0"/>
    <x v="0"/>
    <x v="21"/>
    <x v="2"/>
    <x v="10"/>
    <x v="1"/>
  </r>
  <r>
    <s v="TX501899"/>
    <x v="6"/>
    <x v="9"/>
    <n v="106.6"/>
    <x v="1470"/>
    <x v="69"/>
    <d v="2025-03-24T00:00:00"/>
    <s v="F"/>
    <x v="2"/>
    <x v="0"/>
    <x v="0"/>
    <x v="1"/>
    <x v="10"/>
    <x v="10"/>
    <x v="2"/>
  </r>
  <r>
    <s v="TX501900"/>
    <x v="10"/>
    <x v="46"/>
    <n v="26.8"/>
    <x v="1471"/>
    <x v="69"/>
    <d v="2025-03-12T00:00:00"/>
    <s v="F"/>
    <x v="2"/>
    <x v="0"/>
    <x v="0"/>
    <x v="1"/>
    <x v="3"/>
    <x v="10"/>
    <x v="2"/>
  </r>
  <r>
    <s v="TX501901"/>
    <x v="17"/>
    <x v="9"/>
    <n v="25.8"/>
    <x v="309"/>
    <x v="69"/>
    <d v="2025-03-11T00:00:00"/>
    <s v="F"/>
    <x v="1"/>
    <x v="2"/>
    <x v="0"/>
    <x v="3"/>
    <x v="7"/>
    <x v="10"/>
    <x v="2"/>
  </r>
  <r>
    <s v="TX501902"/>
    <x v="2"/>
    <x v="2"/>
    <n v="217"/>
    <x v="1472"/>
    <x v="69"/>
    <d v="2025-03-12T00:00:00"/>
    <s v="F"/>
    <x v="1"/>
    <x v="1"/>
    <x v="0"/>
    <x v="3"/>
    <x v="3"/>
    <x v="10"/>
    <x v="2"/>
  </r>
  <r>
    <s v="TX501903"/>
    <x v="2"/>
    <x v="1"/>
    <n v="97.3"/>
    <x v="1473"/>
    <x v="69"/>
    <d v="2025-03-12T00:00:00"/>
    <s v="M"/>
    <x v="2"/>
    <x v="4"/>
    <x v="0"/>
    <x v="3"/>
    <x v="3"/>
    <x v="10"/>
    <x v="1"/>
  </r>
  <r>
    <s v="TX501904"/>
    <x v="1"/>
    <x v="0"/>
    <n v="49.8"/>
    <x v="1474"/>
    <x v="69"/>
    <d v="2025-03-12T00:00:00"/>
    <s v="F"/>
    <x v="0"/>
    <x v="0"/>
    <x v="0"/>
    <x v="3"/>
    <x v="3"/>
    <x v="10"/>
    <x v="2"/>
  </r>
  <r>
    <s v="TX501905"/>
    <x v="12"/>
    <x v="9"/>
    <n v="32.6"/>
    <x v="1475"/>
    <x v="69"/>
    <d v="2025-03-12T00:00:00"/>
    <s v="F"/>
    <x v="0"/>
    <x v="0"/>
    <x v="0"/>
    <x v="3"/>
    <x v="3"/>
    <x v="10"/>
    <x v="2"/>
  </r>
  <r>
    <s v="TX501906"/>
    <x v="9"/>
    <x v="1"/>
    <n v="40.1"/>
    <x v="556"/>
    <x v="69"/>
    <d v="2025-03-14T00:00:00"/>
    <s v="M"/>
    <x v="1"/>
    <x v="2"/>
    <x v="0"/>
    <x v="3"/>
    <x v="2"/>
    <x v="10"/>
    <x v="1"/>
  </r>
  <r>
    <s v="TX501907"/>
    <x v="10"/>
    <x v="1"/>
    <n v="49.4"/>
    <x v="197"/>
    <x v="69"/>
    <d v="2025-03-13T00:00:00"/>
    <s v="M"/>
    <x v="1"/>
    <x v="0"/>
    <x v="0"/>
    <x v="3"/>
    <x v="1"/>
    <x v="10"/>
    <x v="1"/>
  </r>
  <r>
    <s v="TX501908"/>
    <x v="2"/>
    <x v="0"/>
    <n v="67.3"/>
    <x v="1476"/>
    <x v="69"/>
    <d v="2025-03-12T00:00:00"/>
    <s v="F"/>
    <x v="0"/>
    <x v="2"/>
    <x v="0"/>
    <x v="3"/>
    <x v="3"/>
    <x v="10"/>
    <x v="2"/>
  </r>
  <r>
    <s v="TX501909"/>
    <x v="18"/>
    <x v="12"/>
    <n v="44.5"/>
    <x v="394"/>
    <x v="69"/>
    <d v="2025-03-14T00:00:00"/>
    <s v=""/>
    <x v="1"/>
    <x v="0"/>
    <x v="0"/>
    <x v="3"/>
    <x v="2"/>
    <x v="10"/>
    <x v="0"/>
  </r>
  <r>
    <s v="TX501910"/>
    <x v="6"/>
    <x v="5"/>
    <n v="111.1"/>
    <x v="1477"/>
    <x v="69"/>
    <d v="2025-03-12T00:00:00"/>
    <s v="F"/>
    <x v="4"/>
    <x v="0"/>
    <x v="0"/>
    <x v="3"/>
    <x v="3"/>
    <x v="10"/>
    <x v="2"/>
  </r>
  <r>
    <s v="TX501911"/>
    <x v="8"/>
    <x v="2"/>
    <n v="19.7"/>
    <x v="1478"/>
    <x v="69"/>
    <d v="2025-03-12T00:00:00"/>
    <s v="F"/>
    <x v="4"/>
    <x v="4"/>
    <x v="0"/>
    <x v="3"/>
    <x v="3"/>
    <x v="10"/>
    <x v="2"/>
  </r>
  <r>
    <s v="TX501912"/>
    <x v="1"/>
    <x v="0"/>
    <n v="40.299999999999997"/>
    <x v="518"/>
    <x v="69"/>
    <d v="2025-03-12T00:00:00"/>
    <s v="O"/>
    <x v="1"/>
    <x v="0"/>
    <x v="0"/>
    <x v="3"/>
    <x v="3"/>
    <x v="10"/>
    <x v="3"/>
  </r>
  <r>
    <s v="TX501913"/>
    <x v="6"/>
    <x v="1"/>
    <n v="108.8"/>
    <x v="1479"/>
    <x v="69"/>
    <d v="2025-03-16T00:00:00"/>
    <s v="M"/>
    <x v="0"/>
    <x v="2"/>
    <x v="0"/>
    <x v="6"/>
    <x v="0"/>
    <x v="10"/>
    <x v="1"/>
  </r>
  <r>
    <s v="TX501914"/>
    <x v="8"/>
    <x v="2"/>
    <n v="48.2"/>
    <x v="1435"/>
    <x v="69"/>
    <d v="2025-03-16T00:00:00"/>
    <s v="F"/>
    <x v="4"/>
    <x v="0"/>
    <x v="0"/>
    <x v="7"/>
    <x v="0"/>
    <x v="10"/>
    <x v="2"/>
  </r>
  <r>
    <s v="TX501915"/>
    <x v="2"/>
    <x v="2"/>
    <n v="104.7"/>
    <x v="1480"/>
    <x v="69"/>
    <d v="2025-03-13T00:00:00"/>
    <s v="F"/>
    <x v="0"/>
    <x v="1"/>
    <x v="0"/>
    <x v="7"/>
    <x v="1"/>
    <x v="10"/>
    <x v="2"/>
  </r>
  <r>
    <s v="TX501916"/>
    <x v="1"/>
    <x v="1"/>
    <n v="80.599999999999994"/>
    <x v="154"/>
    <x v="69"/>
    <d v="2025-03-11T00:00:00"/>
    <s v="F"/>
    <x v="1"/>
    <x v="0"/>
    <x v="0"/>
    <x v="8"/>
    <x v="7"/>
    <x v="10"/>
    <x v="2"/>
  </r>
  <r>
    <s v="TX501917"/>
    <x v="6"/>
    <x v="0"/>
    <n v="65.5"/>
    <x v="1481"/>
    <x v="69"/>
    <d v="2025-03-13T00:00:00"/>
    <s v="O"/>
    <x v="1"/>
    <x v="0"/>
    <x v="0"/>
    <x v="8"/>
    <x v="1"/>
    <x v="10"/>
    <x v="3"/>
  </r>
  <r>
    <s v="TX501918"/>
    <x v="9"/>
    <x v="2"/>
    <n v="61.4"/>
    <x v="1173"/>
    <x v="69"/>
    <d v="2025-03-13T00:00:00"/>
    <s v="F"/>
    <x v="4"/>
    <x v="2"/>
    <x v="0"/>
    <x v="8"/>
    <x v="1"/>
    <x v="10"/>
    <x v="2"/>
  </r>
  <r>
    <s v="TX501919"/>
    <x v="0"/>
    <x v="0"/>
    <n v="12.5"/>
    <x v="1482"/>
    <x v="70"/>
    <d v="2025-03-15T00:00:00"/>
    <s v="F"/>
    <x v="0"/>
    <x v="1"/>
    <x v="0"/>
    <x v="8"/>
    <x v="2"/>
    <x v="10"/>
    <x v="2"/>
  </r>
  <r>
    <s v="TX501920"/>
    <x v="4"/>
    <x v="12"/>
    <n v="35.1"/>
    <x v="381"/>
    <x v="70"/>
    <d v="2025-03-13T00:00:00"/>
    <s v="M"/>
    <x v="2"/>
    <x v="1"/>
    <x v="0"/>
    <x v="17"/>
    <x v="3"/>
    <x v="10"/>
    <x v="1"/>
  </r>
  <r>
    <s v="TX501921"/>
    <x v="5"/>
    <x v="1"/>
    <n v="55.7"/>
    <x v="1483"/>
    <x v="70"/>
    <d v="2025-03-13T00:00:00"/>
    <s v="M"/>
    <x v="0"/>
    <x v="1"/>
    <x v="0"/>
    <x v="26"/>
    <x v="3"/>
    <x v="10"/>
    <x v="1"/>
  </r>
  <r>
    <s v="TX501922"/>
    <x v="7"/>
    <x v="1"/>
    <n v="57.7"/>
    <x v="1484"/>
    <x v="70"/>
    <d v="2025-03-14T00:00:00"/>
    <s v="M"/>
    <x v="4"/>
    <x v="1"/>
    <x v="0"/>
    <x v="9"/>
    <x v="1"/>
    <x v="10"/>
    <x v="1"/>
  </r>
  <r>
    <s v="TX501923"/>
    <x v="2"/>
    <x v="13"/>
    <n v="85.7"/>
    <x v="1485"/>
    <x v="70"/>
    <d v="2025-03-13T00:00:00"/>
    <s v="M"/>
    <x v="3"/>
    <x v="2"/>
    <x v="0"/>
    <x v="9"/>
    <x v="3"/>
    <x v="10"/>
    <x v="1"/>
  </r>
  <r>
    <s v="TX501924"/>
    <x v="2"/>
    <x v="2"/>
    <n v="86.9"/>
    <x v="1486"/>
    <x v="70"/>
    <d v="2025-03-14T00:00:00"/>
    <s v="F"/>
    <x v="1"/>
    <x v="0"/>
    <x v="0"/>
    <x v="11"/>
    <x v="1"/>
    <x v="10"/>
    <x v="2"/>
  </r>
  <r>
    <s v="TX501925"/>
    <x v="18"/>
    <x v="1"/>
    <n v="46.4"/>
    <x v="1487"/>
    <x v="70"/>
    <d v="2025-03-15T00:00:00"/>
    <s v="F"/>
    <x v="4"/>
    <x v="0"/>
    <x v="0"/>
    <x v="11"/>
    <x v="2"/>
    <x v="10"/>
    <x v="2"/>
  </r>
  <r>
    <s v="TX501926"/>
    <x v="5"/>
    <x v="2"/>
    <n v="25.4"/>
    <x v="1488"/>
    <x v="70"/>
    <d v="2025-03-12T00:00:00"/>
    <s v="F"/>
    <x v="2"/>
    <x v="2"/>
    <x v="0"/>
    <x v="18"/>
    <x v="7"/>
    <x v="10"/>
    <x v="2"/>
  </r>
  <r>
    <s v="TX501927"/>
    <x v="10"/>
    <x v="2"/>
    <n v="47.8"/>
    <x v="1489"/>
    <x v="70"/>
    <d v="2025-03-12T00:00:00"/>
    <s v=""/>
    <x v="2"/>
    <x v="2"/>
    <x v="0"/>
    <x v="19"/>
    <x v="7"/>
    <x v="10"/>
    <x v="0"/>
  </r>
  <r>
    <s v="TX501928"/>
    <x v="8"/>
    <x v="10"/>
    <n v="18.399999999999999"/>
    <x v="1490"/>
    <x v="70"/>
    <d v="2025-03-14T00:00:00"/>
    <s v="O"/>
    <x v="2"/>
    <x v="0"/>
    <x v="0"/>
    <x v="20"/>
    <x v="1"/>
    <x v="10"/>
    <x v="3"/>
  </r>
  <r>
    <s v="TX501929"/>
    <x v="12"/>
    <x v="2"/>
    <n v="65.5"/>
    <x v="756"/>
    <x v="70"/>
    <d v="2025-03-20T00:00:00"/>
    <s v="F"/>
    <x v="0"/>
    <x v="0"/>
    <x v="0"/>
    <x v="21"/>
    <x v="9"/>
    <x v="10"/>
    <x v="2"/>
  </r>
  <r>
    <s v="TX501930"/>
    <x v="10"/>
    <x v="1"/>
    <n v="50.6"/>
    <x v="855"/>
    <x v="70"/>
    <d v="2025-03-15T00:00:00"/>
    <s v="M"/>
    <x v="2"/>
    <x v="4"/>
    <x v="0"/>
    <x v="21"/>
    <x v="2"/>
    <x v="10"/>
    <x v="1"/>
  </r>
  <r>
    <s v="TX501931"/>
    <x v="3"/>
    <x v="9"/>
    <n v="69"/>
    <x v="1491"/>
    <x v="70"/>
    <d v="2025-03-16T00:00:00"/>
    <s v="M"/>
    <x v="3"/>
    <x v="0"/>
    <x v="0"/>
    <x v="21"/>
    <x v="5"/>
    <x v="10"/>
    <x v="1"/>
  </r>
  <r>
    <s v="TX501932"/>
    <x v="9"/>
    <x v="8"/>
    <n v="51.1"/>
    <x v="18"/>
    <x v="70"/>
    <d v="2025-03-14T00:00:00"/>
    <s v="F"/>
    <x v="0"/>
    <x v="0"/>
    <x v="0"/>
    <x v="1"/>
    <x v="1"/>
    <x v="10"/>
    <x v="2"/>
  </r>
  <r>
    <s v="TX501933"/>
    <x v="9"/>
    <x v="0"/>
    <n v="36.1"/>
    <x v="168"/>
    <x v="70"/>
    <d v="2025-03-13T00:00:00"/>
    <s v="F"/>
    <x v="0"/>
    <x v="2"/>
    <x v="0"/>
    <x v="34"/>
    <x v="3"/>
    <x v="10"/>
    <x v="2"/>
  </r>
  <r>
    <s v="TX501934"/>
    <x v="14"/>
    <x v="0"/>
    <n v="18.7"/>
    <x v="1492"/>
    <x v="70"/>
    <d v="2025-03-13T00:00:00"/>
    <s v="M"/>
    <x v="0"/>
    <x v="0"/>
    <x v="0"/>
    <x v="3"/>
    <x v="3"/>
    <x v="10"/>
    <x v="1"/>
  </r>
  <r>
    <s v="TX501935"/>
    <x v="17"/>
    <x v="0"/>
    <n v="30.1"/>
    <x v="1493"/>
    <x v="70"/>
    <d v="2025-03-15T00:00:00"/>
    <s v="F"/>
    <x v="3"/>
    <x v="1"/>
    <x v="0"/>
    <x v="3"/>
    <x v="2"/>
    <x v="10"/>
    <x v="2"/>
  </r>
  <r>
    <s v="TX501936"/>
    <x v="8"/>
    <x v="0"/>
    <n v="16.3"/>
    <x v="1494"/>
    <x v="70"/>
    <d v="2025-03-13T00:00:00"/>
    <s v="M"/>
    <x v="3"/>
    <x v="0"/>
    <x v="0"/>
    <x v="3"/>
    <x v="3"/>
    <x v="10"/>
    <x v="1"/>
  </r>
  <r>
    <s v="TX501937"/>
    <x v="1"/>
    <x v="2"/>
    <n v="63.8"/>
    <x v="1348"/>
    <x v="70"/>
    <d v="2025-03-17T00:00:00"/>
    <s v="F"/>
    <x v="2"/>
    <x v="1"/>
    <x v="0"/>
    <x v="3"/>
    <x v="0"/>
    <x v="10"/>
    <x v="2"/>
  </r>
  <r>
    <s v="TX501938"/>
    <x v="1"/>
    <x v="3"/>
    <n v="73.900000000000006"/>
    <x v="1495"/>
    <x v="70"/>
    <d v="2025-03-12T00:00:00"/>
    <s v="F"/>
    <x v="0"/>
    <x v="1"/>
    <x v="0"/>
    <x v="3"/>
    <x v="7"/>
    <x v="10"/>
    <x v="2"/>
  </r>
  <r>
    <s v="TX501939"/>
    <x v="0"/>
    <x v="1"/>
    <n v="20.2"/>
    <x v="1400"/>
    <x v="70"/>
    <d v="2025-03-13T00:00:00"/>
    <s v="M"/>
    <x v="0"/>
    <x v="1"/>
    <x v="0"/>
    <x v="3"/>
    <x v="3"/>
    <x v="10"/>
    <x v="1"/>
  </r>
  <r>
    <s v="TX501940"/>
    <x v="11"/>
    <x v="5"/>
    <n v="29.5"/>
    <x v="1496"/>
    <x v="70"/>
    <d v="2025-03-13T00:00:00"/>
    <s v="M"/>
    <x v="0"/>
    <x v="0"/>
    <x v="0"/>
    <x v="3"/>
    <x v="3"/>
    <x v="10"/>
    <x v="1"/>
  </r>
  <r>
    <s v="TX501941"/>
    <x v="15"/>
    <x v="3"/>
    <n v="37.9"/>
    <x v="1497"/>
    <x v="70"/>
    <d v="2025-03-13T00:00:00"/>
    <s v="M"/>
    <x v="1"/>
    <x v="0"/>
    <x v="0"/>
    <x v="3"/>
    <x v="3"/>
    <x v="10"/>
    <x v="1"/>
  </r>
  <r>
    <s v="TX501942"/>
    <x v="2"/>
    <x v="0"/>
    <n v="56.5"/>
    <x v="1498"/>
    <x v="70"/>
    <d v="2025-03-13T00:00:00"/>
    <s v="F"/>
    <x v="2"/>
    <x v="1"/>
    <x v="0"/>
    <x v="3"/>
    <x v="3"/>
    <x v="10"/>
    <x v="2"/>
  </r>
  <r>
    <s v="TX501943"/>
    <x v="2"/>
    <x v="1"/>
    <n v="66.900000000000006"/>
    <x v="981"/>
    <x v="70"/>
    <d v="2025-03-18T00:00:00"/>
    <s v="M"/>
    <x v="1"/>
    <x v="4"/>
    <x v="0"/>
    <x v="25"/>
    <x v="4"/>
    <x v="10"/>
    <x v="1"/>
  </r>
  <r>
    <s v="TX501944"/>
    <x v="2"/>
    <x v="9"/>
    <n v="51.9"/>
    <x v="1499"/>
    <x v="70"/>
    <d v="2025-03-15T00:00:00"/>
    <s v="M"/>
    <x v="1"/>
    <x v="0"/>
    <x v="0"/>
    <x v="7"/>
    <x v="2"/>
    <x v="10"/>
    <x v="1"/>
  </r>
  <r>
    <s v="TX501945"/>
    <x v="2"/>
    <x v="1"/>
    <n v="75.599999999999994"/>
    <x v="277"/>
    <x v="70"/>
    <d v="2025-03-15T00:00:00"/>
    <s v="M"/>
    <x v="1"/>
    <x v="0"/>
    <x v="0"/>
    <x v="8"/>
    <x v="2"/>
    <x v="10"/>
    <x v="1"/>
  </r>
  <r>
    <s v="TX501946"/>
    <x v="12"/>
    <x v="13"/>
    <n v="47.3"/>
    <x v="592"/>
    <x v="70"/>
    <d v="2025-03-23T00:00:00"/>
    <s v="M"/>
    <x v="0"/>
    <x v="0"/>
    <x v="0"/>
    <x v="8"/>
    <x v="11"/>
    <x v="10"/>
    <x v="1"/>
  </r>
  <r>
    <s v="TX501947"/>
    <x v="4"/>
    <x v="0"/>
    <n v="20.6"/>
    <x v="1500"/>
    <x v="70"/>
    <d v="2025-03-13T00:00:00"/>
    <s v=""/>
    <x v="0"/>
    <x v="1"/>
    <x v="0"/>
    <x v="8"/>
    <x v="3"/>
    <x v="10"/>
    <x v="0"/>
  </r>
  <r>
    <s v="TX501948"/>
    <x v="6"/>
    <x v="2"/>
    <n v="49.7"/>
    <x v="1501"/>
    <x v="70"/>
    <d v="2025-03-14T00:00:00"/>
    <s v="M"/>
    <x v="0"/>
    <x v="1"/>
    <x v="0"/>
    <x v="8"/>
    <x v="1"/>
    <x v="10"/>
    <x v="1"/>
  </r>
  <r>
    <s v="TX501949"/>
    <x v="3"/>
    <x v="0"/>
    <n v="37.9"/>
    <x v="853"/>
    <x v="70"/>
    <d v="2025-03-14T00:00:00"/>
    <s v="F"/>
    <x v="0"/>
    <x v="0"/>
    <x v="0"/>
    <x v="8"/>
    <x v="1"/>
    <x v="10"/>
    <x v="2"/>
  </r>
  <r>
    <s v="TX501950"/>
    <x v="13"/>
    <x v="20"/>
    <n v="32"/>
    <x v="1502"/>
    <x v="70"/>
    <d v="2025-03-14T00:00:00"/>
    <s v="F"/>
    <x v="4"/>
    <x v="0"/>
    <x v="0"/>
    <x v="11"/>
    <x v="1"/>
    <x v="10"/>
    <x v="2"/>
  </r>
  <r>
    <s v="TX501951"/>
    <x v="10"/>
    <x v="16"/>
    <n v="38.5"/>
    <x v="1503"/>
    <x v="71"/>
    <d v="2025-03-14T00:00:00"/>
    <s v="M"/>
    <x v="0"/>
    <x v="2"/>
    <x v="0"/>
    <x v="11"/>
    <x v="3"/>
    <x v="10"/>
    <x v="1"/>
  </r>
  <r>
    <s v="TX501952"/>
    <x v="0"/>
    <x v="12"/>
    <n v="11.7"/>
    <x v="86"/>
    <x v="71"/>
    <d v="2025-03-15T00:00:00"/>
    <s v="F"/>
    <x v="1"/>
    <x v="0"/>
    <x v="0"/>
    <x v="20"/>
    <x v="1"/>
    <x v="10"/>
    <x v="2"/>
  </r>
  <r>
    <s v="TX501953"/>
    <x v="3"/>
    <x v="13"/>
    <n v="83.8"/>
    <x v="1504"/>
    <x v="71"/>
    <d v="2025-03-14T00:00:00"/>
    <s v="M"/>
    <x v="0"/>
    <x v="0"/>
    <x v="0"/>
    <x v="21"/>
    <x v="3"/>
    <x v="10"/>
    <x v="1"/>
  </r>
  <r>
    <s v="TX501954"/>
    <x v="0"/>
    <x v="3"/>
    <n v="14"/>
    <x v="11"/>
    <x v="71"/>
    <d v="2025-03-16T00:00:00"/>
    <s v="M"/>
    <x v="0"/>
    <x v="1"/>
    <x v="0"/>
    <x v="22"/>
    <x v="2"/>
    <x v="10"/>
    <x v="1"/>
  </r>
  <r>
    <s v="TX501955"/>
    <x v="16"/>
    <x v="12"/>
    <n v="77.3"/>
    <x v="1505"/>
    <x v="71"/>
    <d v="2025-03-15T00:00:00"/>
    <s v="F"/>
    <x v="4"/>
    <x v="2"/>
    <x v="0"/>
    <x v="3"/>
    <x v="1"/>
    <x v="10"/>
    <x v="2"/>
  </r>
  <r>
    <s v="TX501956"/>
    <x v="2"/>
    <x v="1"/>
    <n v="76.900000000000006"/>
    <x v="1506"/>
    <x v="71"/>
    <d v="2025-03-17T00:00:00"/>
    <s v="F"/>
    <x v="0"/>
    <x v="1"/>
    <x v="0"/>
    <x v="3"/>
    <x v="5"/>
    <x v="10"/>
    <x v="2"/>
  </r>
  <r>
    <s v="TX501957"/>
    <x v="1"/>
    <x v="0"/>
    <n v="48"/>
    <x v="510"/>
    <x v="71"/>
    <d v="2025-03-15T00:00:00"/>
    <s v="F"/>
    <x v="1"/>
    <x v="2"/>
    <x v="0"/>
    <x v="3"/>
    <x v="1"/>
    <x v="10"/>
    <x v="2"/>
  </r>
  <r>
    <s v="TX501958"/>
    <x v="2"/>
    <x v="0"/>
    <n v="94.5"/>
    <x v="234"/>
    <x v="71"/>
    <d v="2025-03-16T00:00:00"/>
    <s v="M"/>
    <x v="1"/>
    <x v="1"/>
    <x v="0"/>
    <x v="3"/>
    <x v="2"/>
    <x v="10"/>
    <x v="1"/>
  </r>
  <r>
    <s v="TX501959"/>
    <x v="10"/>
    <x v="2"/>
    <n v="58.4"/>
    <x v="122"/>
    <x v="71"/>
    <d v="2025-03-15T00:00:00"/>
    <s v="F"/>
    <x v="1"/>
    <x v="2"/>
    <x v="0"/>
    <x v="3"/>
    <x v="1"/>
    <x v="10"/>
    <x v="2"/>
  </r>
  <r>
    <s v="TX501960"/>
    <x v="7"/>
    <x v="15"/>
    <n v="42.2"/>
    <x v="1507"/>
    <x v="71"/>
    <d v="2025-03-13T00:00:00"/>
    <s v="M"/>
    <x v="0"/>
    <x v="0"/>
    <x v="0"/>
    <x v="25"/>
    <x v="7"/>
    <x v="10"/>
    <x v="1"/>
  </r>
  <r>
    <s v="TX501961"/>
    <x v="6"/>
    <x v="1"/>
    <n v="152.19999999999999"/>
    <x v="1508"/>
    <x v="71"/>
    <d v="2025-03-14T00:00:00"/>
    <s v="M"/>
    <x v="4"/>
    <x v="1"/>
    <x v="0"/>
    <x v="25"/>
    <x v="3"/>
    <x v="10"/>
    <x v="1"/>
  </r>
  <r>
    <s v="TX501962"/>
    <x v="6"/>
    <x v="25"/>
    <n v="72"/>
    <x v="1509"/>
    <x v="71"/>
    <d v="2025-03-14T00:00:00"/>
    <s v="M"/>
    <x v="0"/>
    <x v="1"/>
    <x v="0"/>
    <x v="6"/>
    <x v="3"/>
    <x v="10"/>
    <x v="1"/>
  </r>
  <r>
    <s v="TX501963"/>
    <x v="1"/>
    <x v="44"/>
    <n v="70.900000000000006"/>
    <x v="1510"/>
    <x v="71"/>
    <d v="2025-03-14T00:00:00"/>
    <s v="F"/>
    <x v="2"/>
    <x v="0"/>
    <x v="0"/>
    <x v="8"/>
    <x v="3"/>
    <x v="10"/>
    <x v="2"/>
  </r>
  <r>
    <s v="TX501964"/>
    <x v="2"/>
    <x v="1"/>
    <n v="53.7"/>
    <x v="1511"/>
    <x v="71"/>
    <d v="2025-03-14T00:00:00"/>
    <s v="M"/>
    <x v="2"/>
    <x v="2"/>
    <x v="0"/>
    <x v="8"/>
    <x v="3"/>
    <x v="10"/>
    <x v="1"/>
  </r>
  <r>
    <s v="TX501965"/>
    <x v="9"/>
    <x v="12"/>
    <n v="42.9"/>
    <x v="1512"/>
    <x v="71"/>
    <d v="2025-03-14T00:00:00"/>
    <s v="F"/>
    <x v="2"/>
    <x v="4"/>
    <x v="0"/>
    <x v="9"/>
    <x v="3"/>
    <x v="10"/>
    <x v="2"/>
  </r>
  <r>
    <s v="TX501966"/>
    <x v="2"/>
    <x v="3"/>
    <n v="107.5"/>
    <x v="1513"/>
    <x v="71"/>
    <d v="2025-03-14T00:00:00"/>
    <s v="M"/>
    <x v="1"/>
    <x v="0"/>
    <x v="0"/>
    <x v="11"/>
    <x v="3"/>
    <x v="10"/>
    <x v="1"/>
  </r>
  <r>
    <s v="TX501967"/>
    <x v="17"/>
    <x v="27"/>
    <n v="21.5"/>
    <x v="1213"/>
    <x v="71"/>
    <d v="2025-03-14T00:00:00"/>
    <s v="M"/>
    <x v="1"/>
    <x v="1"/>
    <x v="0"/>
    <x v="32"/>
    <x v="3"/>
    <x v="10"/>
    <x v="1"/>
  </r>
  <r>
    <s v="TX501968"/>
    <x v="3"/>
    <x v="9"/>
    <n v="85.3"/>
    <x v="1514"/>
    <x v="71"/>
    <d v="2025-03-15T00:00:00"/>
    <s v="F"/>
    <x v="3"/>
    <x v="0"/>
    <x v="0"/>
    <x v="18"/>
    <x v="1"/>
    <x v="10"/>
    <x v="2"/>
  </r>
  <r>
    <s v="TX501969"/>
    <x v="7"/>
    <x v="9"/>
    <n v="80.8"/>
    <x v="1515"/>
    <x v="71"/>
    <d v="2025-03-21T00:00:00"/>
    <s v="O"/>
    <x v="1"/>
    <x v="1"/>
    <x v="0"/>
    <x v="19"/>
    <x v="9"/>
    <x v="10"/>
    <x v="3"/>
  </r>
  <r>
    <s v="TX501970"/>
    <x v="2"/>
    <x v="2"/>
    <n v="123.1"/>
    <x v="1516"/>
    <x v="71"/>
    <d v="2025-03-15T00:00:00"/>
    <s v=""/>
    <x v="2"/>
    <x v="0"/>
    <x v="0"/>
    <x v="21"/>
    <x v="1"/>
    <x v="10"/>
    <x v="0"/>
  </r>
  <r>
    <s v="TX501971"/>
    <x v="8"/>
    <x v="1"/>
    <n v="36.9"/>
    <x v="1517"/>
    <x v="71"/>
    <d v="2025-03-15T00:00:00"/>
    <s v="F"/>
    <x v="2"/>
    <x v="4"/>
    <x v="0"/>
    <x v="51"/>
    <x v="1"/>
    <x v="10"/>
    <x v="2"/>
  </r>
  <r>
    <s v="TX501972"/>
    <x v="11"/>
    <x v="9"/>
    <n v="40"/>
    <x v="308"/>
    <x v="71"/>
    <d v="2025-03-14T00:00:00"/>
    <s v="M"/>
    <x v="0"/>
    <x v="0"/>
    <x v="0"/>
    <x v="1"/>
    <x v="3"/>
    <x v="10"/>
    <x v="1"/>
  </r>
  <r>
    <s v="TX501973"/>
    <x v="6"/>
    <x v="2"/>
    <n v="55.5"/>
    <x v="1256"/>
    <x v="71"/>
    <d v="2025-03-14T00:00:00"/>
    <s v="M"/>
    <x v="4"/>
    <x v="2"/>
    <x v="0"/>
    <x v="1"/>
    <x v="3"/>
    <x v="10"/>
    <x v="1"/>
  </r>
  <r>
    <s v="TX501974"/>
    <x v="0"/>
    <x v="12"/>
    <n v="20.5"/>
    <x v="1518"/>
    <x v="71"/>
    <d v="2025-03-17T00:00:00"/>
    <s v="F"/>
    <x v="4"/>
    <x v="0"/>
    <x v="0"/>
    <x v="1"/>
    <x v="5"/>
    <x v="10"/>
    <x v="2"/>
  </r>
  <r>
    <s v="TX501975"/>
    <x v="18"/>
    <x v="12"/>
    <n v="50.1"/>
    <x v="1519"/>
    <x v="71"/>
    <d v="2025-03-14T00:00:00"/>
    <s v="F"/>
    <x v="4"/>
    <x v="0"/>
    <x v="0"/>
    <x v="1"/>
    <x v="3"/>
    <x v="10"/>
    <x v="2"/>
  </r>
  <r>
    <s v="TX501976"/>
    <x v="9"/>
    <x v="0"/>
    <n v="35.9"/>
    <x v="1520"/>
    <x v="71"/>
    <d v="2025-03-15T00:00:00"/>
    <s v="M"/>
    <x v="1"/>
    <x v="2"/>
    <x v="0"/>
    <x v="1"/>
    <x v="1"/>
    <x v="10"/>
    <x v="1"/>
  </r>
  <r>
    <s v="TX501977"/>
    <x v="13"/>
    <x v="12"/>
    <n v="29.4"/>
    <x v="833"/>
    <x v="72"/>
    <d v="2025-03-15T00:00:00"/>
    <s v="M"/>
    <x v="2"/>
    <x v="2"/>
    <x v="0"/>
    <x v="33"/>
    <x v="3"/>
    <x v="10"/>
    <x v="1"/>
  </r>
  <r>
    <s v="TX501978"/>
    <x v="8"/>
    <x v="9"/>
    <n v="29.1"/>
    <x v="973"/>
    <x v="72"/>
    <d v="2025-03-22T00:00:00"/>
    <s v="O"/>
    <x v="2"/>
    <x v="1"/>
    <x v="0"/>
    <x v="33"/>
    <x v="9"/>
    <x v="10"/>
    <x v="3"/>
  </r>
  <r>
    <s v="TX501979"/>
    <x v="8"/>
    <x v="2"/>
    <n v="33.5"/>
    <x v="427"/>
    <x v="72"/>
    <d v="2025-03-26T00:00:00"/>
    <s v="M"/>
    <x v="0"/>
    <x v="2"/>
    <x v="0"/>
    <x v="22"/>
    <x v="13"/>
    <x v="10"/>
    <x v="1"/>
  </r>
  <r>
    <s v="TX501980"/>
    <x v="4"/>
    <x v="7"/>
    <n v="36"/>
    <x v="1521"/>
    <x v="72"/>
    <d v="2025-03-14T00:00:00"/>
    <s v="M"/>
    <x v="3"/>
    <x v="2"/>
    <x v="0"/>
    <x v="3"/>
    <x v="7"/>
    <x v="10"/>
    <x v="1"/>
  </r>
  <r>
    <s v="TX501981"/>
    <x v="16"/>
    <x v="2"/>
    <n v="57.3"/>
    <x v="1522"/>
    <x v="72"/>
    <d v="2025-03-18T00:00:00"/>
    <s v="F"/>
    <x v="0"/>
    <x v="2"/>
    <x v="0"/>
    <x v="3"/>
    <x v="5"/>
    <x v="10"/>
    <x v="2"/>
  </r>
  <r>
    <s v="TX501982"/>
    <x v="1"/>
    <x v="0"/>
    <n v="81.400000000000006"/>
    <x v="1523"/>
    <x v="72"/>
    <d v="2025-03-15T00:00:00"/>
    <s v="F"/>
    <x v="2"/>
    <x v="2"/>
    <x v="0"/>
    <x v="3"/>
    <x v="3"/>
    <x v="10"/>
    <x v="2"/>
  </r>
  <r>
    <s v="TX501983"/>
    <x v="10"/>
    <x v="1"/>
    <n v="35.299999999999997"/>
    <x v="527"/>
    <x v="72"/>
    <d v="2025-03-18T00:00:00"/>
    <s v="M"/>
    <x v="0"/>
    <x v="2"/>
    <x v="0"/>
    <x v="3"/>
    <x v="5"/>
    <x v="10"/>
    <x v="1"/>
  </r>
  <r>
    <s v="TX501984"/>
    <x v="3"/>
    <x v="0"/>
    <n v="36.1"/>
    <x v="168"/>
    <x v="72"/>
    <d v="2025-03-15T00:00:00"/>
    <s v="F"/>
    <x v="4"/>
    <x v="0"/>
    <x v="0"/>
    <x v="3"/>
    <x v="3"/>
    <x v="10"/>
    <x v="2"/>
  </r>
  <r>
    <s v="TX501985"/>
    <x v="1"/>
    <x v="1"/>
    <n v="36.700000000000003"/>
    <x v="1524"/>
    <x v="72"/>
    <d v="2025-03-16T00:00:00"/>
    <s v="F"/>
    <x v="0"/>
    <x v="2"/>
    <x v="0"/>
    <x v="3"/>
    <x v="1"/>
    <x v="10"/>
    <x v="2"/>
  </r>
  <r>
    <s v="TX501986"/>
    <x v="10"/>
    <x v="0"/>
    <n v="20.9"/>
    <x v="798"/>
    <x v="72"/>
    <d v="2025-03-16T00:00:00"/>
    <s v="F"/>
    <x v="0"/>
    <x v="4"/>
    <x v="0"/>
    <x v="3"/>
    <x v="1"/>
    <x v="10"/>
    <x v="2"/>
  </r>
  <r>
    <s v="TX501987"/>
    <x v="12"/>
    <x v="2"/>
    <n v="58.8"/>
    <x v="1525"/>
    <x v="72"/>
    <d v="2025-03-18T00:00:00"/>
    <s v="M"/>
    <x v="0"/>
    <x v="2"/>
    <x v="0"/>
    <x v="25"/>
    <x v="5"/>
    <x v="10"/>
    <x v="1"/>
  </r>
  <r>
    <s v="TX501988"/>
    <x v="2"/>
    <x v="2"/>
    <n v="97.6"/>
    <x v="1526"/>
    <x v="73"/>
    <d v="2025-03-17T00:00:00"/>
    <s v=""/>
    <x v="0"/>
    <x v="0"/>
    <x v="0"/>
    <x v="6"/>
    <x v="1"/>
    <x v="10"/>
    <x v="0"/>
  </r>
  <r>
    <s v="TX501989"/>
    <x v="1"/>
    <x v="1"/>
    <n v="58.7"/>
    <x v="1527"/>
    <x v="73"/>
    <d v="2025-03-18T00:00:00"/>
    <s v="F"/>
    <x v="0"/>
    <x v="1"/>
    <x v="0"/>
    <x v="6"/>
    <x v="2"/>
    <x v="10"/>
    <x v="2"/>
  </r>
  <r>
    <s v="TX501990"/>
    <x v="6"/>
    <x v="9"/>
    <n v="71.900000000000006"/>
    <x v="1528"/>
    <x v="73"/>
    <d v="2025-03-16T00:00:00"/>
    <s v=""/>
    <x v="0"/>
    <x v="1"/>
    <x v="0"/>
    <x v="6"/>
    <x v="3"/>
    <x v="10"/>
    <x v="0"/>
  </r>
  <r>
    <s v="TX501991"/>
    <x v="1"/>
    <x v="1"/>
    <n v="62.4"/>
    <x v="1109"/>
    <x v="73"/>
    <d v="2025-03-17T00:00:00"/>
    <s v=""/>
    <x v="0"/>
    <x v="1"/>
    <x v="0"/>
    <x v="8"/>
    <x v="1"/>
    <x v="10"/>
    <x v="0"/>
  </r>
  <r>
    <s v="TX501992"/>
    <x v="6"/>
    <x v="27"/>
    <n v="53.8"/>
    <x v="1529"/>
    <x v="73"/>
    <d v="2025-03-16T00:00:00"/>
    <s v="F"/>
    <x v="1"/>
    <x v="0"/>
    <x v="0"/>
    <x v="8"/>
    <x v="3"/>
    <x v="10"/>
    <x v="2"/>
  </r>
  <r>
    <s v="TX501993"/>
    <x v="9"/>
    <x v="0"/>
    <n v="43.8"/>
    <x v="328"/>
    <x v="73"/>
    <d v="2025-03-22T00:00:00"/>
    <s v="F"/>
    <x v="0"/>
    <x v="2"/>
    <x v="0"/>
    <x v="8"/>
    <x v="6"/>
    <x v="10"/>
    <x v="2"/>
  </r>
  <r>
    <s v="TX501994"/>
    <x v="5"/>
    <x v="2"/>
    <n v="53.6"/>
    <x v="1530"/>
    <x v="73"/>
    <d v="2025-03-16T00:00:00"/>
    <s v="M"/>
    <x v="3"/>
    <x v="0"/>
    <x v="0"/>
    <x v="8"/>
    <x v="3"/>
    <x v="10"/>
    <x v="1"/>
  </r>
  <r>
    <s v="TX501995"/>
    <x v="12"/>
    <x v="1"/>
    <n v="84.3"/>
    <x v="1531"/>
    <x v="73"/>
    <d v="2025-03-18T00:00:00"/>
    <s v="M"/>
    <x v="4"/>
    <x v="1"/>
    <x v="0"/>
    <x v="8"/>
    <x v="2"/>
    <x v="10"/>
    <x v="1"/>
  </r>
  <r>
    <s v="TX501996"/>
    <x v="6"/>
    <x v="11"/>
    <n v="117.9"/>
    <x v="1532"/>
    <x v="73"/>
    <d v="2025-03-16T00:00:00"/>
    <s v="F"/>
    <x v="1"/>
    <x v="2"/>
    <x v="0"/>
    <x v="8"/>
    <x v="3"/>
    <x v="10"/>
    <x v="2"/>
  </r>
  <r>
    <s v="TX501997"/>
    <x v="4"/>
    <x v="8"/>
    <n v="30"/>
    <x v="1533"/>
    <x v="73"/>
    <d v="2025-03-16T00:00:00"/>
    <s v="F"/>
    <x v="1"/>
    <x v="0"/>
    <x v="0"/>
    <x v="26"/>
    <x v="3"/>
    <x v="10"/>
    <x v="2"/>
  </r>
  <r>
    <s v="TX501998"/>
    <x v="14"/>
    <x v="2"/>
    <n v="37.299999999999997"/>
    <x v="1534"/>
    <x v="73"/>
    <d v="2025-03-16T00:00:00"/>
    <s v="M"/>
    <x v="2"/>
    <x v="0"/>
    <x v="0"/>
    <x v="9"/>
    <x v="3"/>
    <x v="10"/>
    <x v="1"/>
  </r>
  <r>
    <s v="TX501999"/>
    <x v="4"/>
    <x v="11"/>
    <n v="25.1"/>
    <x v="1535"/>
    <x v="73"/>
    <d v="2025-03-17T00:00:00"/>
    <s v="M"/>
    <x v="1"/>
    <x v="2"/>
    <x v="0"/>
    <x v="11"/>
    <x v="1"/>
    <x v="10"/>
    <x v="1"/>
  </r>
  <r>
    <s v="TX502000"/>
    <x v="8"/>
    <x v="5"/>
    <n v="36"/>
    <x v="501"/>
    <x v="73"/>
    <d v="2025-03-25T00:00:00"/>
    <s v="M"/>
    <x v="1"/>
    <x v="0"/>
    <x v="0"/>
    <x v="18"/>
    <x v="14"/>
    <x v="10"/>
    <x v="1"/>
  </r>
  <r>
    <s v="TX502001"/>
    <x v="16"/>
    <x v="2"/>
    <n v="48.5"/>
    <x v="973"/>
    <x v="73"/>
    <d v="2025-03-19T00:00:00"/>
    <s v="F"/>
    <x v="1"/>
    <x v="0"/>
    <x v="0"/>
    <x v="19"/>
    <x v="5"/>
    <x v="10"/>
    <x v="2"/>
  </r>
  <r>
    <s v="TX502002"/>
    <x v="17"/>
    <x v="13"/>
    <n v="21.1"/>
    <x v="1077"/>
    <x v="73"/>
    <d v="2025-03-16T00:00:00"/>
    <s v="M"/>
    <x v="1"/>
    <x v="2"/>
    <x v="0"/>
    <x v="21"/>
    <x v="3"/>
    <x v="10"/>
    <x v="1"/>
  </r>
  <r>
    <s v="TX502003"/>
    <x v="15"/>
    <x v="21"/>
    <n v="43.2"/>
    <x v="1536"/>
    <x v="73"/>
    <d v="2025-03-16T00:00:00"/>
    <s v="O"/>
    <x v="0"/>
    <x v="1"/>
    <x v="0"/>
    <x v="21"/>
    <x v="3"/>
    <x v="10"/>
    <x v="3"/>
  </r>
  <r>
    <s v="TX502004"/>
    <x v="9"/>
    <x v="1"/>
    <n v="21.1"/>
    <x v="1283"/>
    <x v="73"/>
    <d v="2025-03-16T00:00:00"/>
    <s v=""/>
    <x v="3"/>
    <x v="1"/>
    <x v="0"/>
    <x v="21"/>
    <x v="3"/>
    <x v="10"/>
    <x v="0"/>
  </r>
  <r>
    <s v="TX502005"/>
    <x v="6"/>
    <x v="12"/>
    <n v="41.3"/>
    <x v="1537"/>
    <x v="73"/>
    <d v="2025-03-17T00:00:00"/>
    <s v="F"/>
    <x v="3"/>
    <x v="2"/>
    <x v="0"/>
    <x v="1"/>
    <x v="1"/>
    <x v="10"/>
    <x v="2"/>
  </r>
  <r>
    <s v="TX502006"/>
    <x v="8"/>
    <x v="1"/>
    <n v="15.3"/>
    <x v="1538"/>
    <x v="73"/>
    <d v="2025-03-18T00:00:00"/>
    <s v=""/>
    <x v="2"/>
    <x v="2"/>
    <x v="0"/>
    <x v="1"/>
    <x v="2"/>
    <x v="10"/>
    <x v="0"/>
  </r>
  <r>
    <s v="TX502007"/>
    <x v="1"/>
    <x v="0"/>
    <n v="54.6"/>
    <x v="1539"/>
    <x v="73"/>
    <d v="2025-03-17T00:00:00"/>
    <s v="M"/>
    <x v="1"/>
    <x v="1"/>
    <x v="0"/>
    <x v="2"/>
    <x v="1"/>
    <x v="10"/>
    <x v="1"/>
  </r>
  <r>
    <s v="TX502008"/>
    <x v="8"/>
    <x v="0"/>
    <n v="15.9"/>
    <x v="1021"/>
    <x v="73"/>
    <d v="2025-03-16T00:00:00"/>
    <s v="M"/>
    <x v="0"/>
    <x v="1"/>
    <x v="0"/>
    <x v="22"/>
    <x v="3"/>
    <x v="10"/>
    <x v="1"/>
  </r>
  <r>
    <s v="TX502009"/>
    <x v="9"/>
    <x v="0"/>
    <n v="50.2"/>
    <x v="486"/>
    <x v="73"/>
    <d v="2025-03-17T00:00:00"/>
    <s v="F"/>
    <x v="3"/>
    <x v="2"/>
    <x v="0"/>
    <x v="34"/>
    <x v="1"/>
    <x v="10"/>
    <x v="2"/>
  </r>
  <r>
    <s v="TX502010"/>
    <x v="11"/>
    <x v="12"/>
    <n v="85.1"/>
    <x v="1540"/>
    <x v="73"/>
    <d v="2025-03-16T00:00:00"/>
    <s v="F"/>
    <x v="3"/>
    <x v="4"/>
    <x v="0"/>
    <x v="34"/>
    <x v="3"/>
    <x v="10"/>
    <x v="2"/>
  </r>
  <r>
    <s v="TX502011"/>
    <x v="11"/>
    <x v="1"/>
    <n v="41.4"/>
    <x v="1182"/>
    <x v="73"/>
    <d v="2025-03-16T00:00:00"/>
    <s v="F"/>
    <x v="0"/>
    <x v="2"/>
    <x v="0"/>
    <x v="3"/>
    <x v="3"/>
    <x v="10"/>
    <x v="2"/>
  </r>
  <r>
    <s v="TX502012"/>
    <x v="4"/>
    <x v="3"/>
    <n v="32.700000000000003"/>
    <x v="1541"/>
    <x v="73"/>
    <d v="2025-03-16T00:00:00"/>
    <s v="F"/>
    <x v="2"/>
    <x v="1"/>
    <x v="0"/>
    <x v="3"/>
    <x v="3"/>
    <x v="10"/>
    <x v="2"/>
  </r>
  <r>
    <s v="TX502013"/>
    <x v="4"/>
    <x v="1"/>
    <n v="41.6"/>
    <x v="707"/>
    <x v="73"/>
    <d v="2025-03-17T00:00:00"/>
    <s v="M"/>
    <x v="4"/>
    <x v="1"/>
    <x v="0"/>
    <x v="3"/>
    <x v="1"/>
    <x v="10"/>
    <x v="1"/>
  </r>
  <r>
    <s v="TX502014"/>
    <x v="5"/>
    <x v="12"/>
    <n v="64.8"/>
    <x v="629"/>
    <x v="73"/>
    <d v="2025-03-16T00:00:00"/>
    <s v=""/>
    <x v="2"/>
    <x v="0"/>
    <x v="0"/>
    <x v="3"/>
    <x v="3"/>
    <x v="10"/>
    <x v="0"/>
  </r>
  <r>
    <s v="TX502015"/>
    <x v="15"/>
    <x v="1"/>
    <n v="33.6"/>
    <x v="863"/>
    <x v="73"/>
    <d v="2025-03-16T00:00:00"/>
    <s v="M"/>
    <x v="0"/>
    <x v="2"/>
    <x v="0"/>
    <x v="3"/>
    <x v="3"/>
    <x v="10"/>
    <x v="1"/>
  </r>
  <r>
    <s v="TX502016"/>
    <x v="6"/>
    <x v="2"/>
    <n v="100.7"/>
    <x v="1542"/>
    <x v="73"/>
    <d v="2025-03-16T00:00:00"/>
    <s v=""/>
    <x v="1"/>
    <x v="0"/>
    <x v="0"/>
    <x v="3"/>
    <x v="3"/>
    <x v="10"/>
    <x v="0"/>
  </r>
  <r>
    <s v="TX502017"/>
    <x v="4"/>
    <x v="1"/>
    <n v="49.3"/>
    <x v="1543"/>
    <x v="74"/>
    <d v="2025-03-18T00:00:00"/>
    <s v="F"/>
    <x v="4"/>
    <x v="2"/>
    <x v="0"/>
    <x v="3"/>
    <x v="1"/>
    <x v="11"/>
    <x v="2"/>
  </r>
  <r>
    <s v="TX502018"/>
    <x v="2"/>
    <x v="13"/>
    <n v="97"/>
    <x v="1544"/>
    <x v="74"/>
    <d v="2025-03-19T00:00:00"/>
    <s v="M"/>
    <x v="2"/>
    <x v="2"/>
    <x v="0"/>
    <x v="3"/>
    <x v="2"/>
    <x v="11"/>
    <x v="1"/>
  </r>
  <r>
    <s v="TX502019"/>
    <x v="0"/>
    <x v="13"/>
    <n v="25.2"/>
    <x v="277"/>
    <x v="74"/>
    <d v="2025-03-19T00:00:00"/>
    <s v="F"/>
    <x v="4"/>
    <x v="2"/>
    <x v="0"/>
    <x v="3"/>
    <x v="2"/>
    <x v="11"/>
    <x v="2"/>
  </r>
  <r>
    <s v="TX502020"/>
    <x v="0"/>
    <x v="5"/>
    <n v="12.2"/>
    <x v="1545"/>
    <x v="74"/>
    <d v="2025-03-17T00:00:00"/>
    <s v=""/>
    <x v="0"/>
    <x v="1"/>
    <x v="0"/>
    <x v="3"/>
    <x v="3"/>
    <x v="11"/>
    <x v="0"/>
  </r>
  <r>
    <s v="TX502021"/>
    <x v="8"/>
    <x v="3"/>
    <n v="38.799999999999997"/>
    <x v="1546"/>
    <x v="74"/>
    <d v="2025-03-18T00:00:00"/>
    <s v="F"/>
    <x v="1"/>
    <x v="1"/>
    <x v="0"/>
    <x v="23"/>
    <x v="1"/>
    <x v="11"/>
    <x v="2"/>
  </r>
  <r>
    <s v="TX502022"/>
    <x v="2"/>
    <x v="12"/>
    <n v="53.2"/>
    <x v="1547"/>
    <x v="74"/>
    <d v="2025-03-17T00:00:00"/>
    <s v="M"/>
    <x v="0"/>
    <x v="2"/>
    <x v="0"/>
    <x v="8"/>
    <x v="3"/>
    <x v="11"/>
    <x v="1"/>
  </r>
  <r>
    <s v="TX502023"/>
    <x v="6"/>
    <x v="3"/>
    <n v="151"/>
    <x v="1548"/>
    <x v="74"/>
    <d v="2025-03-17T00:00:00"/>
    <s v="O"/>
    <x v="1"/>
    <x v="1"/>
    <x v="0"/>
    <x v="8"/>
    <x v="3"/>
    <x v="11"/>
    <x v="3"/>
  </r>
  <r>
    <s v="TX502024"/>
    <x v="1"/>
    <x v="1"/>
    <n v="37.1"/>
    <x v="1314"/>
    <x v="74"/>
    <d v="2025-03-17T00:00:00"/>
    <s v="F"/>
    <x v="4"/>
    <x v="0"/>
    <x v="0"/>
    <x v="8"/>
    <x v="3"/>
    <x v="11"/>
    <x v="2"/>
  </r>
  <r>
    <s v="TX502025"/>
    <x v="5"/>
    <x v="1"/>
    <n v="38.9"/>
    <x v="482"/>
    <x v="74"/>
    <d v="2025-03-17T00:00:00"/>
    <s v="M"/>
    <x v="4"/>
    <x v="0"/>
    <x v="0"/>
    <x v="8"/>
    <x v="3"/>
    <x v="11"/>
    <x v="1"/>
  </r>
  <r>
    <s v="TX502026"/>
    <x v="10"/>
    <x v="1"/>
    <n v="35.200000000000003"/>
    <x v="1549"/>
    <x v="74"/>
    <d v="2025-03-17T00:00:00"/>
    <s v="M"/>
    <x v="0"/>
    <x v="2"/>
    <x v="0"/>
    <x v="17"/>
    <x v="3"/>
    <x v="11"/>
    <x v="1"/>
  </r>
  <r>
    <s v="TX502027"/>
    <x v="0"/>
    <x v="1"/>
    <n v="22.3"/>
    <x v="225"/>
    <x v="74"/>
    <d v="2025-03-18T00:00:00"/>
    <s v="F"/>
    <x v="1"/>
    <x v="0"/>
    <x v="0"/>
    <x v="9"/>
    <x v="1"/>
    <x v="11"/>
    <x v="2"/>
  </r>
  <r>
    <s v="TX502028"/>
    <x v="9"/>
    <x v="0"/>
    <n v="43.3"/>
    <x v="1286"/>
    <x v="74"/>
    <d v="2025-03-19T00:00:00"/>
    <s v="F"/>
    <x v="0"/>
    <x v="2"/>
    <x v="0"/>
    <x v="11"/>
    <x v="2"/>
    <x v="11"/>
    <x v="2"/>
  </r>
  <r>
    <s v="TX502029"/>
    <x v="6"/>
    <x v="13"/>
    <n v="75.900000000000006"/>
    <x v="1550"/>
    <x v="74"/>
    <d v="2025-03-22T00:00:00"/>
    <s v="M"/>
    <x v="0"/>
    <x v="0"/>
    <x v="0"/>
    <x v="11"/>
    <x v="4"/>
    <x v="11"/>
    <x v="1"/>
  </r>
  <r>
    <s v="TX502030"/>
    <x v="6"/>
    <x v="2"/>
    <n v="78.7"/>
    <x v="1551"/>
    <x v="74"/>
    <d v="2025-03-20T00:00:00"/>
    <s v="F"/>
    <x v="2"/>
    <x v="1"/>
    <x v="0"/>
    <x v="11"/>
    <x v="5"/>
    <x v="11"/>
    <x v="2"/>
  </r>
  <r>
    <s v="TX502031"/>
    <x v="1"/>
    <x v="0"/>
    <n v="66.3"/>
    <x v="1124"/>
    <x v="74"/>
    <d v="2025-03-20T00:00:00"/>
    <s v="F"/>
    <x v="0"/>
    <x v="2"/>
    <x v="0"/>
    <x v="19"/>
    <x v="5"/>
    <x v="11"/>
    <x v="2"/>
  </r>
  <r>
    <s v="TX502032"/>
    <x v="8"/>
    <x v="1"/>
    <n v="33.6"/>
    <x v="863"/>
    <x v="74"/>
    <d v="2025-03-16T00:00:00"/>
    <s v="M"/>
    <x v="0"/>
    <x v="1"/>
    <x v="0"/>
    <x v="19"/>
    <x v="7"/>
    <x v="11"/>
    <x v="1"/>
  </r>
  <r>
    <s v="TX502033"/>
    <x v="2"/>
    <x v="3"/>
    <n v="61.4"/>
    <x v="1552"/>
    <x v="74"/>
    <d v="2025-03-17T00:00:00"/>
    <s v="M"/>
    <x v="4"/>
    <x v="0"/>
    <x v="0"/>
    <x v="19"/>
    <x v="3"/>
    <x v="11"/>
    <x v="1"/>
  </r>
  <r>
    <s v="TX502034"/>
    <x v="8"/>
    <x v="1"/>
    <n v="17.5"/>
    <x v="1553"/>
    <x v="74"/>
    <d v="2025-03-19T00:00:00"/>
    <s v="F"/>
    <x v="0"/>
    <x v="0"/>
    <x v="0"/>
    <x v="21"/>
    <x v="2"/>
    <x v="11"/>
    <x v="2"/>
  </r>
  <r>
    <s v="TX502035"/>
    <x v="8"/>
    <x v="1"/>
    <n v="32.5"/>
    <x v="891"/>
    <x v="74"/>
    <d v="2025-03-19T00:00:00"/>
    <s v="F"/>
    <x v="1"/>
    <x v="0"/>
    <x v="0"/>
    <x v="21"/>
    <x v="2"/>
    <x v="11"/>
    <x v="2"/>
  </r>
  <r>
    <s v="TX502036"/>
    <x v="4"/>
    <x v="0"/>
    <n v="34.6"/>
    <x v="169"/>
    <x v="74"/>
    <d v="2025-03-17T00:00:00"/>
    <s v="F"/>
    <x v="4"/>
    <x v="0"/>
    <x v="0"/>
    <x v="21"/>
    <x v="3"/>
    <x v="11"/>
    <x v="2"/>
  </r>
  <r>
    <s v="TX502037"/>
    <x v="2"/>
    <x v="0"/>
    <n v="75.900000000000006"/>
    <x v="1554"/>
    <x v="74"/>
    <d v="2025-03-16T00:00:00"/>
    <s v="M"/>
    <x v="1"/>
    <x v="2"/>
    <x v="0"/>
    <x v="21"/>
    <x v="7"/>
    <x v="11"/>
    <x v="1"/>
  </r>
  <r>
    <s v="TX502038"/>
    <x v="1"/>
    <x v="2"/>
    <n v="42.1"/>
    <x v="1555"/>
    <x v="74"/>
    <d v="2025-03-19T00:00:00"/>
    <s v="M"/>
    <x v="1"/>
    <x v="1"/>
    <x v="0"/>
    <x v="21"/>
    <x v="2"/>
    <x v="11"/>
    <x v="1"/>
  </r>
  <r>
    <s v="TX502039"/>
    <x v="7"/>
    <x v="2"/>
    <n v="65.3"/>
    <x v="243"/>
    <x v="74"/>
    <d v="2025-03-23T00:00:00"/>
    <s v="M"/>
    <x v="0"/>
    <x v="0"/>
    <x v="0"/>
    <x v="1"/>
    <x v="6"/>
    <x v="11"/>
    <x v="1"/>
  </r>
  <r>
    <s v="TX502040"/>
    <x v="15"/>
    <x v="0"/>
    <n v="20.6"/>
    <x v="1500"/>
    <x v="74"/>
    <d v="2025-03-19T00:00:00"/>
    <s v="M"/>
    <x v="3"/>
    <x v="0"/>
    <x v="0"/>
    <x v="42"/>
    <x v="2"/>
    <x v="11"/>
    <x v="1"/>
  </r>
  <r>
    <s v="TX502041"/>
    <x v="8"/>
    <x v="3"/>
    <n v="16.5"/>
    <x v="100"/>
    <x v="74"/>
    <d v="2025-03-17T00:00:00"/>
    <s v="M"/>
    <x v="1"/>
    <x v="1"/>
    <x v="0"/>
    <x v="2"/>
    <x v="3"/>
    <x v="11"/>
    <x v="1"/>
  </r>
  <r>
    <s v="TX502042"/>
    <x v="16"/>
    <x v="7"/>
    <n v="36.200000000000003"/>
    <x v="1556"/>
    <x v="74"/>
    <d v="2025-03-18T00:00:00"/>
    <s v="M"/>
    <x v="0"/>
    <x v="2"/>
    <x v="0"/>
    <x v="2"/>
    <x v="1"/>
    <x v="11"/>
    <x v="1"/>
  </r>
  <r>
    <s v="TX502043"/>
    <x v="6"/>
    <x v="0"/>
    <n v="53.2"/>
    <x v="1557"/>
    <x v="74"/>
    <d v="2025-03-17T00:00:00"/>
    <s v="F"/>
    <x v="0"/>
    <x v="1"/>
    <x v="0"/>
    <x v="22"/>
    <x v="3"/>
    <x v="11"/>
    <x v="2"/>
  </r>
  <r>
    <s v="TX502044"/>
    <x v="2"/>
    <x v="21"/>
    <n v="176"/>
    <x v="1558"/>
    <x v="74"/>
    <d v="2025-03-17T00:00:00"/>
    <s v="F"/>
    <x v="0"/>
    <x v="1"/>
    <x v="0"/>
    <x v="3"/>
    <x v="3"/>
    <x v="11"/>
    <x v="2"/>
  </r>
  <r>
    <s v="TX502045"/>
    <x v="1"/>
    <x v="0"/>
    <n v="52.4"/>
    <x v="1559"/>
    <x v="74"/>
    <d v="2025-03-17T00:00:00"/>
    <s v="M"/>
    <x v="1"/>
    <x v="0"/>
    <x v="0"/>
    <x v="3"/>
    <x v="3"/>
    <x v="11"/>
    <x v="1"/>
  </r>
  <r>
    <s v="TX502046"/>
    <x v="10"/>
    <x v="2"/>
    <n v="48.2"/>
    <x v="1435"/>
    <x v="74"/>
    <d v="2025-03-17T00:00:00"/>
    <s v="F"/>
    <x v="1"/>
    <x v="2"/>
    <x v="0"/>
    <x v="3"/>
    <x v="3"/>
    <x v="11"/>
    <x v="2"/>
  </r>
  <r>
    <s v="TX502047"/>
    <x v="15"/>
    <x v="0"/>
    <n v="51.6"/>
    <x v="937"/>
    <x v="74"/>
    <d v="2025-03-20T00:00:00"/>
    <s v="F"/>
    <x v="2"/>
    <x v="1"/>
    <x v="0"/>
    <x v="3"/>
    <x v="5"/>
    <x v="11"/>
    <x v="2"/>
  </r>
  <r>
    <s v="TX502048"/>
    <x v="0"/>
    <x v="12"/>
    <n v="33.700000000000003"/>
    <x v="1093"/>
    <x v="75"/>
    <d v="2025-03-18T00:00:00"/>
    <s v="M"/>
    <x v="0"/>
    <x v="0"/>
    <x v="0"/>
    <x v="3"/>
    <x v="3"/>
    <x v="11"/>
    <x v="1"/>
  </r>
  <r>
    <s v="TX502049"/>
    <x v="4"/>
    <x v="7"/>
    <n v="36.299999999999997"/>
    <x v="1560"/>
    <x v="75"/>
    <d v="2025-03-19T00:00:00"/>
    <s v="F"/>
    <x v="4"/>
    <x v="1"/>
    <x v="0"/>
    <x v="3"/>
    <x v="1"/>
    <x v="11"/>
    <x v="2"/>
  </r>
  <r>
    <s v="TX502050"/>
    <x v="8"/>
    <x v="0"/>
    <n v="23.4"/>
    <x v="1561"/>
    <x v="75"/>
    <d v="2025-03-22T00:00:00"/>
    <s v="F"/>
    <x v="1"/>
    <x v="2"/>
    <x v="0"/>
    <x v="3"/>
    <x v="0"/>
    <x v="11"/>
    <x v="2"/>
  </r>
  <r>
    <s v="TX502051"/>
    <x v="15"/>
    <x v="8"/>
    <n v="56.6"/>
    <x v="1562"/>
    <x v="75"/>
    <d v="2025-03-19T00:00:00"/>
    <s v="F"/>
    <x v="1"/>
    <x v="0"/>
    <x v="0"/>
    <x v="3"/>
    <x v="1"/>
    <x v="11"/>
    <x v="2"/>
  </r>
  <r>
    <s v="TX502052"/>
    <x v="15"/>
    <x v="1"/>
    <n v="26.8"/>
    <x v="1563"/>
    <x v="75"/>
    <d v="2025-03-18T00:00:00"/>
    <s v="M"/>
    <x v="0"/>
    <x v="0"/>
    <x v="0"/>
    <x v="4"/>
    <x v="3"/>
    <x v="11"/>
    <x v="1"/>
  </r>
  <r>
    <s v="TX502053"/>
    <x v="0"/>
    <x v="2"/>
    <n v="11.3"/>
    <x v="1564"/>
    <x v="75"/>
    <d v="2025-03-19T00:00:00"/>
    <s v="M"/>
    <x v="2"/>
    <x v="0"/>
    <x v="0"/>
    <x v="25"/>
    <x v="1"/>
    <x v="11"/>
    <x v="1"/>
  </r>
  <r>
    <s v="TX502054"/>
    <x v="6"/>
    <x v="2"/>
    <n v="60.1"/>
    <x v="1565"/>
    <x v="75"/>
    <d v="2025-03-20T00:00:00"/>
    <s v="F"/>
    <x v="0"/>
    <x v="0"/>
    <x v="0"/>
    <x v="7"/>
    <x v="2"/>
    <x v="11"/>
    <x v="2"/>
  </r>
  <r>
    <s v="TX502055"/>
    <x v="0"/>
    <x v="5"/>
    <n v="27.7"/>
    <x v="1566"/>
    <x v="75"/>
    <d v="2025-03-22T00:00:00"/>
    <s v="F"/>
    <x v="0"/>
    <x v="0"/>
    <x v="0"/>
    <x v="8"/>
    <x v="0"/>
    <x v="11"/>
    <x v="2"/>
  </r>
  <r>
    <s v="TX502056"/>
    <x v="15"/>
    <x v="0"/>
    <n v="71.400000000000006"/>
    <x v="660"/>
    <x v="75"/>
    <d v="2025-03-20T00:00:00"/>
    <s v="M"/>
    <x v="0"/>
    <x v="2"/>
    <x v="0"/>
    <x v="8"/>
    <x v="2"/>
    <x v="11"/>
    <x v="1"/>
  </r>
  <r>
    <s v="TX502057"/>
    <x v="2"/>
    <x v="1"/>
    <n v="66.7"/>
    <x v="1567"/>
    <x v="75"/>
    <d v="2025-03-18T00:00:00"/>
    <s v="F"/>
    <x v="0"/>
    <x v="2"/>
    <x v="0"/>
    <x v="8"/>
    <x v="3"/>
    <x v="11"/>
    <x v="2"/>
  </r>
  <r>
    <s v="TX502058"/>
    <x v="13"/>
    <x v="9"/>
    <n v="39.1"/>
    <x v="1568"/>
    <x v="75"/>
    <d v="2025-03-18T00:00:00"/>
    <s v="F"/>
    <x v="0"/>
    <x v="0"/>
    <x v="0"/>
    <x v="8"/>
    <x v="3"/>
    <x v="11"/>
    <x v="2"/>
  </r>
  <r>
    <s v="TX502059"/>
    <x v="8"/>
    <x v="12"/>
    <n v="24.9"/>
    <x v="1569"/>
    <x v="75"/>
    <d v="2025-03-22T00:00:00"/>
    <s v="M"/>
    <x v="1"/>
    <x v="2"/>
    <x v="0"/>
    <x v="8"/>
    <x v="0"/>
    <x v="11"/>
    <x v="1"/>
  </r>
  <r>
    <s v="TX502060"/>
    <x v="5"/>
    <x v="9"/>
    <n v="29.2"/>
    <x v="1570"/>
    <x v="75"/>
    <d v="2025-03-18T00:00:00"/>
    <s v="M"/>
    <x v="0"/>
    <x v="2"/>
    <x v="0"/>
    <x v="17"/>
    <x v="3"/>
    <x v="11"/>
    <x v="1"/>
  </r>
  <r>
    <s v="TX502061"/>
    <x v="13"/>
    <x v="21"/>
    <n v="28.3"/>
    <x v="1571"/>
    <x v="75"/>
    <d v="2025-03-19T00:00:00"/>
    <s v="F"/>
    <x v="1"/>
    <x v="0"/>
    <x v="0"/>
    <x v="11"/>
    <x v="1"/>
    <x v="11"/>
    <x v="2"/>
  </r>
  <r>
    <s v="TX502062"/>
    <x v="9"/>
    <x v="2"/>
    <n v="37.799999999999997"/>
    <x v="1413"/>
    <x v="75"/>
    <d v="2025-03-18T00:00:00"/>
    <s v="F"/>
    <x v="0"/>
    <x v="1"/>
    <x v="0"/>
    <x v="11"/>
    <x v="3"/>
    <x v="11"/>
    <x v="2"/>
  </r>
  <r>
    <s v="TX502063"/>
    <x v="14"/>
    <x v="3"/>
    <n v="28.1"/>
    <x v="1572"/>
    <x v="75"/>
    <d v="2025-03-23T00:00:00"/>
    <s v="F"/>
    <x v="2"/>
    <x v="0"/>
    <x v="0"/>
    <x v="11"/>
    <x v="4"/>
    <x v="11"/>
    <x v="2"/>
  </r>
  <r>
    <s v="TX502064"/>
    <x v="1"/>
    <x v="2"/>
    <n v="59.7"/>
    <x v="1573"/>
    <x v="75"/>
    <d v="2025-03-19T00:00:00"/>
    <s v="F"/>
    <x v="2"/>
    <x v="0"/>
    <x v="0"/>
    <x v="11"/>
    <x v="1"/>
    <x v="11"/>
    <x v="2"/>
  </r>
  <r>
    <s v="TX502065"/>
    <x v="16"/>
    <x v="0"/>
    <n v="71.900000000000006"/>
    <x v="1574"/>
    <x v="75"/>
    <d v="2025-03-18T00:00:00"/>
    <s v="M"/>
    <x v="1"/>
    <x v="1"/>
    <x v="0"/>
    <x v="11"/>
    <x v="3"/>
    <x v="11"/>
    <x v="1"/>
  </r>
  <r>
    <s v="TX502066"/>
    <x v="1"/>
    <x v="1"/>
    <n v="56.9"/>
    <x v="1575"/>
    <x v="75"/>
    <d v="2025-03-18T00:00:00"/>
    <s v="M"/>
    <x v="2"/>
    <x v="0"/>
    <x v="0"/>
    <x v="13"/>
    <x v="3"/>
    <x v="11"/>
    <x v="1"/>
  </r>
  <r>
    <s v="TX502067"/>
    <x v="8"/>
    <x v="1"/>
    <n v="15.8"/>
    <x v="35"/>
    <x v="75"/>
    <d v="2025-03-20T00:00:00"/>
    <s v="F"/>
    <x v="2"/>
    <x v="1"/>
    <x v="0"/>
    <x v="1"/>
    <x v="2"/>
    <x v="11"/>
    <x v="2"/>
  </r>
  <r>
    <s v="TX502068"/>
    <x v="11"/>
    <x v="12"/>
    <n v="61.7"/>
    <x v="1576"/>
    <x v="75"/>
    <d v="2025-03-19T00:00:00"/>
    <s v="F"/>
    <x v="2"/>
    <x v="0"/>
    <x v="0"/>
    <x v="22"/>
    <x v="1"/>
    <x v="11"/>
    <x v="2"/>
  </r>
  <r>
    <s v="TX502069"/>
    <x v="2"/>
    <x v="7"/>
    <n v="105.2"/>
    <x v="1577"/>
    <x v="75"/>
    <d v="2025-03-19T00:00:00"/>
    <s v="M"/>
    <x v="1"/>
    <x v="4"/>
    <x v="0"/>
    <x v="3"/>
    <x v="1"/>
    <x v="11"/>
    <x v="1"/>
  </r>
  <r>
    <s v="TX502070"/>
    <x v="0"/>
    <x v="1"/>
    <n v="17"/>
    <x v="1222"/>
    <x v="75"/>
    <d v="2025-03-19T00:00:00"/>
    <s v="F"/>
    <x v="2"/>
    <x v="0"/>
    <x v="0"/>
    <x v="3"/>
    <x v="1"/>
    <x v="11"/>
    <x v="2"/>
  </r>
  <r>
    <s v="TX502071"/>
    <x v="6"/>
    <x v="2"/>
    <n v="84.1"/>
    <x v="1578"/>
    <x v="75"/>
    <d v="2025-03-18T00:00:00"/>
    <s v="M"/>
    <x v="2"/>
    <x v="0"/>
    <x v="0"/>
    <x v="3"/>
    <x v="3"/>
    <x v="11"/>
    <x v="1"/>
  </r>
  <r>
    <s v="TX502072"/>
    <x v="3"/>
    <x v="12"/>
    <n v="59.5"/>
    <x v="1248"/>
    <x v="75"/>
    <d v="2025-03-22T00:00:00"/>
    <s v="M"/>
    <x v="0"/>
    <x v="2"/>
    <x v="0"/>
    <x v="3"/>
    <x v="0"/>
    <x v="11"/>
    <x v="1"/>
  </r>
  <r>
    <s v="TX502073"/>
    <x v="8"/>
    <x v="1"/>
    <n v="57.5"/>
    <x v="1579"/>
    <x v="75"/>
    <d v="2025-03-19T00:00:00"/>
    <s v="M"/>
    <x v="1"/>
    <x v="2"/>
    <x v="0"/>
    <x v="3"/>
    <x v="1"/>
    <x v="11"/>
    <x v="1"/>
  </r>
  <r>
    <s v="TX502074"/>
    <x v="8"/>
    <x v="0"/>
    <n v="34.299999999999997"/>
    <x v="1580"/>
    <x v="75"/>
    <d v="2025-03-18T00:00:00"/>
    <s v="F"/>
    <x v="4"/>
    <x v="2"/>
    <x v="0"/>
    <x v="3"/>
    <x v="3"/>
    <x v="11"/>
    <x v="2"/>
  </r>
  <r>
    <s v="TX502075"/>
    <x v="5"/>
    <x v="1"/>
    <n v="27.8"/>
    <x v="1581"/>
    <x v="76"/>
    <d v="2025-03-20T00:00:00"/>
    <s v="F"/>
    <x v="0"/>
    <x v="0"/>
    <x v="0"/>
    <x v="3"/>
    <x v="1"/>
    <x v="11"/>
    <x v="2"/>
  </r>
  <r>
    <s v="TX502076"/>
    <x v="12"/>
    <x v="1"/>
    <n v="85"/>
    <x v="393"/>
    <x v="76"/>
    <d v="2025-03-18T00:00:00"/>
    <s v="M"/>
    <x v="2"/>
    <x v="2"/>
    <x v="0"/>
    <x v="3"/>
    <x v="7"/>
    <x v="11"/>
    <x v="1"/>
  </r>
  <r>
    <s v="TX502077"/>
    <x v="6"/>
    <x v="1"/>
    <n v="95"/>
    <x v="1582"/>
    <x v="76"/>
    <d v="2025-03-20T00:00:00"/>
    <s v="F"/>
    <x v="0"/>
    <x v="0"/>
    <x v="0"/>
    <x v="3"/>
    <x v="1"/>
    <x v="11"/>
    <x v="2"/>
  </r>
  <r>
    <s v="TX502078"/>
    <x v="16"/>
    <x v="1"/>
    <n v="32"/>
    <x v="34"/>
    <x v="76"/>
    <d v="2025-03-20T00:00:00"/>
    <s v="M"/>
    <x v="0"/>
    <x v="1"/>
    <x v="0"/>
    <x v="3"/>
    <x v="1"/>
    <x v="11"/>
    <x v="1"/>
  </r>
  <r>
    <s v="TX502079"/>
    <x v="2"/>
    <x v="1"/>
    <n v="65.2"/>
    <x v="1583"/>
    <x v="76"/>
    <d v="2025-03-19T00:00:00"/>
    <s v="F"/>
    <x v="1"/>
    <x v="0"/>
    <x v="0"/>
    <x v="3"/>
    <x v="3"/>
    <x v="11"/>
    <x v="2"/>
  </r>
  <r>
    <s v="TX502080"/>
    <x v="17"/>
    <x v="12"/>
    <n v="22"/>
    <x v="1155"/>
    <x v="76"/>
    <d v="2025-03-19T00:00:00"/>
    <s v="M"/>
    <x v="1"/>
    <x v="2"/>
    <x v="0"/>
    <x v="3"/>
    <x v="3"/>
    <x v="11"/>
    <x v="1"/>
  </r>
  <r>
    <s v="TX502081"/>
    <x v="15"/>
    <x v="2"/>
    <n v="69.400000000000006"/>
    <x v="140"/>
    <x v="76"/>
    <d v="2025-03-21T00:00:00"/>
    <s v="M"/>
    <x v="1"/>
    <x v="2"/>
    <x v="0"/>
    <x v="3"/>
    <x v="2"/>
    <x v="11"/>
    <x v="1"/>
  </r>
  <r>
    <s v="TX502082"/>
    <x v="10"/>
    <x v="13"/>
    <n v="31.5"/>
    <x v="620"/>
    <x v="76"/>
    <d v="2025-03-20T00:00:00"/>
    <s v="F"/>
    <x v="0"/>
    <x v="2"/>
    <x v="0"/>
    <x v="3"/>
    <x v="1"/>
    <x v="11"/>
    <x v="2"/>
  </r>
  <r>
    <s v="TX502083"/>
    <x v="6"/>
    <x v="0"/>
    <n v="45.8"/>
    <x v="494"/>
    <x v="76"/>
    <d v="2025-03-22T00:00:00"/>
    <s v="O"/>
    <x v="0"/>
    <x v="0"/>
    <x v="0"/>
    <x v="3"/>
    <x v="5"/>
    <x v="11"/>
    <x v="3"/>
  </r>
  <r>
    <s v="TX502084"/>
    <x v="19"/>
    <x v="12"/>
    <n v="12.8"/>
    <x v="180"/>
    <x v="76"/>
    <d v="2025-03-25T00:00:00"/>
    <s v="F"/>
    <x v="1"/>
    <x v="1"/>
    <x v="0"/>
    <x v="5"/>
    <x v="6"/>
    <x v="11"/>
    <x v="2"/>
  </r>
  <r>
    <s v="TX502085"/>
    <x v="5"/>
    <x v="2"/>
    <n v="115.3"/>
    <x v="1584"/>
    <x v="76"/>
    <d v="2025-03-19T00:00:00"/>
    <s v="F"/>
    <x v="2"/>
    <x v="2"/>
    <x v="0"/>
    <x v="6"/>
    <x v="3"/>
    <x v="11"/>
    <x v="2"/>
  </r>
  <r>
    <s v="TX502086"/>
    <x v="5"/>
    <x v="1"/>
    <n v="85"/>
    <x v="393"/>
    <x v="76"/>
    <d v="2025-03-20T00:00:00"/>
    <s v="F"/>
    <x v="1"/>
    <x v="0"/>
    <x v="0"/>
    <x v="7"/>
    <x v="1"/>
    <x v="11"/>
    <x v="2"/>
  </r>
  <r>
    <s v="TX502087"/>
    <x v="8"/>
    <x v="2"/>
    <n v="56.6"/>
    <x v="1026"/>
    <x v="76"/>
    <d v="2025-03-19T00:00:00"/>
    <s v="F"/>
    <x v="1"/>
    <x v="2"/>
    <x v="0"/>
    <x v="7"/>
    <x v="3"/>
    <x v="11"/>
    <x v="2"/>
  </r>
  <r>
    <s v="TX502088"/>
    <x v="15"/>
    <x v="6"/>
    <n v="46.3"/>
    <x v="1585"/>
    <x v="76"/>
    <d v="2025-03-21T00:00:00"/>
    <s v="M"/>
    <x v="0"/>
    <x v="0"/>
    <x v="0"/>
    <x v="7"/>
    <x v="2"/>
    <x v="11"/>
    <x v="1"/>
  </r>
  <r>
    <s v="TX502089"/>
    <x v="14"/>
    <x v="12"/>
    <n v="23"/>
    <x v="988"/>
    <x v="76"/>
    <d v="2025-03-22T00:00:00"/>
    <s v="M"/>
    <x v="3"/>
    <x v="2"/>
    <x v="0"/>
    <x v="7"/>
    <x v="5"/>
    <x v="11"/>
    <x v="1"/>
  </r>
  <r>
    <s v="TX502090"/>
    <x v="8"/>
    <x v="13"/>
    <n v="42.1"/>
    <x v="1586"/>
    <x v="76"/>
    <d v="2025-03-20T00:00:00"/>
    <s v="M"/>
    <x v="4"/>
    <x v="0"/>
    <x v="0"/>
    <x v="8"/>
    <x v="1"/>
    <x v="11"/>
    <x v="1"/>
  </r>
  <r>
    <s v="TX502091"/>
    <x v="5"/>
    <x v="3"/>
    <n v="57.4"/>
    <x v="1587"/>
    <x v="76"/>
    <d v="2025-03-22T00:00:00"/>
    <s v="F"/>
    <x v="1"/>
    <x v="4"/>
    <x v="0"/>
    <x v="8"/>
    <x v="5"/>
    <x v="11"/>
    <x v="2"/>
  </r>
  <r>
    <s v="TX502092"/>
    <x v="0"/>
    <x v="13"/>
    <n v="13.2"/>
    <x v="1113"/>
    <x v="76"/>
    <d v="2025-03-22T00:00:00"/>
    <s v="M"/>
    <x v="2"/>
    <x v="0"/>
    <x v="0"/>
    <x v="8"/>
    <x v="5"/>
    <x v="11"/>
    <x v="1"/>
  </r>
  <r>
    <s v="TX502093"/>
    <x v="6"/>
    <x v="2"/>
    <n v="52.3"/>
    <x v="1588"/>
    <x v="76"/>
    <d v="2025-03-19T00:00:00"/>
    <s v="M"/>
    <x v="1"/>
    <x v="0"/>
    <x v="0"/>
    <x v="8"/>
    <x v="3"/>
    <x v="11"/>
    <x v="1"/>
  </r>
  <r>
    <s v="TX502094"/>
    <x v="8"/>
    <x v="1"/>
    <n v="15.7"/>
    <x v="1323"/>
    <x v="76"/>
    <d v="2025-03-21T00:00:00"/>
    <s v="M"/>
    <x v="1"/>
    <x v="2"/>
    <x v="0"/>
    <x v="8"/>
    <x v="2"/>
    <x v="11"/>
    <x v="1"/>
  </r>
  <r>
    <s v="TX502095"/>
    <x v="7"/>
    <x v="2"/>
    <n v="35"/>
    <x v="211"/>
    <x v="76"/>
    <d v="2025-03-21T00:00:00"/>
    <s v="F"/>
    <x v="1"/>
    <x v="2"/>
    <x v="0"/>
    <x v="9"/>
    <x v="2"/>
    <x v="11"/>
    <x v="2"/>
  </r>
  <r>
    <s v="TX502096"/>
    <x v="4"/>
    <x v="2"/>
    <n v="26.6"/>
    <x v="1589"/>
    <x v="76"/>
    <d v="2025-03-18T00:00:00"/>
    <s v="M"/>
    <x v="1"/>
    <x v="2"/>
    <x v="0"/>
    <x v="11"/>
    <x v="7"/>
    <x v="11"/>
    <x v="1"/>
  </r>
  <r>
    <s v="TX502097"/>
    <x v="4"/>
    <x v="8"/>
    <n v="47.9"/>
    <x v="1590"/>
    <x v="77"/>
    <d v="2025-03-20T00:00:00"/>
    <s v="F"/>
    <x v="3"/>
    <x v="2"/>
    <x v="0"/>
    <x v="20"/>
    <x v="3"/>
    <x v="11"/>
    <x v="2"/>
  </r>
  <r>
    <s v="TX502098"/>
    <x v="5"/>
    <x v="0"/>
    <n v="80.099999999999994"/>
    <x v="1133"/>
    <x v="77"/>
    <d v="2025-03-20T00:00:00"/>
    <s v="M"/>
    <x v="2"/>
    <x v="0"/>
    <x v="0"/>
    <x v="21"/>
    <x v="3"/>
    <x v="11"/>
    <x v="1"/>
  </r>
  <r>
    <s v="TX502099"/>
    <x v="6"/>
    <x v="9"/>
    <n v="50.4"/>
    <x v="816"/>
    <x v="77"/>
    <d v="2025-03-20T00:00:00"/>
    <s v="M"/>
    <x v="1"/>
    <x v="2"/>
    <x v="0"/>
    <x v="21"/>
    <x v="3"/>
    <x v="11"/>
    <x v="1"/>
  </r>
  <r>
    <s v="TX502100"/>
    <x v="10"/>
    <x v="3"/>
    <n v="43.3"/>
    <x v="1591"/>
    <x v="77"/>
    <d v="2025-03-20T00:00:00"/>
    <s v="M"/>
    <x v="2"/>
    <x v="0"/>
    <x v="0"/>
    <x v="21"/>
    <x v="3"/>
    <x v="11"/>
    <x v="1"/>
  </r>
  <r>
    <s v="TX502101"/>
    <x v="10"/>
    <x v="12"/>
    <n v="57.5"/>
    <x v="984"/>
    <x v="77"/>
    <d v="2025-03-20T00:00:00"/>
    <s v="F"/>
    <x v="1"/>
    <x v="2"/>
    <x v="0"/>
    <x v="1"/>
    <x v="3"/>
    <x v="11"/>
    <x v="2"/>
  </r>
  <r>
    <s v="TX502102"/>
    <x v="9"/>
    <x v="15"/>
    <n v="24.8"/>
    <x v="1592"/>
    <x v="77"/>
    <d v="2025-03-20T00:00:00"/>
    <s v="M"/>
    <x v="0"/>
    <x v="0"/>
    <x v="0"/>
    <x v="57"/>
    <x v="3"/>
    <x v="11"/>
    <x v="1"/>
  </r>
  <r>
    <s v="TX502103"/>
    <x v="2"/>
    <x v="11"/>
    <n v="85.7"/>
    <x v="1593"/>
    <x v="77"/>
    <d v="2025-03-20T00:00:00"/>
    <s v="F"/>
    <x v="0"/>
    <x v="0"/>
    <x v="0"/>
    <x v="42"/>
    <x v="3"/>
    <x v="11"/>
    <x v="2"/>
  </r>
  <r>
    <s v="TX502104"/>
    <x v="7"/>
    <x v="0"/>
    <n v="47.1"/>
    <x v="392"/>
    <x v="77"/>
    <d v="2025-03-21T00:00:00"/>
    <s v="F"/>
    <x v="0"/>
    <x v="0"/>
    <x v="0"/>
    <x v="2"/>
    <x v="1"/>
    <x v="11"/>
    <x v="2"/>
  </r>
  <r>
    <s v="TX502105"/>
    <x v="5"/>
    <x v="7"/>
    <n v="83.2"/>
    <x v="1594"/>
    <x v="77"/>
    <d v="2025-03-23T00:00:00"/>
    <s v="F"/>
    <x v="0"/>
    <x v="0"/>
    <x v="0"/>
    <x v="33"/>
    <x v="5"/>
    <x v="11"/>
    <x v="2"/>
  </r>
  <r>
    <s v="TX502106"/>
    <x v="2"/>
    <x v="2"/>
    <n v="157"/>
    <x v="1595"/>
    <x v="77"/>
    <d v="2025-03-21T00:00:00"/>
    <s v="F"/>
    <x v="0"/>
    <x v="2"/>
    <x v="0"/>
    <x v="22"/>
    <x v="1"/>
    <x v="11"/>
    <x v="2"/>
  </r>
  <r>
    <s v="TX502107"/>
    <x v="16"/>
    <x v="12"/>
    <n v="33.700000000000003"/>
    <x v="1093"/>
    <x v="77"/>
    <d v="2025-03-20T00:00:00"/>
    <s v="M"/>
    <x v="2"/>
    <x v="2"/>
    <x v="0"/>
    <x v="22"/>
    <x v="3"/>
    <x v="11"/>
    <x v="1"/>
  </r>
  <r>
    <s v="TX502108"/>
    <x v="2"/>
    <x v="2"/>
    <n v="60.8"/>
    <x v="1596"/>
    <x v="77"/>
    <d v="2025-03-23T00:00:00"/>
    <s v="F"/>
    <x v="1"/>
    <x v="1"/>
    <x v="0"/>
    <x v="3"/>
    <x v="5"/>
    <x v="11"/>
    <x v="2"/>
  </r>
  <r>
    <s v="TX502109"/>
    <x v="7"/>
    <x v="0"/>
    <n v="57.6"/>
    <x v="636"/>
    <x v="77"/>
    <d v="2025-03-20T00:00:00"/>
    <s v="M"/>
    <x v="1"/>
    <x v="4"/>
    <x v="0"/>
    <x v="3"/>
    <x v="3"/>
    <x v="11"/>
    <x v="1"/>
  </r>
  <r>
    <s v="TX502110"/>
    <x v="10"/>
    <x v="0"/>
    <n v="32"/>
    <x v="109"/>
    <x v="77"/>
    <d v="2025-03-21T00:00:00"/>
    <s v="M"/>
    <x v="0"/>
    <x v="0"/>
    <x v="0"/>
    <x v="3"/>
    <x v="1"/>
    <x v="11"/>
    <x v="1"/>
  </r>
  <r>
    <s v="TX502111"/>
    <x v="10"/>
    <x v="12"/>
    <n v="23.5"/>
    <x v="255"/>
    <x v="77"/>
    <d v="2025-03-20T00:00:00"/>
    <s v="F"/>
    <x v="0"/>
    <x v="2"/>
    <x v="0"/>
    <x v="3"/>
    <x v="3"/>
    <x v="11"/>
    <x v="2"/>
  </r>
  <r>
    <s v="TX502112"/>
    <x v="12"/>
    <x v="2"/>
    <n v="44.8"/>
    <x v="1597"/>
    <x v="77"/>
    <d v="2025-03-20T00:00:00"/>
    <s v="O"/>
    <x v="4"/>
    <x v="0"/>
    <x v="0"/>
    <x v="3"/>
    <x v="3"/>
    <x v="11"/>
    <x v="3"/>
  </r>
  <r>
    <s v="TX502113"/>
    <x v="0"/>
    <x v="8"/>
    <n v="11.7"/>
    <x v="64"/>
    <x v="77"/>
    <d v="2025-03-20T00:00:00"/>
    <s v="M"/>
    <x v="2"/>
    <x v="2"/>
    <x v="0"/>
    <x v="3"/>
    <x v="3"/>
    <x v="11"/>
    <x v="1"/>
  </r>
  <r>
    <s v="TX502114"/>
    <x v="7"/>
    <x v="1"/>
    <n v="38.799999999999997"/>
    <x v="1598"/>
    <x v="77"/>
    <d v="2025-03-22T00:00:00"/>
    <s v="F"/>
    <x v="2"/>
    <x v="0"/>
    <x v="0"/>
    <x v="3"/>
    <x v="2"/>
    <x v="11"/>
    <x v="2"/>
  </r>
  <r>
    <s v="TX502115"/>
    <x v="5"/>
    <x v="21"/>
    <n v="86.9"/>
    <x v="1599"/>
    <x v="77"/>
    <d v="2025-03-24T00:00:00"/>
    <s v="F"/>
    <x v="1"/>
    <x v="0"/>
    <x v="0"/>
    <x v="3"/>
    <x v="0"/>
    <x v="11"/>
    <x v="2"/>
  </r>
  <r>
    <s v="TX502116"/>
    <x v="8"/>
    <x v="0"/>
    <n v="18.3"/>
    <x v="1600"/>
    <x v="77"/>
    <d v="2025-03-20T00:00:00"/>
    <s v="F"/>
    <x v="0"/>
    <x v="0"/>
    <x v="0"/>
    <x v="3"/>
    <x v="3"/>
    <x v="11"/>
    <x v="2"/>
  </r>
  <r>
    <s v="TX502117"/>
    <x v="5"/>
    <x v="0"/>
    <n v="47.5"/>
    <x v="1601"/>
    <x v="77"/>
    <d v="2025-03-23T00:00:00"/>
    <s v="M"/>
    <x v="4"/>
    <x v="2"/>
    <x v="0"/>
    <x v="3"/>
    <x v="5"/>
    <x v="11"/>
    <x v="1"/>
  </r>
  <r>
    <s v="TX502118"/>
    <x v="1"/>
    <x v="1"/>
    <n v="78.599999999999994"/>
    <x v="507"/>
    <x v="77"/>
    <d v="2025-03-20T00:00:00"/>
    <s v="M"/>
    <x v="2"/>
    <x v="2"/>
    <x v="0"/>
    <x v="3"/>
    <x v="3"/>
    <x v="11"/>
    <x v="1"/>
  </r>
  <r>
    <s v="TX502119"/>
    <x v="6"/>
    <x v="12"/>
    <n v="87.3"/>
    <x v="1602"/>
    <x v="77"/>
    <d v="2025-03-20T00:00:00"/>
    <s v="M"/>
    <x v="0"/>
    <x v="0"/>
    <x v="0"/>
    <x v="3"/>
    <x v="3"/>
    <x v="11"/>
    <x v="1"/>
  </r>
  <r>
    <s v="TX502120"/>
    <x v="9"/>
    <x v="1"/>
    <n v="63.2"/>
    <x v="628"/>
    <x v="77"/>
    <d v="2025-03-19T00:00:00"/>
    <s v="M"/>
    <x v="4"/>
    <x v="1"/>
    <x v="0"/>
    <x v="3"/>
    <x v="7"/>
    <x v="11"/>
    <x v="1"/>
  </r>
  <r>
    <s v="TX502121"/>
    <x v="5"/>
    <x v="9"/>
    <n v="33.700000000000003"/>
    <x v="1603"/>
    <x v="77"/>
    <d v="2025-03-20T00:00:00"/>
    <s v="F"/>
    <x v="0"/>
    <x v="0"/>
    <x v="0"/>
    <x v="3"/>
    <x v="3"/>
    <x v="11"/>
    <x v="2"/>
  </r>
  <r>
    <s v="TX502122"/>
    <x v="2"/>
    <x v="2"/>
    <n v="107.4"/>
    <x v="1604"/>
    <x v="77"/>
    <d v="2025-04-01T00:00:00"/>
    <s v="F"/>
    <x v="1"/>
    <x v="2"/>
    <x v="0"/>
    <x v="3"/>
    <x v="10"/>
    <x v="11"/>
    <x v="2"/>
  </r>
  <r>
    <s v="TX502123"/>
    <x v="4"/>
    <x v="12"/>
    <n v="22.2"/>
    <x v="1605"/>
    <x v="77"/>
    <d v="2025-03-20T00:00:00"/>
    <s v=""/>
    <x v="1"/>
    <x v="2"/>
    <x v="0"/>
    <x v="24"/>
    <x v="3"/>
    <x v="11"/>
    <x v="0"/>
  </r>
  <r>
    <s v="TX502124"/>
    <x v="18"/>
    <x v="2"/>
    <n v="52.8"/>
    <x v="1329"/>
    <x v="77"/>
    <d v="2025-03-20T00:00:00"/>
    <s v="M"/>
    <x v="3"/>
    <x v="2"/>
    <x v="0"/>
    <x v="24"/>
    <x v="3"/>
    <x v="11"/>
    <x v="1"/>
  </r>
  <r>
    <s v="TX502125"/>
    <x v="8"/>
    <x v="2"/>
    <n v="41.5"/>
    <x v="376"/>
    <x v="77"/>
    <d v="2025-03-22T00:00:00"/>
    <s v="F"/>
    <x v="0"/>
    <x v="0"/>
    <x v="0"/>
    <x v="25"/>
    <x v="2"/>
    <x v="11"/>
    <x v="2"/>
  </r>
  <r>
    <s v="TX502126"/>
    <x v="12"/>
    <x v="8"/>
    <n v="103.5"/>
    <x v="1606"/>
    <x v="77"/>
    <d v="2025-03-22T00:00:00"/>
    <s v="F"/>
    <x v="0"/>
    <x v="2"/>
    <x v="0"/>
    <x v="23"/>
    <x v="2"/>
    <x v="11"/>
    <x v="2"/>
  </r>
  <r>
    <s v="TX502127"/>
    <x v="4"/>
    <x v="21"/>
    <n v="37.5"/>
    <x v="1469"/>
    <x v="77"/>
    <d v="2025-03-19T00:00:00"/>
    <s v="F"/>
    <x v="1"/>
    <x v="2"/>
    <x v="0"/>
    <x v="6"/>
    <x v="7"/>
    <x v="11"/>
    <x v="2"/>
  </r>
  <r>
    <s v="TX502128"/>
    <x v="15"/>
    <x v="8"/>
    <n v="44.4"/>
    <x v="1607"/>
    <x v="77"/>
    <d v="2025-03-25T00:00:00"/>
    <s v="F"/>
    <x v="3"/>
    <x v="2"/>
    <x v="0"/>
    <x v="7"/>
    <x v="4"/>
    <x v="11"/>
    <x v="2"/>
  </r>
  <r>
    <s v="TX502129"/>
    <x v="8"/>
    <x v="2"/>
    <n v="26.2"/>
    <x v="1608"/>
    <x v="77"/>
    <d v="2025-03-20T00:00:00"/>
    <s v="M"/>
    <x v="0"/>
    <x v="0"/>
    <x v="0"/>
    <x v="8"/>
    <x v="3"/>
    <x v="11"/>
    <x v="1"/>
  </r>
  <r>
    <s v="TX502130"/>
    <x v="1"/>
    <x v="3"/>
    <n v="32.200000000000003"/>
    <x v="1009"/>
    <x v="77"/>
    <d v="2025-03-20T00:00:00"/>
    <s v="F"/>
    <x v="1"/>
    <x v="2"/>
    <x v="0"/>
    <x v="8"/>
    <x v="3"/>
    <x v="11"/>
    <x v="2"/>
  </r>
  <r>
    <s v="TX502131"/>
    <x v="8"/>
    <x v="0"/>
    <n v="17.399999999999999"/>
    <x v="1609"/>
    <x v="77"/>
    <d v="2025-03-23T00:00:00"/>
    <s v=""/>
    <x v="2"/>
    <x v="1"/>
    <x v="0"/>
    <x v="8"/>
    <x v="5"/>
    <x v="11"/>
    <x v="0"/>
  </r>
  <r>
    <s v="TX502132"/>
    <x v="8"/>
    <x v="13"/>
    <n v="72.3"/>
    <x v="1610"/>
    <x v="77"/>
    <d v="2025-03-22T00:00:00"/>
    <s v="F"/>
    <x v="0"/>
    <x v="0"/>
    <x v="0"/>
    <x v="8"/>
    <x v="2"/>
    <x v="11"/>
    <x v="2"/>
  </r>
  <r>
    <s v="TX502133"/>
    <x v="8"/>
    <x v="5"/>
    <n v="24.3"/>
    <x v="1611"/>
    <x v="77"/>
    <d v="2025-03-20T00:00:00"/>
    <s v="M"/>
    <x v="0"/>
    <x v="0"/>
    <x v="0"/>
    <x v="8"/>
    <x v="3"/>
    <x v="11"/>
    <x v="1"/>
  </r>
  <r>
    <s v="TX502134"/>
    <x v="13"/>
    <x v="2"/>
    <n v="49.1"/>
    <x v="824"/>
    <x v="77"/>
    <d v="2025-03-25T00:00:00"/>
    <s v="M"/>
    <x v="2"/>
    <x v="4"/>
    <x v="0"/>
    <x v="8"/>
    <x v="4"/>
    <x v="11"/>
    <x v="1"/>
  </r>
  <r>
    <s v="TX502135"/>
    <x v="2"/>
    <x v="7"/>
    <n v="234.7"/>
    <x v="1612"/>
    <x v="77"/>
    <d v="2025-03-20T00:00:00"/>
    <s v="M"/>
    <x v="3"/>
    <x v="1"/>
    <x v="0"/>
    <x v="8"/>
    <x v="3"/>
    <x v="11"/>
    <x v="1"/>
  </r>
  <r>
    <s v="TX502136"/>
    <x v="3"/>
    <x v="9"/>
    <n v="76.099999999999994"/>
    <x v="1613"/>
    <x v="77"/>
    <d v="2025-03-21T00:00:00"/>
    <s v="M"/>
    <x v="1"/>
    <x v="1"/>
    <x v="0"/>
    <x v="17"/>
    <x v="1"/>
    <x v="11"/>
    <x v="1"/>
  </r>
  <r>
    <s v="TX502137"/>
    <x v="1"/>
    <x v="2"/>
    <n v="93.9"/>
    <x v="1614"/>
    <x v="77"/>
    <d v="2025-03-20T00:00:00"/>
    <s v="M"/>
    <x v="1"/>
    <x v="4"/>
    <x v="0"/>
    <x v="11"/>
    <x v="3"/>
    <x v="11"/>
    <x v="1"/>
  </r>
  <r>
    <s v="TX502138"/>
    <x v="2"/>
    <x v="12"/>
    <n v="187"/>
    <x v="1615"/>
    <x v="78"/>
    <d v="2025-03-23T00:00:00"/>
    <s v="M"/>
    <x v="0"/>
    <x v="0"/>
    <x v="0"/>
    <x v="11"/>
    <x v="2"/>
    <x v="11"/>
    <x v="1"/>
  </r>
  <r>
    <s v="TX502139"/>
    <x v="8"/>
    <x v="1"/>
    <n v="18"/>
    <x v="53"/>
    <x v="78"/>
    <d v="2025-03-21T00:00:00"/>
    <s v="F"/>
    <x v="1"/>
    <x v="2"/>
    <x v="0"/>
    <x v="53"/>
    <x v="3"/>
    <x v="11"/>
    <x v="2"/>
  </r>
  <r>
    <s v="TX502140"/>
    <x v="4"/>
    <x v="0"/>
    <n v="24.4"/>
    <x v="1616"/>
    <x v="78"/>
    <d v="2025-03-21T00:00:00"/>
    <s v="F"/>
    <x v="4"/>
    <x v="2"/>
    <x v="0"/>
    <x v="21"/>
    <x v="3"/>
    <x v="11"/>
    <x v="2"/>
  </r>
  <r>
    <s v="TX502141"/>
    <x v="10"/>
    <x v="1"/>
    <n v="38.799999999999997"/>
    <x v="1598"/>
    <x v="78"/>
    <d v="2025-03-21T00:00:00"/>
    <s v="M"/>
    <x v="4"/>
    <x v="1"/>
    <x v="0"/>
    <x v="3"/>
    <x v="3"/>
    <x v="11"/>
    <x v="1"/>
  </r>
  <r>
    <s v="TX502142"/>
    <x v="3"/>
    <x v="0"/>
    <n v="59.7"/>
    <x v="1201"/>
    <x v="78"/>
    <d v="2025-03-23T00:00:00"/>
    <s v="M"/>
    <x v="3"/>
    <x v="0"/>
    <x v="0"/>
    <x v="3"/>
    <x v="2"/>
    <x v="11"/>
    <x v="1"/>
  </r>
  <r>
    <s v="TX502143"/>
    <x v="7"/>
    <x v="0"/>
    <n v="31.2"/>
    <x v="406"/>
    <x v="78"/>
    <d v="2025-03-21T00:00:00"/>
    <s v="M"/>
    <x v="1"/>
    <x v="2"/>
    <x v="0"/>
    <x v="3"/>
    <x v="3"/>
    <x v="11"/>
    <x v="1"/>
  </r>
  <r>
    <s v="TX502144"/>
    <x v="0"/>
    <x v="0"/>
    <n v="16.8"/>
    <x v="749"/>
    <x v="78"/>
    <d v="2025-03-21T00:00:00"/>
    <s v="F"/>
    <x v="2"/>
    <x v="1"/>
    <x v="0"/>
    <x v="3"/>
    <x v="3"/>
    <x v="11"/>
    <x v="2"/>
  </r>
  <r>
    <s v="TX502145"/>
    <x v="8"/>
    <x v="0"/>
    <n v="46"/>
    <x v="716"/>
    <x v="78"/>
    <d v="2025-03-21T00:00:00"/>
    <s v="M"/>
    <x v="0"/>
    <x v="0"/>
    <x v="0"/>
    <x v="3"/>
    <x v="3"/>
    <x v="11"/>
    <x v="1"/>
  </r>
  <r>
    <s v="TX502146"/>
    <x v="9"/>
    <x v="8"/>
    <n v="42.2"/>
    <x v="1617"/>
    <x v="78"/>
    <d v="2025-03-23T00:00:00"/>
    <s v="F"/>
    <x v="3"/>
    <x v="2"/>
    <x v="0"/>
    <x v="3"/>
    <x v="2"/>
    <x v="11"/>
    <x v="2"/>
  </r>
  <r>
    <s v="TX502147"/>
    <x v="1"/>
    <x v="2"/>
    <n v="71.5"/>
    <x v="523"/>
    <x v="78"/>
    <d v="2025-04-03T00:00:00"/>
    <s v="F"/>
    <x v="0"/>
    <x v="0"/>
    <x v="0"/>
    <x v="3"/>
    <x v="12"/>
    <x v="11"/>
    <x v="2"/>
  </r>
  <r>
    <s v="TX502148"/>
    <x v="1"/>
    <x v="1"/>
    <n v="76.599999999999994"/>
    <x v="1618"/>
    <x v="78"/>
    <d v="2025-03-20T00:00:00"/>
    <s v="M"/>
    <x v="0"/>
    <x v="2"/>
    <x v="0"/>
    <x v="3"/>
    <x v="7"/>
    <x v="11"/>
    <x v="1"/>
  </r>
  <r>
    <s v="TX502149"/>
    <x v="12"/>
    <x v="1"/>
    <n v="87.3"/>
    <x v="1619"/>
    <x v="78"/>
    <d v="2025-03-28T00:00:00"/>
    <s v="F"/>
    <x v="3"/>
    <x v="2"/>
    <x v="0"/>
    <x v="3"/>
    <x v="9"/>
    <x v="11"/>
    <x v="2"/>
  </r>
  <r>
    <s v="TX502150"/>
    <x v="1"/>
    <x v="0"/>
    <n v="63"/>
    <x v="1620"/>
    <x v="78"/>
    <d v="2025-03-23T00:00:00"/>
    <s v="M"/>
    <x v="3"/>
    <x v="0"/>
    <x v="0"/>
    <x v="3"/>
    <x v="2"/>
    <x v="11"/>
    <x v="1"/>
  </r>
  <r>
    <s v="TX502151"/>
    <x v="8"/>
    <x v="1"/>
    <n v="41.7"/>
    <x v="925"/>
    <x v="78"/>
    <d v="2025-03-21T00:00:00"/>
    <s v="F"/>
    <x v="4"/>
    <x v="1"/>
    <x v="0"/>
    <x v="43"/>
    <x v="3"/>
    <x v="11"/>
    <x v="2"/>
  </r>
  <r>
    <s v="TX502152"/>
    <x v="6"/>
    <x v="1"/>
    <n v="76.099999999999994"/>
    <x v="1621"/>
    <x v="78"/>
    <d v="2025-03-20T00:00:00"/>
    <s v="F"/>
    <x v="4"/>
    <x v="2"/>
    <x v="0"/>
    <x v="16"/>
    <x v="7"/>
    <x v="11"/>
    <x v="2"/>
  </r>
  <r>
    <s v="TX502153"/>
    <x v="13"/>
    <x v="1"/>
    <n v="28.5"/>
    <x v="933"/>
    <x v="78"/>
    <d v="2025-03-21T00:00:00"/>
    <s v="F"/>
    <x v="0"/>
    <x v="2"/>
    <x v="0"/>
    <x v="4"/>
    <x v="3"/>
    <x v="11"/>
    <x v="2"/>
  </r>
  <r>
    <s v="TX502154"/>
    <x v="0"/>
    <x v="12"/>
    <n v="32.1"/>
    <x v="58"/>
    <x v="78"/>
    <d v="2025-03-21T00:00:00"/>
    <s v="F"/>
    <x v="1"/>
    <x v="2"/>
    <x v="0"/>
    <x v="25"/>
    <x v="3"/>
    <x v="11"/>
    <x v="2"/>
  </r>
  <r>
    <s v="TX502155"/>
    <x v="4"/>
    <x v="2"/>
    <n v="39"/>
    <x v="1622"/>
    <x v="78"/>
    <d v="2025-03-23T00:00:00"/>
    <s v="M"/>
    <x v="1"/>
    <x v="2"/>
    <x v="0"/>
    <x v="25"/>
    <x v="2"/>
    <x v="11"/>
    <x v="1"/>
  </r>
  <r>
    <s v="TX502156"/>
    <x v="6"/>
    <x v="0"/>
    <n v="78.5"/>
    <x v="1623"/>
    <x v="78"/>
    <d v="2025-03-21T00:00:00"/>
    <s v="M"/>
    <x v="1"/>
    <x v="0"/>
    <x v="0"/>
    <x v="6"/>
    <x v="3"/>
    <x v="11"/>
    <x v="1"/>
  </r>
  <r>
    <s v="TX502157"/>
    <x v="4"/>
    <x v="9"/>
    <n v="49.7"/>
    <x v="1624"/>
    <x v="78"/>
    <d v="2025-03-22T00:00:00"/>
    <s v="F"/>
    <x v="0"/>
    <x v="0"/>
    <x v="0"/>
    <x v="6"/>
    <x v="1"/>
    <x v="11"/>
    <x v="2"/>
  </r>
  <r>
    <s v="TX502158"/>
    <x v="1"/>
    <x v="12"/>
    <n v="68.400000000000006"/>
    <x v="1625"/>
    <x v="78"/>
    <d v="2025-03-21T00:00:00"/>
    <s v="F"/>
    <x v="2"/>
    <x v="2"/>
    <x v="0"/>
    <x v="7"/>
    <x v="3"/>
    <x v="11"/>
    <x v="2"/>
  </r>
  <r>
    <s v="TX502159"/>
    <x v="3"/>
    <x v="1"/>
    <n v="72.900000000000006"/>
    <x v="1626"/>
    <x v="78"/>
    <d v="2025-03-23T00:00:00"/>
    <s v=""/>
    <x v="0"/>
    <x v="2"/>
    <x v="0"/>
    <x v="7"/>
    <x v="2"/>
    <x v="11"/>
    <x v="0"/>
  </r>
  <r>
    <s v="TX502160"/>
    <x v="5"/>
    <x v="15"/>
    <n v="30.3"/>
    <x v="1627"/>
    <x v="78"/>
    <d v="2025-03-21T00:00:00"/>
    <s v="M"/>
    <x v="4"/>
    <x v="0"/>
    <x v="0"/>
    <x v="7"/>
    <x v="3"/>
    <x v="11"/>
    <x v="1"/>
  </r>
  <r>
    <s v="TX502161"/>
    <x v="6"/>
    <x v="5"/>
    <n v="57.9"/>
    <x v="1628"/>
    <x v="78"/>
    <d v="2025-03-21T00:00:00"/>
    <s v="F"/>
    <x v="0"/>
    <x v="0"/>
    <x v="0"/>
    <x v="8"/>
    <x v="3"/>
    <x v="11"/>
    <x v="2"/>
  </r>
  <r>
    <s v="TX502162"/>
    <x v="1"/>
    <x v="0"/>
    <n v="96.7"/>
    <x v="1629"/>
    <x v="78"/>
    <d v="2025-03-21T00:00:00"/>
    <s v="M"/>
    <x v="0"/>
    <x v="0"/>
    <x v="0"/>
    <x v="8"/>
    <x v="3"/>
    <x v="11"/>
    <x v="1"/>
  </r>
  <r>
    <s v="TX502163"/>
    <x v="8"/>
    <x v="4"/>
    <n v="27.6"/>
    <x v="1630"/>
    <x v="78"/>
    <d v="2025-03-22T00:00:00"/>
    <s v="M"/>
    <x v="2"/>
    <x v="2"/>
    <x v="0"/>
    <x v="8"/>
    <x v="1"/>
    <x v="11"/>
    <x v="1"/>
  </r>
  <r>
    <s v="TX502164"/>
    <x v="6"/>
    <x v="12"/>
    <n v="64.7"/>
    <x v="536"/>
    <x v="78"/>
    <d v="2025-03-20T00:00:00"/>
    <s v="M"/>
    <x v="3"/>
    <x v="2"/>
    <x v="0"/>
    <x v="8"/>
    <x v="7"/>
    <x v="11"/>
    <x v="1"/>
  </r>
  <r>
    <s v="TX502165"/>
    <x v="10"/>
    <x v="13"/>
    <n v="30.5"/>
    <x v="1143"/>
    <x v="78"/>
    <d v="2025-03-21T00:00:00"/>
    <s v="M"/>
    <x v="4"/>
    <x v="0"/>
    <x v="0"/>
    <x v="8"/>
    <x v="3"/>
    <x v="11"/>
    <x v="1"/>
  </r>
  <r>
    <s v="TX502166"/>
    <x v="6"/>
    <x v="47"/>
    <n v="106"/>
    <x v="1631"/>
    <x v="79"/>
    <d v="2025-03-23T00:00:00"/>
    <s v="M"/>
    <x v="4"/>
    <x v="2"/>
    <x v="0"/>
    <x v="8"/>
    <x v="1"/>
    <x v="11"/>
    <x v="1"/>
  </r>
  <r>
    <s v="TX502167"/>
    <x v="12"/>
    <x v="9"/>
    <n v="76.8"/>
    <x v="1632"/>
    <x v="79"/>
    <d v="2025-03-27T00:00:00"/>
    <s v=""/>
    <x v="1"/>
    <x v="1"/>
    <x v="0"/>
    <x v="18"/>
    <x v="4"/>
    <x v="11"/>
    <x v="0"/>
  </r>
  <r>
    <s v="TX502168"/>
    <x v="6"/>
    <x v="1"/>
    <n v="80.400000000000006"/>
    <x v="1530"/>
    <x v="79"/>
    <d v="2025-03-22T00:00:00"/>
    <s v="F"/>
    <x v="2"/>
    <x v="0"/>
    <x v="0"/>
    <x v="13"/>
    <x v="3"/>
    <x v="11"/>
    <x v="2"/>
  </r>
  <r>
    <s v="TX502169"/>
    <x v="6"/>
    <x v="12"/>
    <n v="69.099999999999994"/>
    <x v="1633"/>
    <x v="79"/>
    <d v="2025-03-22T00:00:00"/>
    <s v="M"/>
    <x v="1"/>
    <x v="2"/>
    <x v="0"/>
    <x v="21"/>
    <x v="3"/>
    <x v="11"/>
    <x v="1"/>
  </r>
  <r>
    <s v="TX502170"/>
    <x v="18"/>
    <x v="1"/>
    <n v="76.400000000000006"/>
    <x v="1634"/>
    <x v="79"/>
    <d v="2025-03-21T00:00:00"/>
    <s v="M"/>
    <x v="3"/>
    <x v="0"/>
    <x v="0"/>
    <x v="21"/>
    <x v="7"/>
    <x v="11"/>
    <x v="1"/>
  </r>
  <r>
    <s v="TX502171"/>
    <x v="2"/>
    <x v="1"/>
    <n v="61.3"/>
    <x v="384"/>
    <x v="79"/>
    <d v="2025-03-22T00:00:00"/>
    <s v="F"/>
    <x v="1"/>
    <x v="1"/>
    <x v="0"/>
    <x v="21"/>
    <x v="3"/>
    <x v="11"/>
    <x v="2"/>
  </r>
  <r>
    <s v="TX502172"/>
    <x v="7"/>
    <x v="0"/>
    <n v="58"/>
    <x v="1635"/>
    <x v="79"/>
    <d v="2025-03-22T00:00:00"/>
    <s v="M"/>
    <x v="3"/>
    <x v="1"/>
    <x v="0"/>
    <x v="1"/>
    <x v="3"/>
    <x v="11"/>
    <x v="1"/>
  </r>
  <r>
    <s v="TX502173"/>
    <x v="2"/>
    <x v="8"/>
    <n v="102.3"/>
    <x v="1636"/>
    <x v="79"/>
    <d v="2025-03-23T00:00:00"/>
    <s v="M"/>
    <x v="2"/>
    <x v="0"/>
    <x v="0"/>
    <x v="42"/>
    <x v="1"/>
    <x v="11"/>
    <x v="1"/>
  </r>
  <r>
    <s v="TX502174"/>
    <x v="19"/>
    <x v="1"/>
    <n v="13.8"/>
    <x v="1637"/>
    <x v="79"/>
    <d v="2025-03-22T00:00:00"/>
    <s v="F"/>
    <x v="4"/>
    <x v="2"/>
    <x v="0"/>
    <x v="2"/>
    <x v="3"/>
    <x v="11"/>
    <x v="2"/>
  </r>
  <r>
    <s v="TX502175"/>
    <x v="8"/>
    <x v="2"/>
    <n v="33.299999999999997"/>
    <x v="1638"/>
    <x v="79"/>
    <d v="2025-03-24T00:00:00"/>
    <s v="F"/>
    <x v="2"/>
    <x v="0"/>
    <x v="0"/>
    <x v="22"/>
    <x v="2"/>
    <x v="11"/>
    <x v="2"/>
  </r>
  <r>
    <s v="TX502176"/>
    <x v="10"/>
    <x v="0"/>
    <n v="27.4"/>
    <x v="1639"/>
    <x v="79"/>
    <d v="2025-03-24T00:00:00"/>
    <s v="M"/>
    <x v="0"/>
    <x v="2"/>
    <x v="0"/>
    <x v="22"/>
    <x v="2"/>
    <x v="11"/>
    <x v="1"/>
  </r>
  <r>
    <s v="TX502177"/>
    <x v="14"/>
    <x v="1"/>
    <n v="25.6"/>
    <x v="180"/>
    <x v="79"/>
    <d v="2025-03-22T00:00:00"/>
    <s v="F"/>
    <x v="1"/>
    <x v="1"/>
    <x v="0"/>
    <x v="3"/>
    <x v="3"/>
    <x v="11"/>
    <x v="2"/>
  </r>
  <r>
    <s v="TX502178"/>
    <x v="13"/>
    <x v="0"/>
    <n v="58.4"/>
    <x v="305"/>
    <x v="79"/>
    <d v="2025-03-22T00:00:00"/>
    <s v="F"/>
    <x v="2"/>
    <x v="2"/>
    <x v="0"/>
    <x v="3"/>
    <x v="3"/>
    <x v="11"/>
    <x v="2"/>
  </r>
  <r>
    <s v="TX502179"/>
    <x v="11"/>
    <x v="17"/>
    <n v="27"/>
    <x v="906"/>
    <x v="79"/>
    <d v="2025-03-22T00:00:00"/>
    <s v="F"/>
    <x v="4"/>
    <x v="0"/>
    <x v="0"/>
    <x v="3"/>
    <x v="3"/>
    <x v="11"/>
    <x v="2"/>
  </r>
  <r>
    <s v="TX502180"/>
    <x v="0"/>
    <x v="12"/>
    <n v="14.2"/>
    <x v="1640"/>
    <x v="79"/>
    <d v="2025-03-22T00:00:00"/>
    <s v="M"/>
    <x v="0"/>
    <x v="2"/>
    <x v="0"/>
    <x v="3"/>
    <x v="3"/>
    <x v="11"/>
    <x v="1"/>
  </r>
  <r>
    <s v="TX502181"/>
    <x v="7"/>
    <x v="1"/>
    <n v="68"/>
    <x v="1641"/>
    <x v="79"/>
    <d v="2025-03-31T00:00:00"/>
    <s v="M"/>
    <x v="2"/>
    <x v="1"/>
    <x v="0"/>
    <x v="3"/>
    <x v="14"/>
    <x v="11"/>
    <x v="1"/>
  </r>
  <r>
    <s v="TX502182"/>
    <x v="8"/>
    <x v="0"/>
    <n v="30.7"/>
    <x v="1642"/>
    <x v="79"/>
    <d v="2025-03-22T00:00:00"/>
    <s v="M"/>
    <x v="0"/>
    <x v="0"/>
    <x v="0"/>
    <x v="3"/>
    <x v="3"/>
    <x v="11"/>
    <x v="1"/>
  </r>
  <r>
    <s v="TX502183"/>
    <x v="17"/>
    <x v="15"/>
    <n v="51.6"/>
    <x v="1643"/>
    <x v="79"/>
    <d v="2025-03-24T00:00:00"/>
    <s v="O"/>
    <x v="1"/>
    <x v="2"/>
    <x v="0"/>
    <x v="3"/>
    <x v="2"/>
    <x v="11"/>
    <x v="3"/>
  </r>
  <r>
    <s v="TX502184"/>
    <x v="8"/>
    <x v="2"/>
    <n v="20.6"/>
    <x v="957"/>
    <x v="79"/>
    <d v="2025-03-25T00:00:00"/>
    <s v="F"/>
    <x v="4"/>
    <x v="2"/>
    <x v="0"/>
    <x v="3"/>
    <x v="5"/>
    <x v="11"/>
    <x v="2"/>
  </r>
  <r>
    <s v="TX502185"/>
    <x v="8"/>
    <x v="0"/>
    <n v="24.8"/>
    <x v="1644"/>
    <x v="79"/>
    <d v="2025-03-22T00:00:00"/>
    <s v="M"/>
    <x v="4"/>
    <x v="0"/>
    <x v="0"/>
    <x v="3"/>
    <x v="3"/>
    <x v="11"/>
    <x v="1"/>
  </r>
  <r>
    <s v="TX502186"/>
    <x v="0"/>
    <x v="3"/>
    <n v="11.2"/>
    <x v="1645"/>
    <x v="79"/>
    <d v="2025-03-24T00:00:00"/>
    <s v="M"/>
    <x v="1"/>
    <x v="0"/>
    <x v="0"/>
    <x v="3"/>
    <x v="2"/>
    <x v="11"/>
    <x v="1"/>
  </r>
  <r>
    <s v="TX502187"/>
    <x v="11"/>
    <x v="1"/>
    <n v="51.2"/>
    <x v="298"/>
    <x v="79"/>
    <d v="2025-03-22T00:00:00"/>
    <s v="F"/>
    <x v="1"/>
    <x v="2"/>
    <x v="0"/>
    <x v="3"/>
    <x v="3"/>
    <x v="11"/>
    <x v="2"/>
  </r>
  <r>
    <s v="TX502188"/>
    <x v="7"/>
    <x v="13"/>
    <n v="90.5"/>
    <x v="1646"/>
    <x v="79"/>
    <d v="2025-03-22T00:00:00"/>
    <s v="F"/>
    <x v="1"/>
    <x v="4"/>
    <x v="0"/>
    <x v="3"/>
    <x v="3"/>
    <x v="11"/>
    <x v="2"/>
  </r>
  <r>
    <s v="TX502189"/>
    <x v="1"/>
    <x v="1"/>
    <n v="42.4"/>
    <x v="1647"/>
    <x v="79"/>
    <d v="2025-03-22T00:00:00"/>
    <s v="M"/>
    <x v="1"/>
    <x v="2"/>
    <x v="0"/>
    <x v="4"/>
    <x v="3"/>
    <x v="11"/>
    <x v="1"/>
  </r>
  <r>
    <s v="TX502190"/>
    <x v="1"/>
    <x v="1"/>
    <n v="38.200000000000003"/>
    <x v="1648"/>
    <x v="79"/>
    <d v="2025-03-22T00:00:00"/>
    <s v="M"/>
    <x v="0"/>
    <x v="0"/>
    <x v="0"/>
    <x v="5"/>
    <x v="3"/>
    <x v="11"/>
    <x v="1"/>
  </r>
  <r>
    <s v="TX502191"/>
    <x v="2"/>
    <x v="11"/>
    <n v="121.3"/>
    <x v="1649"/>
    <x v="79"/>
    <d v="2025-03-26T00:00:00"/>
    <s v="M"/>
    <x v="0"/>
    <x v="0"/>
    <x v="0"/>
    <x v="6"/>
    <x v="0"/>
    <x v="11"/>
    <x v="1"/>
  </r>
  <r>
    <s v="TX502192"/>
    <x v="6"/>
    <x v="1"/>
    <n v="46.9"/>
    <x v="1650"/>
    <x v="79"/>
    <d v="2025-03-28T00:00:00"/>
    <s v="M"/>
    <x v="0"/>
    <x v="0"/>
    <x v="0"/>
    <x v="8"/>
    <x v="6"/>
    <x v="11"/>
    <x v="1"/>
  </r>
  <r>
    <s v="TX502193"/>
    <x v="10"/>
    <x v="0"/>
    <n v="55.3"/>
    <x v="6"/>
    <x v="79"/>
    <d v="2025-03-23T00:00:00"/>
    <s v="M"/>
    <x v="0"/>
    <x v="0"/>
    <x v="0"/>
    <x v="8"/>
    <x v="1"/>
    <x v="11"/>
    <x v="1"/>
  </r>
  <r>
    <s v="TX502194"/>
    <x v="2"/>
    <x v="2"/>
    <n v="70.599999999999994"/>
    <x v="1651"/>
    <x v="80"/>
    <d v="2025-03-22T00:00:00"/>
    <s v="F"/>
    <x v="0"/>
    <x v="1"/>
    <x v="0"/>
    <x v="8"/>
    <x v="7"/>
    <x v="11"/>
    <x v="2"/>
  </r>
  <r>
    <s v="TX502195"/>
    <x v="14"/>
    <x v="12"/>
    <n v="26.1"/>
    <x v="1652"/>
    <x v="80"/>
    <d v="2025-03-24T00:00:00"/>
    <s v="M"/>
    <x v="0"/>
    <x v="0"/>
    <x v="0"/>
    <x v="8"/>
    <x v="1"/>
    <x v="11"/>
    <x v="1"/>
  </r>
  <r>
    <s v="TX502196"/>
    <x v="9"/>
    <x v="5"/>
    <n v="34.5"/>
    <x v="1653"/>
    <x v="80"/>
    <d v="2025-03-26T00:00:00"/>
    <s v="M"/>
    <x v="2"/>
    <x v="0"/>
    <x v="0"/>
    <x v="17"/>
    <x v="5"/>
    <x v="11"/>
    <x v="1"/>
  </r>
  <r>
    <s v="TX502197"/>
    <x v="1"/>
    <x v="1"/>
    <n v="64.2"/>
    <x v="58"/>
    <x v="80"/>
    <d v="2025-03-23T00:00:00"/>
    <s v="F"/>
    <x v="0"/>
    <x v="1"/>
    <x v="0"/>
    <x v="17"/>
    <x v="3"/>
    <x v="11"/>
    <x v="2"/>
  </r>
  <r>
    <s v="TX502198"/>
    <x v="2"/>
    <x v="12"/>
    <n v="145.69999999999999"/>
    <x v="1654"/>
    <x v="80"/>
    <d v="2025-03-23T00:00:00"/>
    <s v="F"/>
    <x v="0"/>
    <x v="4"/>
    <x v="0"/>
    <x v="17"/>
    <x v="3"/>
    <x v="11"/>
    <x v="2"/>
  </r>
  <r>
    <s v="TX502199"/>
    <x v="12"/>
    <x v="1"/>
    <n v="78.5"/>
    <x v="1655"/>
    <x v="80"/>
    <d v="2025-03-23T00:00:00"/>
    <s v="M"/>
    <x v="2"/>
    <x v="0"/>
    <x v="0"/>
    <x v="26"/>
    <x v="3"/>
    <x v="11"/>
    <x v="1"/>
  </r>
  <r>
    <s v="TX502200"/>
    <x v="1"/>
    <x v="0"/>
    <n v="34.200000000000003"/>
    <x v="1656"/>
    <x v="80"/>
    <d v="2025-03-24T00:00:00"/>
    <s v="M"/>
    <x v="0"/>
    <x v="0"/>
    <x v="0"/>
    <x v="9"/>
    <x v="1"/>
    <x v="11"/>
    <x v="1"/>
  </r>
  <r>
    <s v="TX502201"/>
    <x v="19"/>
    <x v="0"/>
    <n v="26.2"/>
    <x v="1102"/>
    <x v="80"/>
    <d v="2025-03-23T00:00:00"/>
    <s v="M"/>
    <x v="2"/>
    <x v="0"/>
    <x v="0"/>
    <x v="9"/>
    <x v="3"/>
    <x v="11"/>
    <x v="1"/>
  </r>
  <r>
    <s v="TX502202"/>
    <x v="6"/>
    <x v="12"/>
    <n v="53.2"/>
    <x v="1547"/>
    <x v="80"/>
    <d v="2025-03-23T00:00:00"/>
    <s v="M"/>
    <x v="1"/>
    <x v="1"/>
    <x v="0"/>
    <x v="11"/>
    <x v="3"/>
    <x v="11"/>
    <x v="1"/>
  </r>
  <r>
    <s v="TX502203"/>
    <x v="1"/>
    <x v="0"/>
    <n v="35.4"/>
    <x v="1657"/>
    <x v="80"/>
    <d v="2025-03-26T00:00:00"/>
    <s v="M"/>
    <x v="1"/>
    <x v="4"/>
    <x v="0"/>
    <x v="18"/>
    <x v="5"/>
    <x v="11"/>
    <x v="1"/>
  </r>
  <r>
    <s v="TX502204"/>
    <x v="14"/>
    <x v="1"/>
    <n v="21.3"/>
    <x v="440"/>
    <x v="80"/>
    <d v="2025-03-23T00:00:00"/>
    <s v="M"/>
    <x v="2"/>
    <x v="0"/>
    <x v="0"/>
    <x v="20"/>
    <x v="3"/>
    <x v="11"/>
    <x v="1"/>
  </r>
  <r>
    <s v="TX502205"/>
    <x v="8"/>
    <x v="12"/>
    <n v="32.9"/>
    <x v="1423"/>
    <x v="80"/>
    <d v="2025-03-25T00:00:00"/>
    <s v="F"/>
    <x v="4"/>
    <x v="2"/>
    <x v="0"/>
    <x v="21"/>
    <x v="2"/>
    <x v="11"/>
    <x v="2"/>
  </r>
  <r>
    <s v="TX502206"/>
    <x v="5"/>
    <x v="20"/>
    <n v="85.5"/>
    <x v="1658"/>
    <x v="80"/>
    <d v="2025-03-24T00:00:00"/>
    <s v="F"/>
    <x v="3"/>
    <x v="1"/>
    <x v="0"/>
    <x v="21"/>
    <x v="1"/>
    <x v="11"/>
    <x v="2"/>
  </r>
  <r>
    <s v="TX502207"/>
    <x v="4"/>
    <x v="0"/>
    <n v="26.8"/>
    <x v="63"/>
    <x v="80"/>
    <d v="2025-03-23T00:00:00"/>
    <s v="F"/>
    <x v="0"/>
    <x v="1"/>
    <x v="0"/>
    <x v="2"/>
    <x v="3"/>
    <x v="11"/>
    <x v="2"/>
  </r>
  <r>
    <s v="TX502208"/>
    <x v="9"/>
    <x v="18"/>
    <n v="31.7"/>
    <x v="1659"/>
    <x v="80"/>
    <d v="2025-03-22T00:00:00"/>
    <s v="F"/>
    <x v="3"/>
    <x v="0"/>
    <x v="0"/>
    <x v="2"/>
    <x v="7"/>
    <x v="11"/>
    <x v="2"/>
  </r>
  <r>
    <s v="TX502209"/>
    <x v="1"/>
    <x v="1"/>
    <n v="78.3"/>
    <x v="1660"/>
    <x v="80"/>
    <d v="2025-03-24T00:00:00"/>
    <s v="F"/>
    <x v="1"/>
    <x v="1"/>
    <x v="0"/>
    <x v="3"/>
    <x v="1"/>
    <x v="11"/>
    <x v="2"/>
  </r>
  <r>
    <s v="TX502210"/>
    <x v="6"/>
    <x v="0"/>
    <n v="43.9"/>
    <x v="1661"/>
    <x v="80"/>
    <d v="2025-03-23T00:00:00"/>
    <s v="M"/>
    <x v="0"/>
    <x v="0"/>
    <x v="0"/>
    <x v="3"/>
    <x v="3"/>
    <x v="11"/>
    <x v="1"/>
  </r>
  <r>
    <s v="TX502211"/>
    <x v="18"/>
    <x v="2"/>
    <n v="84"/>
    <x v="816"/>
    <x v="80"/>
    <d v="2025-03-24T00:00:00"/>
    <s v=""/>
    <x v="3"/>
    <x v="2"/>
    <x v="0"/>
    <x v="3"/>
    <x v="1"/>
    <x v="11"/>
    <x v="0"/>
  </r>
  <r>
    <s v="TX502212"/>
    <x v="0"/>
    <x v="2"/>
    <n v="11.4"/>
    <x v="1656"/>
    <x v="80"/>
    <d v="2025-03-23T00:00:00"/>
    <s v="M"/>
    <x v="4"/>
    <x v="0"/>
    <x v="0"/>
    <x v="3"/>
    <x v="3"/>
    <x v="11"/>
    <x v="1"/>
  </r>
  <r>
    <s v="TX502213"/>
    <x v="12"/>
    <x v="8"/>
    <n v="47.5"/>
    <x v="1662"/>
    <x v="80"/>
    <d v="2025-03-30T00:00:00"/>
    <s v="F"/>
    <x v="0"/>
    <x v="0"/>
    <x v="0"/>
    <x v="3"/>
    <x v="9"/>
    <x v="11"/>
    <x v="2"/>
  </r>
  <r>
    <s v="TX502214"/>
    <x v="9"/>
    <x v="5"/>
    <n v="50.5"/>
    <x v="1663"/>
    <x v="80"/>
    <d v="2025-03-24T00:00:00"/>
    <s v="M"/>
    <x v="2"/>
    <x v="0"/>
    <x v="0"/>
    <x v="3"/>
    <x v="1"/>
    <x v="11"/>
    <x v="1"/>
  </r>
  <r>
    <s v="TX502215"/>
    <x v="15"/>
    <x v="0"/>
    <n v="36.299999999999997"/>
    <x v="1277"/>
    <x v="80"/>
    <d v="2025-03-25T00:00:00"/>
    <s v="O"/>
    <x v="0"/>
    <x v="1"/>
    <x v="0"/>
    <x v="8"/>
    <x v="2"/>
    <x v="11"/>
    <x v="3"/>
  </r>
  <r>
    <s v="TX502216"/>
    <x v="8"/>
    <x v="1"/>
    <n v="35.4"/>
    <x v="1664"/>
    <x v="80"/>
    <d v="2025-03-23T00:00:00"/>
    <s v="F"/>
    <x v="0"/>
    <x v="0"/>
    <x v="0"/>
    <x v="17"/>
    <x v="3"/>
    <x v="11"/>
    <x v="2"/>
  </r>
  <r>
    <s v="TX502217"/>
    <x v="1"/>
    <x v="2"/>
    <n v="45.9"/>
    <x v="223"/>
    <x v="81"/>
    <d v="2025-03-24T00:00:00"/>
    <s v="M"/>
    <x v="3"/>
    <x v="0"/>
    <x v="0"/>
    <x v="9"/>
    <x v="3"/>
    <x v="12"/>
    <x v="1"/>
  </r>
  <r>
    <s v="TX502218"/>
    <x v="6"/>
    <x v="7"/>
    <n v="41.2"/>
    <x v="1665"/>
    <x v="81"/>
    <d v="2025-03-27T00:00:00"/>
    <s v="M"/>
    <x v="0"/>
    <x v="0"/>
    <x v="0"/>
    <x v="11"/>
    <x v="5"/>
    <x v="12"/>
    <x v="1"/>
  </r>
  <r>
    <s v="TX502219"/>
    <x v="17"/>
    <x v="1"/>
    <n v="45.1"/>
    <x v="244"/>
    <x v="81"/>
    <d v="2025-03-24T00:00:00"/>
    <s v="M"/>
    <x v="1"/>
    <x v="1"/>
    <x v="0"/>
    <x v="21"/>
    <x v="3"/>
    <x v="12"/>
    <x v="1"/>
  </r>
  <r>
    <s v="TX502220"/>
    <x v="6"/>
    <x v="7"/>
    <n v="63.6"/>
    <x v="1666"/>
    <x v="81"/>
    <d v="2025-03-23T00:00:00"/>
    <s v="M"/>
    <x v="2"/>
    <x v="0"/>
    <x v="0"/>
    <x v="1"/>
    <x v="7"/>
    <x v="12"/>
    <x v="1"/>
  </r>
  <r>
    <s v="TX502221"/>
    <x v="8"/>
    <x v="0"/>
    <n v="70.5"/>
    <x v="1012"/>
    <x v="81"/>
    <d v="2025-03-24T00:00:00"/>
    <s v="M"/>
    <x v="0"/>
    <x v="0"/>
    <x v="0"/>
    <x v="3"/>
    <x v="3"/>
    <x v="12"/>
    <x v="1"/>
  </r>
  <r>
    <s v="TX502222"/>
    <x v="6"/>
    <x v="0"/>
    <n v="41.3"/>
    <x v="1667"/>
    <x v="81"/>
    <d v="2025-03-23T00:00:00"/>
    <s v="M"/>
    <x v="4"/>
    <x v="0"/>
    <x v="0"/>
    <x v="3"/>
    <x v="7"/>
    <x v="12"/>
    <x v="1"/>
  </r>
  <r>
    <s v="TX502223"/>
    <x v="4"/>
    <x v="0"/>
    <n v="35.299999999999997"/>
    <x v="1668"/>
    <x v="81"/>
    <d v="2025-03-26T00:00:00"/>
    <s v="F"/>
    <x v="4"/>
    <x v="2"/>
    <x v="0"/>
    <x v="3"/>
    <x v="2"/>
    <x v="12"/>
    <x v="2"/>
  </r>
  <r>
    <s v="TX502224"/>
    <x v="8"/>
    <x v="9"/>
    <n v="34.700000000000003"/>
    <x v="1669"/>
    <x v="81"/>
    <d v="2025-03-24T00:00:00"/>
    <s v="F"/>
    <x v="0"/>
    <x v="2"/>
    <x v="0"/>
    <x v="3"/>
    <x v="3"/>
    <x v="12"/>
    <x v="2"/>
  </r>
  <r>
    <s v="TX502225"/>
    <x v="8"/>
    <x v="2"/>
    <n v="26.1"/>
    <x v="1670"/>
    <x v="81"/>
    <d v="2025-03-24T00:00:00"/>
    <s v="F"/>
    <x v="0"/>
    <x v="0"/>
    <x v="0"/>
    <x v="3"/>
    <x v="3"/>
    <x v="12"/>
    <x v="2"/>
  </r>
  <r>
    <s v="TX502226"/>
    <x v="9"/>
    <x v="9"/>
    <n v="22.6"/>
    <x v="548"/>
    <x v="81"/>
    <d v="2025-03-23T00:00:00"/>
    <s v="F"/>
    <x v="1"/>
    <x v="2"/>
    <x v="0"/>
    <x v="3"/>
    <x v="7"/>
    <x v="12"/>
    <x v="2"/>
  </r>
  <r>
    <s v="TX502227"/>
    <x v="2"/>
    <x v="1"/>
    <n v="154.4"/>
    <x v="1671"/>
    <x v="81"/>
    <d v="2025-03-26T00:00:00"/>
    <s v="M"/>
    <x v="1"/>
    <x v="1"/>
    <x v="0"/>
    <x v="3"/>
    <x v="2"/>
    <x v="12"/>
    <x v="1"/>
  </r>
  <r>
    <s v="TX502228"/>
    <x v="8"/>
    <x v="1"/>
    <n v="18.399999999999999"/>
    <x v="791"/>
    <x v="81"/>
    <d v="2025-03-24T00:00:00"/>
    <s v="M"/>
    <x v="0"/>
    <x v="0"/>
    <x v="0"/>
    <x v="3"/>
    <x v="3"/>
    <x v="12"/>
    <x v="1"/>
  </r>
  <r>
    <s v="TX502229"/>
    <x v="14"/>
    <x v="0"/>
    <n v="25"/>
    <x v="1672"/>
    <x v="81"/>
    <d v="2025-03-26T00:00:00"/>
    <s v="F"/>
    <x v="0"/>
    <x v="0"/>
    <x v="0"/>
    <x v="3"/>
    <x v="2"/>
    <x v="12"/>
    <x v="2"/>
  </r>
  <r>
    <s v="TX502230"/>
    <x v="2"/>
    <x v="13"/>
    <n v="105.6"/>
    <x v="1673"/>
    <x v="81"/>
    <d v="2025-03-23T00:00:00"/>
    <s v="F"/>
    <x v="0"/>
    <x v="0"/>
    <x v="0"/>
    <x v="3"/>
    <x v="7"/>
    <x v="12"/>
    <x v="2"/>
  </r>
  <r>
    <s v="TX502231"/>
    <x v="18"/>
    <x v="8"/>
    <n v="59.6"/>
    <x v="1674"/>
    <x v="81"/>
    <d v="2025-03-23T00:00:00"/>
    <s v="F"/>
    <x v="0"/>
    <x v="2"/>
    <x v="0"/>
    <x v="23"/>
    <x v="7"/>
    <x v="12"/>
    <x v="2"/>
  </r>
  <r>
    <s v="TX502232"/>
    <x v="15"/>
    <x v="2"/>
    <n v="75.400000000000006"/>
    <x v="1675"/>
    <x v="81"/>
    <d v="2025-03-28T00:00:00"/>
    <s v="M"/>
    <x v="0"/>
    <x v="1"/>
    <x v="0"/>
    <x v="7"/>
    <x v="0"/>
    <x v="12"/>
    <x v="1"/>
  </r>
  <r>
    <s v="TX502233"/>
    <x v="7"/>
    <x v="0"/>
    <n v="104.4"/>
    <x v="1652"/>
    <x v="81"/>
    <d v="2025-03-24T00:00:00"/>
    <s v="F"/>
    <x v="0"/>
    <x v="0"/>
    <x v="0"/>
    <x v="8"/>
    <x v="3"/>
    <x v="12"/>
    <x v="2"/>
  </r>
  <r>
    <s v="TX502234"/>
    <x v="2"/>
    <x v="7"/>
    <n v="208.2"/>
    <x v="1676"/>
    <x v="81"/>
    <d v="2025-03-24T00:00:00"/>
    <s v="M"/>
    <x v="0"/>
    <x v="2"/>
    <x v="0"/>
    <x v="8"/>
    <x v="3"/>
    <x v="12"/>
    <x v="1"/>
  </r>
  <r>
    <s v="TX502235"/>
    <x v="6"/>
    <x v="1"/>
    <n v="45"/>
    <x v="645"/>
    <x v="81"/>
    <d v="2025-03-26T00:00:00"/>
    <s v="F"/>
    <x v="0"/>
    <x v="0"/>
    <x v="0"/>
    <x v="10"/>
    <x v="2"/>
    <x v="12"/>
    <x v="2"/>
  </r>
  <r>
    <s v="TX502236"/>
    <x v="15"/>
    <x v="1"/>
    <n v="20.3"/>
    <x v="1352"/>
    <x v="82"/>
    <d v="2025-03-26T00:00:00"/>
    <s v=""/>
    <x v="1"/>
    <x v="0"/>
    <x v="0"/>
    <x v="11"/>
    <x v="1"/>
    <x v="12"/>
    <x v="0"/>
  </r>
  <r>
    <s v="TX502237"/>
    <x v="2"/>
    <x v="2"/>
    <n v="94.4"/>
    <x v="1677"/>
    <x v="82"/>
    <d v="2025-03-25T00:00:00"/>
    <s v="F"/>
    <x v="0"/>
    <x v="2"/>
    <x v="0"/>
    <x v="11"/>
    <x v="3"/>
    <x v="12"/>
    <x v="2"/>
  </r>
  <r>
    <s v="TX502238"/>
    <x v="9"/>
    <x v="0"/>
    <n v="49"/>
    <x v="268"/>
    <x v="82"/>
    <d v="2025-03-26T00:00:00"/>
    <s v="F"/>
    <x v="0"/>
    <x v="2"/>
    <x v="0"/>
    <x v="20"/>
    <x v="1"/>
    <x v="12"/>
    <x v="2"/>
  </r>
  <r>
    <s v="TX502239"/>
    <x v="4"/>
    <x v="1"/>
    <n v="27.2"/>
    <x v="630"/>
    <x v="82"/>
    <d v="2025-03-26T00:00:00"/>
    <s v="M"/>
    <x v="0"/>
    <x v="2"/>
    <x v="0"/>
    <x v="1"/>
    <x v="1"/>
    <x v="12"/>
    <x v="1"/>
  </r>
  <r>
    <s v="TX502240"/>
    <x v="2"/>
    <x v="13"/>
    <n v="72.599999999999994"/>
    <x v="349"/>
    <x v="82"/>
    <d v="2025-03-25T00:00:00"/>
    <s v="F"/>
    <x v="0"/>
    <x v="2"/>
    <x v="0"/>
    <x v="2"/>
    <x v="3"/>
    <x v="12"/>
    <x v="2"/>
  </r>
  <r>
    <s v="TX502241"/>
    <x v="15"/>
    <x v="12"/>
    <n v="62.4"/>
    <x v="1267"/>
    <x v="82"/>
    <d v="2025-03-25T00:00:00"/>
    <s v="F"/>
    <x v="0"/>
    <x v="0"/>
    <x v="0"/>
    <x v="3"/>
    <x v="3"/>
    <x v="12"/>
    <x v="2"/>
  </r>
  <r>
    <s v="TX502242"/>
    <x v="8"/>
    <x v="2"/>
    <n v="19.100000000000001"/>
    <x v="1281"/>
    <x v="82"/>
    <d v="2025-03-26T00:00:00"/>
    <s v="M"/>
    <x v="0"/>
    <x v="1"/>
    <x v="0"/>
    <x v="3"/>
    <x v="1"/>
    <x v="12"/>
    <x v="1"/>
  </r>
  <r>
    <s v="TX502243"/>
    <x v="10"/>
    <x v="0"/>
    <n v="29.6"/>
    <x v="1678"/>
    <x v="82"/>
    <d v="2025-03-28T00:00:00"/>
    <s v="M"/>
    <x v="0"/>
    <x v="4"/>
    <x v="0"/>
    <x v="3"/>
    <x v="5"/>
    <x v="12"/>
    <x v="1"/>
  </r>
  <r>
    <s v="TX502244"/>
    <x v="8"/>
    <x v="1"/>
    <n v="18.899999999999999"/>
    <x v="463"/>
    <x v="82"/>
    <d v="2025-03-26T00:00:00"/>
    <s v="F"/>
    <x v="4"/>
    <x v="2"/>
    <x v="0"/>
    <x v="3"/>
    <x v="1"/>
    <x v="12"/>
    <x v="2"/>
  </r>
  <r>
    <s v="TX502245"/>
    <x v="10"/>
    <x v="9"/>
    <n v="41.4"/>
    <x v="461"/>
    <x v="82"/>
    <d v="2025-03-25T00:00:00"/>
    <s v="M"/>
    <x v="3"/>
    <x v="0"/>
    <x v="0"/>
    <x v="3"/>
    <x v="3"/>
    <x v="12"/>
    <x v="1"/>
  </r>
  <r>
    <s v="TX502246"/>
    <x v="2"/>
    <x v="0"/>
    <n v="118.4"/>
    <x v="1250"/>
    <x v="82"/>
    <d v="2025-03-25T00:00:00"/>
    <s v="F"/>
    <x v="0"/>
    <x v="2"/>
    <x v="0"/>
    <x v="3"/>
    <x v="3"/>
    <x v="12"/>
    <x v="2"/>
  </r>
  <r>
    <s v="TX502247"/>
    <x v="2"/>
    <x v="1"/>
    <n v="125.3"/>
    <x v="1679"/>
    <x v="82"/>
    <d v="2025-03-27T00:00:00"/>
    <s v="F"/>
    <x v="0"/>
    <x v="2"/>
    <x v="0"/>
    <x v="3"/>
    <x v="2"/>
    <x v="12"/>
    <x v="2"/>
  </r>
  <r>
    <s v="TX502248"/>
    <x v="3"/>
    <x v="1"/>
    <n v="85.8"/>
    <x v="1512"/>
    <x v="82"/>
    <d v="2025-03-25T00:00:00"/>
    <s v="F"/>
    <x v="1"/>
    <x v="4"/>
    <x v="0"/>
    <x v="3"/>
    <x v="3"/>
    <x v="12"/>
    <x v="2"/>
  </r>
  <r>
    <s v="TX502249"/>
    <x v="6"/>
    <x v="0"/>
    <n v="44.2"/>
    <x v="573"/>
    <x v="82"/>
    <d v="2025-03-27T00:00:00"/>
    <s v="M"/>
    <x v="1"/>
    <x v="0"/>
    <x v="0"/>
    <x v="3"/>
    <x v="2"/>
    <x v="12"/>
    <x v="1"/>
  </r>
  <r>
    <s v="TX502250"/>
    <x v="5"/>
    <x v="12"/>
    <n v="74.099999999999994"/>
    <x v="764"/>
    <x v="82"/>
    <d v="2025-03-26T00:00:00"/>
    <s v="F"/>
    <x v="0"/>
    <x v="0"/>
    <x v="0"/>
    <x v="3"/>
    <x v="1"/>
    <x v="12"/>
    <x v="2"/>
  </r>
  <r>
    <s v="TX502251"/>
    <x v="8"/>
    <x v="0"/>
    <n v="33.799999999999997"/>
    <x v="1680"/>
    <x v="82"/>
    <d v="2025-03-25T00:00:00"/>
    <s v="F"/>
    <x v="2"/>
    <x v="2"/>
    <x v="0"/>
    <x v="24"/>
    <x v="3"/>
    <x v="12"/>
    <x v="2"/>
  </r>
  <r>
    <s v="TX502252"/>
    <x v="1"/>
    <x v="1"/>
    <n v="39.1"/>
    <x v="1148"/>
    <x v="82"/>
    <d v="2025-03-25T00:00:00"/>
    <s v="M"/>
    <x v="0"/>
    <x v="1"/>
    <x v="0"/>
    <x v="24"/>
    <x v="3"/>
    <x v="12"/>
    <x v="1"/>
  </r>
  <r>
    <s v="TX502253"/>
    <x v="0"/>
    <x v="0"/>
    <n v="37.200000000000003"/>
    <x v="804"/>
    <x v="82"/>
    <d v="2025-03-25T00:00:00"/>
    <s v="M"/>
    <x v="0"/>
    <x v="1"/>
    <x v="0"/>
    <x v="16"/>
    <x v="3"/>
    <x v="12"/>
    <x v="1"/>
  </r>
  <r>
    <s v="TX502254"/>
    <x v="15"/>
    <x v="2"/>
    <n v="33.9"/>
    <x v="1681"/>
    <x v="82"/>
    <d v="2025-03-26T00:00:00"/>
    <s v="M"/>
    <x v="2"/>
    <x v="0"/>
    <x v="0"/>
    <x v="6"/>
    <x v="1"/>
    <x v="12"/>
    <x v="1"/>
  </r>
  <r>
    <s v="TX502255"/>
    <x v="7"/>
    <x v="20"/>
    <n v="73.3"/>
    <x v="1682"/>
    <x v="82"/>
    <d v="2025-03-27T00:00:00"/>
    <s v="F"/>
    <x v="2"/>
    <x v="1"/>
    <x v="0"/>
    <x v="8"/>
    <x v="2"/>
    <x v="12"/>
    <x v="2"/>
  </r>
  <r>
    <s v="TX502256"/>
    <x v="8"/>
    <x v="12"/>
    <n v="35"/>
    <x v="1683"/>
    <x v="82"/>
    <d v="2025-03-26T00:00:00"/>
    <s v="F"/>
    <x v="1"/>
    <x v="0"/>
    <x v="0"/>
    <x v="8"/>
    <x v="1"/>
    <x v="12"/>
    <x v="2"/>
  </r>
  <r>
    <s v="TX502257"/>
    <x v="0"/>
    <x v="2"/>
    <n v="22.2"/>
    <x v="815"/>
    <x v="82"/>
    <d v="2025-03-25T00:00:00"/>
    <s v="M"/>
    <x v="1"/>
    <x v="0"/>
    <x v="0"/>
    <x v="17"/>
    <x v="3"/>
    <x v="12"/>
    <x v="1"/>
  </r>
  <r>
    <s v="TX502258"/>
    <x v="10"/>
    <x v="0"/>
    <n v="32.4"/>
    <x v="1684"/>
    <x v="82"/>
    <d v="2025-03-25T00:00:00"/>
    <s v="F"/>
    <x v="0"/>
    <x v="0"/>
    <x v="0"/>
    <x v="11"/>
    <x v="3"/>
    <x v="12"/>
    <x v="2"/>
  </r>
  <r>
    <s v="TX502259"/>
    <x v="5"/>
    <x v="2"/>
    <n v="88.4"/>
    <x v="1685"/>
    <x v="83"/>
    <d v="2025-03-27T00:00:00"/>
    <s v="F"/>
    <x v="1"/>
    <x v="1"/>
    <x v="0"/>
    <x v="11"/>
    <x v="1"/>
    <x v="12"/>
    <x v="2"/>
  </r>
  <r>
    <s v="TX502260"/>
    <x v="5"/>
    <x v="27"/>
    <n v="30.5"/>
    <x v="865"/>
    <x v="83"/>
    <d v="2025-03-26T00:00:00"/>
    <s v="F"/>
    <x v="2"/>
    <x v="0"/>
    <x v="0"/>
    <x v="11"/>
    <x v="3"/>
    <x v="12"/>
    <x v="2"/>
  </r>
  <r>
    <s v="TX502261"/>
    <x v="1"/>
    <x v="13"/>
    <n v="38.1"/>
    <x v="1686"/>
    <x v="83"/>
    <d v="2025-03-27T00:00:00"/>
    <s v="F"/>
    <x v="0"/>
    <x v="1"/>
    <x v="0"/>
    <x v="11"/>
    <x v="1"/>
    <x v="12"/>
    <x v="2"/>
  </r>
  <r>
    <s v="TX502262"/>
    <x v="10"/>
    <x v="9"/>
    <n v="37.6"/>
    <x v="885"/>
    <x v="83"/>
    <d v="2025-03-29T00:00:00"/>
    <s v="M"/>
    <x v="0"/>
    <x v="0"/>
    <x v="0"/>
    <x v="11"/>
    <x v="5"/>
    <x v="12"/>
    <x v="1"/>
  </r>
  <r>
    <s v="TX502263"/>
    <x v="15"/>
    <x v="1"/>
    <n v="31.4"/>
    <x v="143"/>
    <x v="83"/>
    <d v="2025-03-26T00:00:00"/>
    <s v="M"/>
    <x v="0"/>
    <x v="2"/>
    <x v="0"/>
    <x v="11"/>
    <x v="3"/>
    <x v="12"/>
    <x v="1"/>
  </r>
  <r>
    <s v="TX502264"/>
    <x v="6"/>
    <x v="1"/>
    <n v="61.5"/>
    <x v="1287"/>
    <x v="83"/>
    <d v="2025-03-26T00:00:00"/>
    <s v="M"/>
    <x v="3"/>
    <x v="0"/>
    <x v="0"/>
    <x v="31"/>
    <x v="3"/>
    <x v="12"/>
    <x v="1"/>
  </r>
  <r>
    <s v="TX502265"/>
    <x v="6"/>
    <x v="0"/>
    <n v="72.599999999999994"/>
    <x v="1325"/>
    <x v="83"/>
    <d v="2025-03-26T00:00:00"/>
    <s v="M"/>
    <x v="0"/>
    <x v="1"/>
    <x v="0"/>
    <x v="21"/>
    <x v="3"/>
    <x v="12"/>
    <x v="1"/>
  </r>
  <r>
    <s v="TX502266"/>
    <x v="9"/>
    <x v="2"/>
    <n v="26.9"/>
    <x v="1687"/>
    <x v="83"/>
    <d v="2025-03-30T00:00:00"/>
    <s v="O"/>
    <x v="4"/>
    <x v="1"/>
    <x v="0"/>
    <x v="46"/>
    <x v="0"/>
    <x v="12"/>
    <x v="3"/>
  </r>
  <r>
    <s v="TX502267"/>
    <x v="17"/>
    <x v="4"/>
    <n v="29.4"/>
    <x v="1688"/>
    <x v="83"/>
    <d v="2025-03-26T00:00:00"/>
    <s v="F"/>
    <x v="1"/>
    <x v="0"/>
    <x v="0"/>
    <x v="51"/>
    <x v="3"/>
    <x v="12"/>
    <x v="2"/>
  </r>
  <r>
    <s v="TX502268"/>
    <x v="17"/>
    <x v="1"/>
    <n v="42.1"/>
    <x v="903"/>
    <x v="83"/>
    <d v="2025-03-26T00:00:00"/>
    <s v="F"/>
    <x v="3"/>
    <x v="1"/>
    <x v="0"/>
    <x v="1"/>
    <x v="3"/>
    <x v="12"/>
    <x v="2"/>
  </r>
  <r>
    <s v="TX502269"/>
    <x v="5"/>
    <x v="0"/>
    <n v="40.5"/>
    <x v="1117"/>
    <x v="83"/>
    <d v="2025-03-26T00:00:00"/>
    <s v="F"/>
    <x v="2"/>
    <x v="1"/>
    <x v="0"/>
    <x v="1"/>
    <x v="3"/>
    <x v="12"/>
    <x v="2"/>
  </r>
  <r>
    <s v="TX502270"/>
    <x v="2"/>
    <x v="12"/>
    <n v="182.3"/>
    <x v="1689"/>
    <x v="83"/>
    <d v="2025-03-26T00:00:00"/>
    <s v="F"/>
    <x v="1"/>
    <x v="0"/>
    <x v="0"/>
    <x v="1"/>
    <x v="3"/>
    <x v="12"/>
    <x v="2"/>
  </r>
  <r>
    <s v="TX502271"/>
    <x v="2"/>
    <x v="9"/>
    <n v="157"/>
    <x v="1690"/>
    <x v="83"/>
    <d v="2025-03-28T00:00:00"/>
    <s v="F"/>
    <x v="1"/>
    <x v="2"/>
    <x v="0"/>
    <x v="2"/>
    <x v="2"/>
    <x v="12"/>
    <x v="2"/>
  </r>
  <r>
    <s v="TX502272"/>
    <x v="17"/>
    <x v="9"/>
    <n v="45.2"/>
    <x v="326"/>
    <x v="83"/>
    <d v="2025-03-28T00:00:00"/>
    <s v="F"/>
    <x v="1"/>
    <x v="0"/>
    <x v="0"/>
    <x v="22"/>
    <x v="2"/>
    <x v="12"/>
    <x v="2"/>
  </r>
  <r>
    <s v="TX502273"/>
    <x v="15"/>
    <x v="12"/>
    <n v="27.4"/>
    <x v="1239"/>
    <x v="83"/>
    <d v="2025-03-27T00:00:00"/>
    <s v="F"/>
    <x v="0"/>
    <x v="0"/>
    <x v="0"/>
    <x v="3"/>
    <x v="1"/>
    <x v="12"/>
    <x v="2"/>
  </r>
  <r>
    <s v="TX502274"/>
    <x v="5"/>
    <x v="9"/>
    <n v="34.1"/>
    <x v="1691"/>
    <x v="83"/>
    <d v="2025-03-27T00:00:00"/>
    <s v="M"/>
    <x v="0"/>
    <x v="2"/>
    <x v="0"/>
    <x v="3"/>
    <x v="1"/>
    <x v="12"/>
    <x v="1"/>
  </r>
  <r>
    <s v="TX502275"/>
    <x v="0"/>
    <x v="1"/>
    <n v="26"/>
    <x v="1692"/>
    <x v="83"/>
    <d v="2025-03-27T00:00:00"/>
    <s v="M"/>
    <x v="2"/>
    <x v="1"/>
    <x v="0"/>
    <x v="3"/>
    <x v="1"/>
    <x v="12"/>
    <x v="1"/>
  </r>
  <r>
    <s v="TX502276"/>
    <x v="8"/>
    <x v="3"/>
    <n v="19.399999999999999"/>
    <x v="1693"/>
    <x v="83"/>
    <d v="2025-03-27T00:00:00"/>
    <s v=""/>
    <x v="1"/>
    <x v="1"/>
    <x v="0"/>
    <x v="3"/>
    <x v="1"/>
    <x v="12"/>
    <x v="0"/>
  </r>
  <r>
    <s v="TX502277"/>
    <x v="16"/>
    <x v="2"/>
    <n v="30.3"/>
    <x v="407"/>
    <x v="83"/>
    <d v="2025-03-28T00:00:00"/>
    <s v="F"/>
    <x v="1"/>
    <x v="2"/>
    <x v="0"/>
    <x v="3"/>
    <x v="2"/>
    <x v="12"/>
    <x v="2"/>
  </r>
  <r>
    <s v="TX502278"/>
    <x v="2"/>
    <x v="2"/>
    <n v="101.4"/>
    <x v="1694"/>
    <x v="83"/>
    <d v="2025-03-26T00:00:00"/>
    <s v="M"/>
    <x v="0"/>
    <x v="0"/>
    <x v="0"/>
    <x v="3"/>
    <x v="3"/>
    <x v="12"/>
    <x v="1"/>
  </r>
  <r>
    <s v="TX502279"/>
    <x v="3"/>
    <x v="9"/>
    <n v="55.5"/>
    <x v="819"/>
    <x v="83"/>
    <d v="2025-03-28T00:00:00"/>
    <s v="M"/>
    <x v="1"/>
    <x v="0"/>
    <x v="0"/>
    <x v="24"/>
    <x v="2"/>
    <x v="12"/>
    <x v="1"/>
  </r>
  <r>
    <s v="TX502280"/>
    <x v="8"/>
    <x v="0"/>
    <n v="23.1"/>
    <x v="1695"/>
    <x v="83"/>
    <d v="2025-03-26T00:00:00"/>
    <s v="M"/>
    <x v="0"/>
    <x v="0"/>
    <x v="0"/>
    <x v="25"/>
    <x v="3"/>
    <x v="12"/>
    <x v="1"/>
  </r>
  <r>
    <s v="TX502281"/>
    <x v="18"/>
    <x v="1"/>
    <n v="38.9"/>
    <x v="482"/>
    <x v="83"/>
    <d v="2025-03-26T00:00:00"/>
    <s v="M"/>
    <x v="2"/>
    <x v="0"/>
    <x v="0"/>
    <x v="25"/>
    <x v="3"/>
    <x v="12"/>
    <x v="1"/>
  </r>
  <r>
    <s v="TX502282"/>
    <x v="6"/>
    <x v="11"/>
    <n v="116.3"/>
    <x v="1696"/>
    <x v="83"/>
    <d v="2025-03-29T00:00:00"/>
    <s v="F"/>
    <x v="0"/>
    <x v="0"/>
    <x v="0"/>
    <x v="5"/>
    <x v="5"/>
    <x v="12"/>
    <x v="2"/>
  </r>
  <r>
    <s v="TX502283"/>
    <x v="16"/>
    <x v="11"/>
    <n v="64.099999999999994"/>
    <x v="1697"/>
    <x v="83"/>
    <d v="2025-03-25T00:00:00"/>
    <s v="F"/>
    <x v="0"/>
    <x v="2"/>
    <x v="0"/>
    <x v="6"/>
    <x v="7"/>
    <x v="12"/>
    <x v="2"/>
  </r>
  <r>
    <s v="TX502284"/>
    <x v="2"/>
    <x v="13"/>
    <n v="109.2"/>
    <x v="1698"/>
    <x v="83"/>
    <d v="2025-03-27T00:00:00"/>
    <s v="M"/>
    <x v="0"/>
    <x v="1"/>
    <x v="0"/>
    <x v="8"/>
    <x v="1"/>
    <x v="12"/>
    <x v="1"/>
  </r>
  <r>
    <s v="TX502285"/>
    <x v="10"/>
    <x v="9"/>
    <n v="23.2"/>
    <x v="1699"/>
    <x v="84"/>
    <d v="2025-03-27T00:00:00"/>
    <s v="M"/>
    <x v="0"/>
    <x v="1"/>
    <x v="0"/>
    <x v="8"/>
    <x v="3"/>
    <x v="12"/>
    <x v="1"/>
  </r>
  <r>
    <s v="TX502286"/>
    <x v="18"/>
    <x v="13"/>
    <n v="81.2"/>
    <x v="1700"/>
    <x v="84"/>
    <d v="2025-03-28T00:00:00"/>
    <s v="M"/>
    <x v="2"/>
    <x v="2"/>
    <x v="0"/>
    <x v="8"/>
    <x v="1"/>
    <x v="12"/>
    <x v="1"/>
  </r>
  <r>
    <s v="TX502287"/>
    <x v="1"/>
    <x v="21"/>
    <n v="35.700000000000003"/>
    <x v="1701"/>
    <x v="84"/>
    <d v="2025-03-27T00:00:00"/>
    <s v="M"/>
    <x v="3"/>
    <x v="0"/>
    <x v="0"/>
    <x v="8"/>
    <x v="3"/>
    <x v="12"/>
    <x v="1"/>
  </r>
  <r>
    <s v="TX502288"/>
    <x v="7"/>
    <x v="1"/>
    <n v="44.5"/>
    <x v="1702"/>
    <x v="84"/>
    <d v="2025-03-29T00:00:00"/>
    <s v="M"/>
    <x v="4"/>
    <x v="0"/>
    <x v="0"/>
    <x v="9"/>
    <x v="2"/>
    <x v="12"/>
    <x v="1"/>
  </r>
  <r>
    <s v="TX502289"/>
    <x v="1"/>
    <x v="9"/>
    <n v="32"/>
    <x v="444"/>
    <x v="84"/>
    <d v="2025-03-28T00:00:00"/>
    <s v="O"/>
    <x v="1"/>
    <x v="1"/>
    <x v="0"/>
    <x v="9"/>
    <x v="1"/>
    <x v="12"/>
    <x v="3"/>
  </r>
  <r>
    <s v="TX502290"/>
    <x v="8"/>
    <x v="0"/>
    <n v="25.7"/>
    <x v="1703"/>
    <x v="84"/>
    <d v="2025-03-27T00:00:00"/>
    <s v="M"/>
    <x v="0"/>
    <x v="0"/>
    <x v="0"/>
    <x v="10"/>
    <x v="3"/>
    <x v="12"/>
    <x v="1"/>
  </r>
  <r>
    <s v="TX502291"/>
    <x v="16"/>
    <x v="2"/>
    <n v="65.599999999999994"/>
    <x v="487"/>
    <x v="84"/>
    <d v="2025-04-01T00:00:00"/>
    <s v="M"/>
    <x v="0"/>
    <x v="0"/>
    <x v="0"/>
    <x v="11"/>
    <x v="4"/>
    <x v="12"/>
    <x v="1"/>
  </r>
  <r>
    <s v="TX502292"/>
    <x v="1"/>
    <x v="12"/>
    <n v="52.1"/>
    <x v="1704"/>
    <x v="84"/>
    <d v="2025-03-27T00:00:00"/>
    <s v="F"/>
    <x v="0"/>
    <x v="2"/>
    <x v="0"/>
    <x v="11"/>
    <x v="3"/>
    <x v="12"/>
    <x v="2"/>
  </r>
  <r>
    <s v="TX502293"/>
    <x v="8"/>
    <x v="0"/>
    <n v="31"/>
    <x v="1705"/>
    <x v="84"/>
    <d v="2025-03-27T00:00:00"/>
    <s v="M"/>
    <x v="0"/>
    <x v="1"/>
    <x v="0"/>
    <x v="19"/>
    <x v="3"/>
    <x v="12"/>
    <x v="1"/>
  </r>
  <r>
    <s v="TX502294"/>
    <x v="8"/>
    <x v="0"/>
    <n v="32"/>
    <x v="109"/>
    <x v="84"/>
    <d v="2025-03-28T00:00:00"/>
    <s v="O"/>
    <x v="3"/>
    <x v="1"/>
    <x v="0"/>
    <x v="31"/>
    <x v="1"/>
    <x v="12"/>
    <x v="3"/>
  </r>
  <r>
    <s v="TX502295"/>
    <x v="16"/>
    <x v="12"/>
    <n v="58.3"/>
    <x v="1706"/>
    <x v="84"/>
    <d v="2025-03-30T00:00:00"/>
    <s v="M"/>
    <x v="1"/>
    <x v="4"/>
    <x v="0"/>
    <x v="20"/>
    <x v="5"/>
    <x v="12"/>
    <x v="1"/>
  </r>
  <r>
    <s v="TX502296"/>
    <x v="8"/>
    <x v="2"/>
    <n v="31"/>
    <x v="1707"/>
    <x v="84"/>
    <d v="2025-03-28T00:00:00"/>
    <s v="F"/>
    <x v="2"/>
    <x v="4"/>
    <x v="0"/>
    <x v="13"/>
    <x v="1"/>
    <x v="12"/>
    <x v="2"/>
  </r>
  <r>
    <s v="TX502297"/>
    <x v="3"/>
    <x v="0"/>
    <n v="40.299999999999997"/>
    <x v="518"/>
    <x v="84"/>
    <d v="2025-03-27T00:00:00"/>
    <s v="M"/>
    <x v="1"/>
    <x v="2"/>
    <x v="0"/>
    <x v="54"/>
    <x v="3"/>
    <x v="12"/>
    <x v="1"/>
  </r>
  <r>
    <s v="TX502298"/>
    <x v="6"/>
    <x v="2"/>
    <n v="47.3"/>
    <x v="1708"/>
    <x v="84"/>
    <d v="2025-03-28T00:00:00"/>
    <s v="M"/>
    <x v="4"/>
    <x v="2"/>
    <x v="0"/>
    <x v="2"/>
    <x v="1"/>
    <x v="12"/>
    <x v="1"/>
  </r>
  <r>
    <s v="TX502299"/>
    <x v="2"/>
    <x v="0"/>
    <n v="82.8"/>
    <x v="1182"/>
    <x v="84"/>
    <d v="2025-03-27T00:00:00"/>
    <s v="M"/>
    <x v="0"/>
    <x v="0"/>
    <x v="0"/>
    <x v="2"/>
    <x v="3"/>
    <x v="12"/>
    <x v="1"/>
  </r>
  <r>
    <s v="TX502300"/>
    <x v="8"/>
    <x v="0"/>
    <n v="18.5"/>
    <x v="1709"/>
    <x v="84"/>
    <d v="2025-04-09T00:00:00"/>
    <s v="F"/>
    <x v="0"/>
    <x v="0"/>
    <x v="0"/>
    <x v="44"/>
    <x v="12"/>
    <x v="12"/>
    <x v="2"/>
  </r>
  <r>
    <s v="TX502301"/>
    <x v="3"/>
    <x v="1"/>
    <n v="60.4"/>
    <x v="1710"/>
    <x v="84"/>
    <d v="2025-03-27T00:00:00"/>
    <s v="M"/>
    <x v="2"/>
    <x v="0"/>
    <x v="0"/>
    <x v="22"/>
    <x v="3"/>
    <x v="12"/>
    <x v="1"/>
  </r>
  <r>
    <s v="TX502302"/>
    <x v="6"/>
    <x v="9"/>
    <n v="80.2"/>
    <x v="1711"/>
    <x v="84"/>
    <d v="2025-04-02T00:00:00"/>
    <s v="M"/>
    <x v="1"/>
    <x v="1"/>
    <x v="0"/>
    <x v="50"/>
    <x v="6"/>
    <x v="12"/>
    <x v="1"/>
  </r>
  <r>
    <s v="TX502303"/>
    <x v="4"/>
    <x v="0"/>
    <n v="41.5"/>
    <x v="1712"/>
    <x v="84"/>
    <d v="2025-03-28T00:00:00"/>
    <s v="M"/>
    <x v="2"/>
    <x v="0"/>
    <x v="0"/>
    <x v="3"/>
    <x v="1"/>
    <x v="12"/>
    <x v="1"/>
  </r>
  <r>
    <s v="TX502304"/>
    <x v="2"/>
    <x v="1"/>
    <n v="83.9"/>
    <x v="1713"/>
    <x v="84"/>
    <d v="2025-03-29T00:00:00"/>
    <s v="F"/>
    <x v="0"/>
    <x v="0"/>
    <x v="0"/>
    <x v="3"/>
    <x v="2"/>
    <x v="12"/>
    <x v="2"/>
  </r>
  <r>
    <s v="TX502305"/>
    <x v="8"/>
    <x v="1"/>
    <n v="16.7"/>
    <x v="1417"/>
    <x v="84"/>
    <d v="2025-03-30T00:00:00"/>
    <s v="F"/>
    <x v="0"/>
    <x v="1"/>
    <x v="0"/>
    <x v="3"/>
    <x v="5"/>
    <x v="12"/>
    <x v="2"/>
  </r>
  <r>
    <s v="TX502306"/>
    <x v="9"/>
    <x v="1"/>
    <n v="72.900000000000006"/>
    <x v="1626"/>
    <x v="84"/>
    <d v="2025-03-27T00:00:00"/>
    <s v="M"/>
    <x v="2"/>
    <x v="1"/>
    <x v="0"/>
    <x v="3"/>
    <x v="3"/>
    <x v="12"/>
    <x v="1"/>
  </r>
  <r>
    <s v="TX502307"/>
    <x v="5"/>
    <x v="1"/>
    <n v="50.2"/>
    <x v="862"/>
    <x v="84"/>
    <d v="2025-03-28T00:00:00"/>
    <s v="F"/>
    <x v="1"/>
    <x v="2"/>
    <x v="0"/>
    <x v="3"/>
    <x v="1"/>
    <x v="12"/>
    <x v="2"/>
  </r>
  <r>
    <s v="TX502308"/>
    <x v="3"/>
    <x v="1"/>
    <n v="34.200000000000003"/>
    <x v="1714"/>
    <x v="84"/>
    <d v="2025-04-05T00:00:00"/>
    <s v=""/>
    <x v="1"/>
    <x v="0"/>
    <x v="0"/>
    <x v="3"/>
    <x v="14"/>
    <x v="12"/>
    <x v="0"/>
  </r>
  <r>
    <s v="TX502309"/>
    <x v="5"/>
    <x v="1"/>
    <n v="107.9"/>
    <x v="1715"/>
    <x v="84"/>
    <d v="2025-03-26T00:00:00"/>
    <s v="M"/>
    <x v="1"/>
    <x v="4"/>
    <x v="0"/>
    <x v="3"/>
    <x v="7"/>
    <x v="12"/>
    <x v="1"/>
  </r>
  <r>
    <s v="TX502310"/>
    <x v="0"/>
    <x v="2"/>
    <n v="17.5"/>
    <x v="413"/>
    <x v="84"/>
    <d v="2025-03-28T00:00:00"/>
    <s v="M"/>
    <x v="4"/>
    <x v="0"/>
    <x v="0"/>
    <x v="3"/>
    <x v="1"/>
    <x v="12"/>
    <x v="1"/>
  </r>
  <r>
    <s v="TX502311"/>
    <x v="13"/>
    <x v="20"/>
    <n v="44.7"/>
    <x v="1716"/>
    <x v="84"/>
    <d v="2025-03-27T00:00:00"/>
    <s v="M"/>
    <x v="0"/>
    <x v="1"/>
    <x v="0"/>
    <x v="3"/>
    <x v="3"/>
    <x v="12"/>
    <x v="1"/>
  </r>
  <r>
    <s v="TX502312"/>
    <x v="12"/>
    <x v="13"/>
    <n v="92.7"/>
    <x v="1717"/>
    <x v="84"/>
    <d v="2025-03-28T00:00:00"/>
    <s v="F"/>
    <x v="2"/>
    <x v="1"/>
    <x v="0"/>
    <x v="3"/>
    <x v="1"/>
    <x v="12"/>
    <x v="2"/>
  </r>
  <r>
    <s v="TX502313"/>
    <x v="7"/>
    <x v="2"/>
    <n v="48.8"/>
    <x v="1718"/>
    <x v="84"/>
    <d v="2025-03-28T00:00:00"/>
    <s v="F"/>
    <x v="2"/>
    <x v="0"/>
    <x v="0"/>
    <x v="3"/>
    <x v="1"/>
    <x v="12"/>
    <x v="2"/>
  </r>
  <r>
    <s v="TX502314"/>
    <x v="4"/>
    <x v="27"/>
    <n v="21.3"/>
    <x v="1153"/>
    <x v="84"/>
    <d v="2025-03-30T00:00:00"/>
    <s v="F"/>
    <x v="3"/>
    <x v="3"/>
    <x v="0"/>
    <x v="3"/>
    <x v="5"/>
    <x v="12"/>
    <x v="2"/>
  </r>
  <r>
    <s v="TX502315"/>
    <x v="16"/>
    <x v="0"/>
    <n v="52.5"/>
    <x v="413"/>
    <x v="84"/>
    <d v="2025-03-27T00:00:00"/>
    <s v="F"/>
    <x v="0"/>
    <x v="0"/>
    <x v="0"/>
    <x v="3"/>
    <x v="3"/>
    <x v="12"/>
    <x v="2"/>
  </r>
  <r>
    <s v="TX502316"/>
    <x v="1"/>
    <x v="1"/>
    <n v="92.4"/>
    <x v="827"/>
    <x v="84"/>
    <d v="2025-04-01T00:00:00"/>
    <s v="F"/>
    <x v="0"/>
    <x v="2"/>
    <x v="0"/>
    <x v="3"/>
    <x v="4"/>
    <x v="12"/>
    <x v="2"/>
  </r>
  <r>
    <s v="TX502317"/>
    <x v="4"/>
    <x v="5"/>
    <n v="58.3"/>
    <x v="1719"/>
    <x v="84"/>
    <d v="2025-03-28T00:00:00"/>
    <s v="M"/>
    <x v="1"/>
    <x v="2"/>
    <x v="0"/>
    <x v="3"/>
    <x v="1"/>
    <x v="12"/>
    <x v="1"/>
  </r>
  <r>
    <s v="TX502318"/>
    <x v="6"/>
    <x v="44"/>
    <n v="152.6"/>
    <x v="1720"/>
    <x v="85"/>
    <d v="2025-03-29T00:00:00"/>
    <s v=""/>
    <x v="0"/>
    <x v="0"/>
    <x v="0"/>
    <x v="3"/>
    <x v="1"/>
    <x v="12"/>
    <x v="0"/>
  </r>
  <r>
    <s v="TX502319"/>
    <x v="8"/>
    <x v="1"/>
    <n v="26"/>
    <x v="1692"/>
    <x v="85"/>
    <d v="2025-03-27T00:00:00"/>
    <s v=""/>
    <x v="0"/>
    <x v="1"/>
    <x v="0"/>
    <x v="3"/>
    <x v="7"/>
    <x v="12"/>
    <x v="0"/>
  </r>
  <r>
    <s v="TX502320"/>
    <x v="1"/>
    <x v="12"/>
    <n v="33.1"/>
    <x v="979"/>
    <x v="85"/>
    <d v="2025-03-27T00:00:00"/>
    <s v="M"/>
    <x v="2"/>
    <x v="4"/>
    <x v="0"/>
    <x v="5"/>
    <x v="7"/>
    <x v="12"/>
    <x v="1"/>
  </r>
  <r>
    <s v="TX502321"/>
    <x v="18"/>
    <x v="0"/>
    <n v="51.4"/>
    <x v="1045"/>
    <x v="85"/>
    <d v="2025-03-29T00:00:00"/>
    <s v="F"/>
    <x v="1"/>
    <x v="1"/>
    <x v="0"/>
    <x v="5"/>
    <x v="1"/>
    <x v="12"/>
    <x v="2"/>
  </r>
  <r>
    <s v="TX502322"/>
    <x v="8"/>
    <x v="1"/>
    <n v="30.2"/>
    <x v="266"/>
    <x v="85"/>
    <d v="2025-03-28T00:00:00"/>
    <s v="F"/>
    <x v="2"/>
    <x v="2"/>
    <x v="0"/>
    <x v="6"/>
    <x v="3"/>
    <x v="12"/>
    <x v="2"/>
  </r>
  <r>
    <s v="TX502323"/>
    <x v="2"/>
    <x v="13"/>
    <n v="97"/>
    <x v="1544"/>
    <x v="85"/>
    <d v="2025-03-31T00:00:00"/>
    <s v="F"/>
    <x v="0"/>
    <x v="2"/>
    <x v="0"/>
    <x v="7"/>
    <x v="5"/>
    <x v="12"/>
    <x v="2"/>
  </r>
  <r>
    <s v="TX502324"/>
    <x v="2"/>
    <x v="0"/>
    <n v="76.900000000000006"/>
    <x v="1721"/>
    <x v="85"/>
    <d v="2025-03-28T00:00:00"/>
    <s v="M"/>
    <x v="1"/>
    <x v="2"/>
    <x v="0"/>
    <x v="8"/>
    <x v="3"/>
    <x v="12"/>
    <x v="1"/>
  </r>
  <r>
    <s v="TX502325"/>
    <x v="7"/>
    <x v="13"/>
    <n v="36.1"/>
    <x v="1722"/>
    <x v="85"/>
    <d v="2025-03-31T00:00:00"/>
    <s v="F"/>
    <x v="0"/>
    <x v="0"/>
    <x v="0"/>
    <x v="8"/>
    <x v="5"/>
    <x v="12"/>
    <x v="2"/>
  </r>
  <r>
    <s v="TX502326"/>
    <x v="1"/>
    <x v="3"/>
    <n v="34.4"/>
    <x v="1723"/>
    <x v="85"/>
    <d v="2025-03-27T00:00:00"/>
    <s v="F"/>
    <x v="2"/>
    <x v="1"/>
    <x v="0"/>
    <x v="11"/>
    <x v="7"/>
    <x v="12"/>
    <x v="2"/>
  </r>
  <r>
    <s v="TX502327"/>
    <x v="1"/>
    <x v="31"/>
    <n v="53.4"/>
    <x v="1724"/>
    <x v="85"/>
    <d v="2025-03-29T00:00:00"/>
    <s v="F"/>
    <x v="1"/>
    <x v="0"/>
    <x v="0"/>
    <x v="18"/>
    <x v="1"/>
    <x v="12"/>
    <x v="2"/>
  </r>
  <r>
    <s v="TX502328"/>
    <x v="2"/>
    <x v="0"/>
    <n v="77.599999999999994"/>
    <x v="1598"/>
    <x v="85"/>
    <d v="2025-03-28T00:00:00"/>
    <s v="F"/>
    <x v="0"/>
    <x v="1"/>
    <x v="0"/>
    <x v="19"/>
    <x v="3"/>
    <x v="12"/>
    <x v="2"/>
  </r>
  <r>
    <s v="TX502329"/>
    <x v="1"/>
    <x v="2"/>
    <n v="71.7"/>
    <x v="1725"/>
    <x v="85"/>
    <d v="2025-03-30T00:00:00"/>
    <s v="F"/>
    <x v="1"/>
    <x v="0"/>
    <x v="0"/>
    <x v="19"/>
    <x v="2"/>
    <x v="12"/>
    <x v="2"/>
  </r>
  <r>
    <s v="TX502330"/>
    <x v="3"/>
    <x v="2"/>
    <n v="80.599999999999994"/>
    <x v="1726"/>
    <x v="85"/>
    <d v="2025-03-28T00:00:00"/>
    <s v="M"/>
    <x v="4"/>
    <x v="1"/>
    <x v="0"/>
    <x v="19"/>
    <x v="3"/>
    <x v="12"/>
    <x v="1"/>
  </r>
  <r>
    <s v="TX502331"/>
    <x v="1"/>
    <x v="20"/>
    <n v="70"/>
    <x v="1727"/>
    <x v="85"/>
    <d v="2025-03-29T00:00:00"/>
    <s v="M"/>
    <x v="0"/>
    <x v="0"/>
    <x v="0"/>
    <x v="20"/>
    <x v="1"/>
    <x v="12"/>
    <x v="1"/>
  </r>
  <r>
    <s v="TX502332"/>
    <x v="4"/>
    <x v="13"/>
    <n v="27.3"/>
    <x v="1728"/>
    <x v="85"/>
    <d v="2025-03-29T00:00:00"/>
    <s v="F"/>
    <x v="1"/>
    <x v="1"/>
    <x v="0"/>
    <x v="2"/>
    <x v="1"/>
    <x v="12"/>
    <x v="2"/>
  </r>
  <r>
    <s v="TX502333"/>
    <x v="8"/>
    <x v="21"/>
    <n v="37.6"/>
    <x v="1729"/>
    <x v="85"/>
    <d v="2025-03-29T00:00:00"/>
    <s v="M"/>
    <x v="1"/>
    <x v="0"/>
    <x v="0"/>
    <x v="3"/>
    <x v="1"/>
    <x v="12"/>
    <x v="1"/>
  </r>
  <r>
    <s v="TX502334"/>
    <x v="5"/>
    <x v="2"/>
    <n v="36.6"/>
    <x v="17"/>
    <x v="85"/>
    <d v="2025-03-29T00:00:00"/>
    <s v="F"/>
    <x v="4"/>
    <x v="0"/>
    <x v="0"/>
    <x v="3"/>
    <x v="1"/>
    <x v="12"/>
    <x v="2"/>
  </r>
  <r>
    <s v="TX502335"/>
    <x v="13"/>
    <x v="0"/>
    <n v="55.2"/>
    <x v="291"/>
    <x v="85"/>
    <d v="2025-03-29T00:00:00"/>
    <s v="M"/>
    <x v="3"/>
    <x v="0"/>
    <x v="0"/>
    <x v="3"/>
    <x v="1"/>
    <x v="12"/>
    <x v="1"/>
  </r>
  <r>
    <s v="TX502336"/>
    <x v="6"/>
    <x v="9"/>
    <n v="59.9"/>
    <x v="1444"/>
    <x v="85"/>
    <d v="2025-03-29T00:00:00"/>
    <s v="M"/>
    <x v="0"/>
    <x v="0"/>
    <x v="0"/>
    <x v="3"/>
    <x v="1"/>
    <x v="12"/>
    <x v="1"/>
  </r>
  <r>
    <s v="TX502337"/>
    <x v="6"/>
    <x v="0"/>
    <n v="44"/>
    <x v="945"/>
    <x v="85"/>
    <d v="2025-03-28T00:00:00"/>
    <s v="F"/>
    <x v="2"/>
    <x v="2"/>
    <x v="0"/>
    <x v="3"/>
    <x v="3"/>
    <x v="12"/>
    <x v="2"/>
  </r>
  <r>
    <s v="TX502338"/>
    <x v="9"/>
    <x v="1"/>
    <n v="68.7"/>
    <x v="1730"/>
    <x v="85"/>
    <d v="2025-03-27T00:00:00"/>
    <s v="M"/>
    <x v="0"/>
    <x v="0"/>
    <x v="0"/>
    <x v="3"/>
    <x v="7"/>
    <x v="12"/>
    <x v="1"/>
  </r>
  <r>
    <s v="TX502339"/>
    <x v="5"/>
    <x v="1"/>
    <n v="61.6"/>
    <x v="1432"/>
    <x v="85"/>
    <d v="2025-03-31T00:00:00"/>
    <s v="M"/>
    <x v="3"/>
    <x v="1"/>
    <x v="0"/>
    <x v="3"/>
    <x v="5"/>
    <x v="12"/>
    <x v="1"/>
  </r>
  <r>
    <s v="TX502340"/>
    <x v="7"/>
    <x v="3"/>
    <n v="51.8"/>
    <x v="1731"/>
    <x v="85"/>
    <d v="2025-03-28T00:00:00"/>
    <s v="M"/>
    <x v="0"/>
    <x v="0"/>
    <x v="0"/>
    <x v="3"/>
    <x v="3"/>
    <x v="12"/>
    <x v="1"/>
  </r>
  <r>
    <s v="TX502341"/>
    <x v="8"/>
    <x v="7"/>
    <n v="46.2"/>
    <x v="1236"/>
    <x v="85"/>
    <d v="2025-03-29T00:00:00"/>
    <s v="M"/>
    <x v="1"/>
    <x v="2"/>
    <x v="0"/>
    <x v="3"/>
    <x v="1"/>
    <x v="12"/>
    <x v="1"/>
  </r>
  <r>
    <s v="TX502342"/>
    <x v="0"/>
    <x v="1"/>
    <n v="19.399999999999999"/>
    <x v="1732"/>
    <x v="85"/>
    <d v="2025-03-29T00:00:00"/>
    <s v="F"/>
    <x v="1"/>
    <x v="2"/>
    <x v="0"/>
    <x v="6"/>
    <x v="1"/>
    <x v="12"/>
    <x v="2"/>
  </r>
  <r>
    <s v="TX502343"/>
    <x v="11"/>
    <x v="2"/>
    <n v="52.1"/>
    <x v="1733"/>
    <x v="85"/>
    <d v="2025-03-30T00:00:00"/>
    <s v="M"/>
    <x v="3"/>
    <x v="3"/>
    <x v="0"/>
    <x v="6"/>
    <x v="2"/>
    <x v="12"/>
    <x v="1"/>
  </r>
  <r>
    <s v="TX502344"/>
    <x v="6"/>
    <x v="0"/>
    <n v="74.900000000000006"/>
    <x v="1734"/>
    <x v="85"/>
    <d v="2025-03-29T00:00:00"/>
    <s v="O"/>
    <x v="0"/>
    <x v="0"/>
    <x v="0"/>
    <x v="7"/>
    <x v="1"/>
    <x v="12"/>
    <x v="3"/>
  </r>
  <r>
    <s v="TX502345"/>
    <x v="9"/>
    <x v="3"/>
    <n v="49.6"/>
    <x v="1735"/>
    <x v="85"/>
    <d v="2025-03-30T00:00:00"/>
    <s v="F"/>
    <x v="4"/>
    <x v="0"/>
    <x v="0"/>
    <x v="8"/>
    <x v="2"/>
    <x v="12"/>
    <x v="2"/>
  </r>
  <r>
    <s v="TX502346"/>
    <x v="16"/>
    <x v="12"/>
    <n v="82.8"/>
    <x v="1736"/>
    <x v="86"/>
    <d v="2025-03-31T00:00:00"/>
    <s v="F"/>
    <x v="4"/>
    <x v="0"/>
    <x v="0"/>
    <x v="8"/>
    <x v="2"/>
    <x v="12"/>
    <x v="2"/>
  </r>
  <r>
    <s v="TX502347"/>
    <x v="2"/>
    <x v="0"/>
    <n v="97.7"/>
    <x v="68"/>
    <x v="86"/>
    <d v="2025-03-29T00:00:00"/>
    <s v="F"/>
    <x v="1"/>
    <x v="0"/>
    <x v="0"/>
    <x v="8"/>
    <x v="3"/>
    <x v="12"/>
    <x v="2"/>
  </r>
  <r>
    <s v="TX502348"/>
    <x v="6"/>
    <x v="9"/>
    <n v="83.6"/>
    <x v="378"/>
    <x v="86"/>
    <d v="2025-03-29T00:00:00"/>
    <s v="F"/>
    <x v="4"/>
    <x v="0"/>
    <x v="0"/>
    <x v="8"/>
    <x v="3"/>
    <x v="12"/>
    <x v="2"/>
  </r>
  <r>
    <s v="TX502349"/>
    <x v="8"/>
    <x v="9"/>
    <n v="23.5"/>
    <x v="1737"/>
    <x v="86"/>
    <d v="2025-04-01T00:00:00"/>
    <s v="O"/>
    <x v="0"/>
    <x v="0"/>
    <x v="0"/>
    <x v="8"/>
    <x v="5"/>
    <x v="12"/>
    <x v="3"/>
  </r>
  <r>
    <s v="TX502350"/>
    <x v="9"/>
    <x v="2"/>
    <n v="44.6"/>
    <x v="981"/>
    <x v="86"/>
    <d v="2025-03-31T00:00:00"/>
    <s v="F"/>
    <x v="4"/>
    <x v="1"/>
    <x v="0"/>
    <x v="26"/>
    <x v="2"/>
    <x v="12"/>
    <x v="2"/>
  </r>
  <r>
    <s v="TX502351"/>
    <x v="0"/>
    <x v="2"/>
    <n v="20.100000000000001"/>
    <x v="1738"/>
    <x v="86"/>
    <d v="2025-03-30T00:00:00"/>
    <s v="F"/>
    <x v="3"/>
    <x v="4"/>
    <x v="0"/>
    <x v="11"/>
    <x v="1"/>
    <x v="12"/>
    <x v="2"/>
  </r>
  <r>
    <s v="TX502352"/>
    <x v="2"/>
    <x v="9"/>
    <n v="153.6"/>
    <x v="1739"/>
    <x v="86"/>
    <d v="2025-03-29T00:00:00"/>
    <s v="F"/>
    <x v="1"/>
    <x v="2"/>
    <x v="0"/>
    <x v="53"/>
    <x v="3"/>
    <x v="12"/>
    <x v="2"/>
  </r>
  <r>
    <s v="TX502353"/>
    <x v="1"/>
    <x v="1"/>
    <n v="71.8"/>
    <x v="897"/>
    <x v="86"/>
    <d v="2025-04-01T00:00:00"/>
    <s v="F"/>
    <x v="1"/>
    <x v="0"/>
    <x v="0"/>
    <x v="1"/>
    <x v="5"/>
    <x v="12"/>
    <x v="2"/>
  </r>
  <r>
    <s v="TX502354"/>
    <x v="10"/>
    <x v="0"/>
    <n v="64.7"/>
    <x v="1740"/>
    <x v="86"/>
    <d v="2025-03-30T00:00:00"/>
    <s v=""/>
    <x v="0"/>
    <x v="1"/>
    <x v="0"/>
    <x v="1"/>
    <x v="1"/>
    <x v="12"/>
    <x v="0"/>
  </r>
  <r>
    <s v="TX502355"/>
    <x v="9"/>
    <x v="8"/>
    <n v="60.4"/>
    <x v="1741"/>
    <x v="86"/>
    <d v="2025-03-30T00:00:00"/>
    <s v="F"/>
    <x v="3"/>
    <x v="2"/>
    <x v="0"/>
    <x v="2"/>
    <x v="1"/>
    <x v="12"/>
    <x v="2"/>
  </r>
  <r>
    <s v="TX502356"/>
    <x v="6"/>
    <x v="12"/>
    <n v="86"/>
    <x v="1213"/>
    <x v="86"/>
    <d v="2025-03-31T00:00:00"/>
    <s v="F"/>
    <x v="2"/>
    <x v="2"/>
    <x v="0"/>
    <x v="22"/>
    <x v="2"/>
    <x v="12"/>
    <x v="2"/>
  </r>
  <r>
    <s v="TX502357"/>
    <x v="12"/>
    <x v="1"/>
    <n v="42.1"/>
    <x v="903"/>
    <x v="86"/>
    <d v="2025-03-29T00:00:00"/>
    <s v="F"/>
    <x v="4"/>
    <x v="1"/>
    <x v="0"/>
    <x v="34"/>
    <x v="3"/>
    <x v="12"/>
    <x v="2"/>
  </r>
  <r>
    <s v="TX502358"/>
    <x v="16"/>
    <x v="11"/>
    <n v="51.1"/>
    <x v="1742"/>
    <x v="86"/>
    <d v="2025-03-29T00:00:00"/>
    <s v="M"/>
    <x v="2"/>
    <x v="1"/>
    <x v="0"/>
    <x v="3"/>
    <x v="3"/>
    <x v="12"/>
    <x v="1"/>
  </r>
  <r>
    <s v="TX502359"/>
    <x v="9"/>
    <x v="12"/>
    <n v="73.8"/>
    <x v="1743"/>
    <x v="86"/>
    <d v="2025-03-29T00:00:00"/>
    <s v="M"/>
    <x v="4"/>
    <x v="0"/>
    <x v="0"/>
    <x v="3"/>
    <x v="3"/>
    <x v="12"/>
    <x v="1"/>
  </r>
  <r>
    <s v="TX502360"/>
    <x v="8"/>
    <x v="9"/>
    <n v="27"/>
    <x v="340"/>
    <x v="86"/>
    <d v="2025-03-31T00:00:00"/>
    <s v="F"/>
    <x v="2"/>
    <x v="2"/>
    <x v="0"/>
    <x v="3"/>
    <x v="2"/>
    <x v="12"/>
    <x v="2"/>
  </r>
  <r>
    <s v="TX502361"/>
    <x v="8"/>
    <x v="13"/>
    <n v="60.1"/>
    <x v="116"/>
    <x v="86"/>
    <d v="2025-03-29T00:00:00"/>
    <s v="M"/>
    <x v="3"/>
    <x v="0"/>
    <x v="0"/>
    <x v="3"/>
    <x v="3"/>
    <x v="12"/>
    <x v="1"/>
  </r>
  <r>
    <s v="TX502362"/>
    <x v="2"/>
    <x v="3"/>
    <n v="94.1"/>
    <x v="1744"/>
    <x v="86"/>
    <d v="2025-03-30T00:00:00"/>
    <s v="F"/>
    <x v="4"/>
    <x v="1"/>
    <x v="0"/>
    <x v="3"/>
    <x v="1"/>
    <x v="12"/>
    <x v="2"/>
  </r>
  <r>
    <s v="TX502363"/>
    <x v="2"/>
    <x v="1"/>
    <n v="124.1"/>
    <x v="1235"/>
    <x v="86"/>
    <d v="2025-03-28T00:00:00"/>
    <s v="F"/>
    <x v="2"/>
    <x v="3"/>
    <x v="0"/>
    <x v="43"/>
    <x v="7"/>
    <x v="12"/>
    <x v="2"/>
  </r>
  <r>
    <s v="TX502364"/>
    <x v="8"/>
    <x v="12"/>
    <n v="16.899999999999999"/>
    <x v="821"/>
    <x v="86"/>
    <d v="2025-03-31T00:00:00"/>
    <s v="M"/>
    <x v="3"/>
    <x v="0"/>
    <x v="0"/>
    <x v="6"/>
    <x v="2"/>
    <x v="12"/>
    <x v="1"/>
  </r>
  <r>
    <s v="TX502365"/>
    <x v="1"/>
    <x v="0"/>
    <n v="36.9"/>
    <x v="1745"/>
    <x v="86"/>
    <d v="2025-03-29T00:00:00"/>
    <s v="M"/>
    <x v="0"/>
    <x v="0"/>
    <x v="0"/>
    <x v="6"/>
    <x v="3"/>
    <x v="12"/>
    <x v="1"/>
  </r>
  <r>
    <s v="TX502366"/>
    <x v="9"/>
    <x v="1"/>
    <n v="22.6"/>
    <x v="705"/>
    <x v="86"/>
    <d v="2025-04-10T00:00:00"/>
    <s v="F"/>
    <x v="2"/>
    <x v="1"/>
    <x v="0"/>
    <x v="8"/>
    <x v="10"/>
    <x v="12"/>
    <x v="2"/>
  </r>
  <r>
    <s v="TX502367"/>
    <x v="7"/>
    <x v="12"/>
    <n v="35"/>
    <x v="1683"/>
    <x v="86"/>
    <d v="2025-04-02T00:00:00"/>
    <s v="M"/>
    <x v="3"/>
    <x v="1"/>
    <x v="0"/>
    <x v="8"/>
    <x v="0"/>
    <x v="12"/>
    <x v="1"/>
  </r>
  <r>
    <s v="TX502368"/>
    <x v="9"/>
    <x v="13"/>
    <n v="63.6"/>
    <x v="1746"/>
    <x v="86"/>
    <d v="2025-04-04T00:00:00"/>
    <s v=""/>
    <x v="1"/>
    <x v="2"/>
    <x v="0"/>
    <x v="8"/>
    <x v="6"/>
    <x v="12"/>
    <x v="0"/>
  </r>
  <r>
    <s v="TX502369"/>
    <x v="15"/>
    <x v="12"/>
    <n v="78.599999999999994"/>
    <x v="1747"/>
    <x v="86"/>
    <d v="2025-03-29T00:00:00"/>
    <s v="M"/>
    <x v="4"/>
    <x v="1"/>
    <x v="0"/>
    <x v="8"/>
    <x v="3"/>
    <x v="12"/>
    <x v="1"/>
  </r>
  <r>
    <s v="TX502370"/>
    <x v="3"/>
    <x v="1"/>
    <n v="38.5"/>
    <x v="445"/>
    <x v="86"/>
    <d v="2025-03-29T00:00:00"/>
    <s v="M"/>
    <x v="0"/>
    <x v="2"/>
    <x v="0"/>
    <x v="8"/>
    <x v="3"/>
    <x v="12"/>
    <x v="1"/>
  </r>
  <r>
    <s v="TX502371"/>
    <x v="8"/>
    <x v="5"/>
    <n v="71.5"/>
    <x v="1748"/>
    <x v="86"/>
    <d v="2025-03-29T00:00:00"/>
    <s v="F"/>
    <x v="1"/>
    <x v="4"/>
    <x v="0"/>
    <x v="8"/>
    <x v="3"/>
    <x v="12"/>
    <x v="2"/>
  </r>
  <r>
    <s v="TX502372"/>
    <x v="6"/>
    <x v="12"/>
    <n v="121.4"/>
    <x v="1749"/>
    <x v="86"/>
    <d v="2025-04-01T00:00:00"/>
    <s v="M"/>
    <x v="1"/>
    <x v="2"/>
    <x v="0"/>
    <x v="17"/>
    <x v="5"/>
    <x v="12"/>
    <x v="1"/>
  </r>
  <r>
    <s v="TX502373"/>
    <x v="11"/>
    <x v="0"/>
    <n v="40.200000000000003"/>
    <x v="282"/>
    <x v="86"/>
    <d v="2025-03-31T00:00:00"/>
    <s v="F"/>
    <x v="0"/>
    <x v="2"/>
    <x v="0"/>
    <x v="11"/>
    <x v="2"/>
    <x v="12"/>
    <x v="2"/>
  </r>
  <r>
    <s v="TX502374"/>
    <x v="5"/>
    <x v="9"/>
    <n v="31.9"/>
    <x v="1750"/>
    <x v="86"/>
    <d v="2025-03-30T00:00:00"/>
    <s v="F"/>
    <x v="2"/>
    <x v="2"/>
    <x v="0"/>
    <x v="28"/>
    <x v="1"/>
    <x v="12"/>
    <x v="2"/>
  </r>
  <r>
    <s v="TX502375"/>
    <x v="14"/>
    <x v="9"/>
    <n v="15.8"/>
    <x v="1751"/>
    <x v="87"/>
    <d v="2025-03-30T00:00:00"/>
    <s v="M"/>
    <x v="3"/>
    <x v="2"/>
    <x v="0"/>
    <x v="21"/>
    <x v="3"/>
    <x v="12"/>
    <x v="1"/>
  </r>
  <r>
    <s v="TX502376"/>
    <x v="10"/>
    <x v="1"/>
    <n v="25.1"/>
    <x v="486"/>
    <x v="87"/>
    <d v="2025-03-31T00:00:00"/>
    <s v=""/>
    <x v="1"/>
    <x v="0"/>
    <x v="0"/>
    <x v="21"/>
    <x v="1"/>
    <x v="12"/>
    <x v="0"/>
  </r>
  <r>
    <s v="TX502377"/>
    <x v="1"/>
    <x v="44"/>
    <n v="38.1"/>
    <x v="1752"/>
    <x v="87"/>
    <d v="2025-03-30T00:00:00"/>
    <s v="F"/>
    <x v="4"/>
    <x v="0"/>
    <x v="0"/>
    <x v="1"/>
    <x v="3"/>
    <x v="12"/>
    <x v="2"/>
  </r>
  <r>
    <s v="TX502378"/>
    <x v="3"/>
    <x v="1"/>
    <n v="42.2"/>
    <x v="533"/>
    <x v="87"/>
    <d v="2025-03-31T00:00:00"/>
    <s v="F"/>
    <x v="0"/>
    <x v="2"/>
    <x v="0"/>
    <x v="1"/>
    <x v="1"/>
    <x v="12"/>
    <x v="2"/>
  </r>
  <r>
    <s v="TX502379"/>
    <x v="0"/>
    <x v="7"/>
    <n v="12.3"/>
    <x v="1287"/>
    <x v="87"/>
    <d v="2025-03-30T00:00:00"/>
    <s v="F"/>
    <x v="4"/>
    <x v="0"/>
    <x v="0"/>
    <x v="2"/>
    <x v="3"/>
    <x v="12"/>
    <x v="2"/>
  </r>
  <r>
    <s v="TX502380"/>
    <x v="7"/>
    <x v="0"/>
    <n v="30.2"/>
    <x v="242"/>
    <x v="87"/>
    <d v="2025-03-31T00:00:00"/>
    <s v="F"/>
    <x v="1"/>
    <x v="2"/>
    <x v="0"/>
    <x v="34"/>
    <x v="1"/>
    <x v="12"/>
    <x v="2"/>
  </r>
  <r>
    <s v="TX502381"/>
    <x v="5"/>
    <x v="2"/>
    <n v="25.3"/>
    <x v="1554"/>
    <x v="87"/>
    <d v="2025-04-01T00:00:00"/>
    <s v="F"/>
    <x v="2"/>
    <x v="0"/>
    <x v="0"/>
    <x v="3"/>
    <x v="2"/>
    <x v="12"/>
    <x v="2"/>
  </r>
  <r>
    <s v="TX502382"/>
    <x v="8"/>
    <x v="9"/>
    <n v="29.7"/>
    <x v="1753"/>
    <x v="87"/>
    <d v="2025-03-31T00:00:00"/>
    <s v="M"/>
    <x v="3"/>
    <x v="0"/>
    <x v="0"/>
    <x v="3"/>
    <x v="1"/>
    <x v="12"/>
    <x v="1"/>
  </r>
  <r>
    <s v="TX502383"/>
    <x v="9"/>
    <x v="8"/>
    <n v="32.9"/>
    <x v="1754"/>
    <x v="87"/>
    <d v="2025-03-30T00:00:00"/>
    <s v=""/>
    <x v="3"/>
    <x v="2"/>
    <x v="0"/>
    <x v="3"/>
    <x v="3"/>
    <x v="12"/>
    <x v="0"/>
  </r>
  <r>
    <s v="TX502384"/>
    <x v="10"/>
    <x v="1"/>
    <n v="43.6"/>
    <x v="640"/>
    <x v="87"/>
    <d v="2025-03-30T00:00:00"/>
    <s v="M"/>
    <x v="1"/>
    <x v="2"/>
    <x v="0"/>
    <x v="3"/>
    <x v="3"/>
    <x v="12"/>
    <x v="1"/>
  </r>
  <r>
    <s v="TX502385"/>
    <x v="15"/>
    <x v="12"/>
    <n v="78.400000000000006"/>
    <x v="1755"/>
    <x v="87"/>
    <d v="2025-03-30T00:00:00"/>
    <s v="M"/>
    <x v="2"/>
    <x v="0"/>
    <x v="0"/>
    <x v="3"/>
    <x v="3"/>
    <x v="12"/>
    <x v="1"/>
  </r>
  <r>
    <s v="TX502386"/>
    <x v="6"/>
    <x v="1"/>
    <n v="56.5"/>
    <x v="548"/>
    <x v="87"/>
    <d v="2025-04-02T00:00:00"/>
    <s v="M"/>
    <x v="1"/>
    <x v="1"/>
    <x v="0"/>
    <x v="3"/>
    <x v="5"/>
    <x v="12"/>
    <x v="1"/>
  </r>
  <r>
    <s v="TX502387"/>
    <x v="16"/>
    <x v="0"/>
    <n v="36.700000000000003"/>
    <x v="329"/>
    <x v="87"/>
    <d v="2025-03-30T00:00:00"/>
    <s v="F"/>
    <x v="0"/>
    <x v="2"/>
    <x v="0"/>
    <x v="3"/>
    <x v="3"/>
    <x v="12"/>
    <x v="2"/>
  </r>
  <r>
    <s v="TX502388"/>
    <x v="2"/>
    <x v="12"/>
    <n v="103.6"/>
    <x v="1756"/>
    <x v="87"/>
    <d v="2025-04-09T00:00:00"/>
    <s v="M"/>
    <x v="4"/>
    <x v="2"/>
    <x v="0"/>
    <x v="3"/>
    <x v="11"/>
    <x v="12"/>
    <x v="1"/>
  </r>
  <r>
    <s v="TX502389"/>
    <x v="8"/>
    <x v="13"/>
    <n v="16.2"/>
    <x v="1757"/>
    <x v="87"/>
    <d v="2025-04-02T00:00:00"/>
    <s v="M"/>
    <x v="1"/>
    <x v="2"/>
    <x v="0"/>
    <x v="6"/>
    <x v="5"/>
    <x v="12"/>
    <x v="1"/>
  </r>
  <r>
    <s v="TX502390"/>
    <x v="8"/>
    <x v="1"/>
    <n v="20.2"/>
    <x v="1400"/>
    <x v="87"/>
    <d v="2025-03-30T00:00:00"/>
    <s v="F"/>
    <x v="0"/>
    <x v="0"/>
    <x v="0"/>
    <x v="6"/>
    <x v="3"/>
    <x v="12"/>
    <x v="2"/>
  </r>
  <r>
    <s v="TX502391"/>
    <x v="11"/>
    <x v="1"/>
    <n v="26.9"/>
    <x v="1758"/>
    <x v="87"/>
    <d v="2025-03-31T00:00:00"/>
    <s v="F"/>
    <x v="2"/>
    <x v="0"/>
    <x v="0"/>
    <x v="6"/>
    <x v="1"/>
    <x v="12"/>
    <x v="2"/>
  </r>
  <r>
    <s v="TX502392"/>
    <x v="1"/>
    <x v="1"/>
    <n v="82.4"/>
    <x v="1759"/>
    <x v="87"/>
    <d v="2025-04-01T00:00:00"/>
    <s v=""/>
    <x v="0"/>
    <x v="0"/>
    <x v="0"/>
    <x v="7"/>
    <x v="2"/>
    <x v="12"/>
    <x v="0"/>
  </r>
  <r>
    <s v="TX502393"/>
    <x v="2"/>
    <x v="1"/>
    <n v="117.8"/>
    <x v="1760"/>
    <x v="87"/>
    <d v="2025-03-31T00:00:00"/>
    <s v="M"/>
    <x v="1"/>
    <x v="2"/>
    <x v="0"/>
    <x v="8"/>
    <x v="1"/>
    <x v="12"/>
    <x v="1"/>
  </r>
  <r>
    <s v="TX502394"/>
    <x v="11"/>
    <x v="12"/>
    <n v="36.700000000000003"/>
    <x v="1761"/>
    <x v="87"/>
    <d v="2025-03-30T00:00:00"/>
    <s v="M"/>
    <x v="1"/>
    <x v="0"/>
    <x v="0"/>
    <x v="8"/>
    <x v="3"/>
    <x v="12"/>
    <x v="1"/>
  </r>
  <r>
    <s v="TX502395"/>
    <x v="17"/>
    <x v="2"/>
    <n v="46.8"/>
    <x v="1762"/>
    <x v="87"/>
    <d v="2025-03-30T00:00:00"/>
    <s v="M"/>
    <x v="4"/>
    <x v="2"/>
    <x v="0"/>
    <x v="10"/>
    <x v="3"/>
    <x v="12"/>
    <x v="1"/>
  </r>
  <r>
    <s v="TX502396"/>
    <x v="3"/>
    <x v="0"/>
    <n v="61.4"/>
    <x v="886"/>
    <x v="87"/>
    <d v="2025-03-30T00:00:00"/>
    <s v="M"/>
    <x v="1"/>
    <x v="0"/>
    <x v="0"/>
    <x v="10"/>
    <x v="3"/>
    <x v="12"/>
    <x v="1"/>
  </r>
  <r>
    <s v="TX502397"/>
    <x v="15"/>
    <x v="1"/>
    <n v="22.9"/>
    <x v="494"/>
    <x v="87"/>
    <d v="2025-03-30T00:00:00"/>
    <s v="M"/>
    <x v="0"/>
    <x v="0"/>
    <x v="0"/>
    <x v="11"/>
    <x v="3"/>
    <x v="12"/>
    <x v="1"/>
  </r>
  <r>
    <s v="TX502398"/>
    <x v="10"/>
    <x v="1"/>
    <n v="22.1"/>
    <x v="573"/>
    <x v="87"/>
    <d v="2025-03-30T00:00:00"/>
    <s v="F"/>
    <x v="4"/>
    <x v="0"/>
    <x v="0"/>
    <x v="11"/>
    <x v="3"/>
    <x v="12"/>
    <x v="2"/>
  </r>
  <r>
    <s v="TX502399"/>
    <x v="12"/>
    <x v="1"/>
    <n v="31"/>
    <x v="85"/>
    <x v="87"/>
    <d v="2025-03-31T00:00:00"/>
    <s v="F"/>
    <x v="2"/>
    <x v="0"/>
    <x v="0"/>
    <x v="18"/>
    <x v="1"/>
    <x v="12"/>
    <x v="2"/>
  </r>
  <r>
    <s v="TX502400"/>
    <x v="18"/>
    <x v="1"/>
    <n v="84.2"/>
    <x v="1763"/>
    <x v="87"/>
    <d v="2025-03-31T00:00:00"/>
    <s v="M"/>
    <x v="2"/>
    <x v="2"/>
    <x v="0"/>
    <x v="13"/>
    <x v="1"/>
    <x v="12"/>
    <x v="1"/>
  </r>
</pivotCacheRecords>
</file>

<file path=xl/pivotCache/pivotCacheRecords2.xml><?xml version="1.0" encoding="utf-8"?>
<pivotCacheRecords xmlns="http://schemas.openxmlformats.org/spreadsheetml/2006/main" xmlns:r="http://schemas.openxmlformats.org/officeDocument/2006/relationships" count="2399">
  <r>
    <s v="TX500001"/>
    <s v="Shorts"/>
    <n v="1"/>
    <n v="10.9"/>
    <n v="10.9"/>
    <d v="2025-01-01T00:00:00"/>
    <d v="2025-01-06T00:00:00"/>
    <s v=""/>
    <s v="App"/>
    <n v="4"/>
    <s v="California"/>
    <s v="Alpine County"/>
    <x v="0"/>
    <n v="1"/>
    <e v="#NAME?"/>
  </r>
  <r>
    <s v="TX500002"/>
    <s v="Tank Tops"/>
    <n v="2"/>
    <n v="30.6"/>
    <n v="61.2"/>
    <d v="2025-01-01T00:00:00"/>
    <d v="2025-01-03T00:00:00"/>
    <s v="M"/>
    <s v="App"/>
    <n v="4"/>
    <s v="California"/>
    <s v="Contra Costa County"/>
    <x v="1"/>
    <n v="1"/>
    <e v="#NAME?"/>
  </r>
  <r>
    <s v="TX500003"/>
    <s v="Sneakers"/>
    <n v="3"/>
    <n v="109.4"/>
    <n v="328.20000000000005"/>
    <d v="2025-01-01T00:00:00"/>
    <d v="2025-01-04T00:00:00"/>
    <s v="F"/>
    <s v="App"/>
    <n v="3"/>
    <s v="California"/>
    <s v="Fresno County"/>
    <x v="2"/>
    <n v="1"/>
    <e v="#NAME?"/>
  </r>
  <r>
    <s v="TX500004"/>
    <s v="Workout Tops"/>
    <n v="7"/>
    <n v="37.700000000000003"/>
    <n v="263.90000000000003"/>
    <d v="2025-01-01T00:00:00"/>
    <d v="2025-01-02T00:00:00"/>
    <s v="F"/>
    <s v="App"/>
    <n v="4"/>
    <s v="California"/>
    <s v="Fresno County"/>
    <x v="3"/>
    <n v="1"/>
    <e v="#NAME?"/>
  </r>
  <r>
    <s v="TX500005"/>
    <s v="Graphic Tees"/>
    <n v="3"/>
    <n v="56.7"/>
    <n v="170.10000000000002"/>
    <d v="2025-01-01T00:00:00"/>
    <d v="2025-01-04T00:00:00"/>
    <s v="F"/>
    <s v="App"/>
    <n v="5"/>
    <s v="California"/>
    <s v="Los Angeles County"/>
    <x v="2"/>
    <n v="1"/>
    <e v="#NAME?"/>
  </r>
  <r>
    <s v="TX500006"/>
    <s v="Tank Tops"/>
    <n v="12"/>
    <n v="83.5"/>
    <n v="1002"/>
    <d v="2025-01-01T00:00:00"/>
    <d v="2025-01-04T00:00:00"/>
    <s v="M"/>
    <s v="Website"/>
    <n v="4"/>
    <s v="California"/>
    <s v="Los Angeles County"/>
    <x v="2"/>
    <n v="1"/>
    <e v="#NAME?"/>
  </r>
  <r>
    <s v="TX500007"/>
    <s v="Sandals"/>
    <n v="1"/>
    <n v="55.3"/>
    <n v="55.3"/>
    <d v="2025-01-01T00:00:00"/>
    <d v="2025-01-02T00:00:00"/>
    <s v="F"/>
    <s v="App"/>
    <n v="4"/>
    <s v="California"/>
    <s v="Los Angeles County"/>
    <x v="3"/>
    <n v="1"/>
    <e v="#NAME?"/>
  </r>
  <r>
    <s v="TX500008"/>
    <s v="Jeans"/>
    <n v="2"/>
    <n v="40.299999999999997"/>
    <n v="80.599999999999994"/>
    <d v="2025-01-01T00:00:00"/>
    <d v="2025-01-02T00:00:00"/>
    <s v="M"/>
    <s v="Target.com"/>
    <n v="5"/>
    <s v="California"/>
    <s v="Los Angeles County"/>
    <x v="3"/>
    <n v="1"/>
    <e v="#NAME?"/>
  </r>
  <r>
    <s v="TX500009"/>
    <s v="Hoodies &amp; Sweatshirts"/>
    <n v="11"/>
    <n v="35.700000000000003"/>
    <n v="392.70000000000005"/>
    <d v="2025-01-01T00:00:00"/>
    <d v="2025-01-02T00:00:00"/>
    <s v="F"/>
    <s v="App"/>
    <n v="4"/>
    <s v="California"/>
    <s v="Los Angeles County"/>
    <x v="3"/>
    <n v="1"/>
    <e v="#NAME?"/>
  </r>
  <r>
    <s v="TX500010"/>
    <s v="T-Shirts"/>
    <n v="7"/>
    <n v="22.4"/>
    <n v="156.79999999999998"/>
    <d v="2025-01-01T00:00:00"/>
    <d v="2025-01-04T00:00:00"/>
    <s v="M"/>
    <s v="App"/>
    <n v="3"/>
    <s v="California"/>
    <s v="Los Angeles County"/>
    <x v="2"/>
    <n v="1"/>
    <e v="#NAME?"/>
  </r>
  <r>
    <s v="TX500011"/>
    <s v="Sundresses"/>
    <n v="2"/>
    <n v="54.4"/>
    <n v="108.8"/>
    <d v="2025-01-01T00:00:00"/>
    <d v="2025-01-07T00:00:00"/>
    <s v="F"/>
    <s v="App"/>
    <n v="4"/>
    <s v="California"/>
    <s v="Los Angeles County"/>
    <x v="4"/>
    <n v="1"/>
    <e v="#NAME?"/>
  </r>
  <r>
    <s v="TX500012"/>
    <s v="Sundresses"/>
    <n v="2"/>
    <n v="49"/>
    <n v="98"/>
    <d v="2025-01-01T00:00:00"/>
    <d v="2025-01-03T00:00:00"/>
    <s v="F"/>
    <s v="Target.com"/>
    <n v="3"/>
    <s v="California"/>
    <s v="Los Angeles County"/>
    <x v="1"/>
    <n v="1"/>
    <e v="#NAME?"/>
  </r>
  <r>
    <s v="TX500013"/>
    <s v="Sandals"/>
    <n v="7"/>
    <n v="118.6"/>
    <n v="830.19999999999993"/>
    <d v="2025-01-01T00:00:00"/>
    <d v="2025-01-05T00:00:00"/>
    <s v="F"/>
    <s v="Website"/>
    <n v="4"/>
    <s v="California"/>
    <s v="Nevada County"/>
    <x v="5"/>
    <n v="1"/>
    <e v="#NAME?"/>
  </r>
  <r>
    <s v="TX500014"/>
    <s v="Jeans"/>
    <n v="27"/>
    <n v="88.4"/>
    <n v="2386.8000000000002"/>
    <d v="2025-01-01T00:00:00"/>
    <d v="2025-01-08T00:00:00"/>
    <s v="M"/>
    <s v="Instagram"/>
    <n v="4"/>
    <s v="California"/>
    <s v="Placer County"/>
    <x v="6"/>
    <n v="1"/>
    <e v="#NAME?"/>
  </r>
  <r>
    <s v="TX500015"/>
    <s v="Bikinis"/>
    <n v="1"/>
    <n v="66.7"/>
    <n v="66.7"/>
    <d v="2025-01-01T00:00:00"/>
    <d v="2025-01-04T00:00:00"/>
    <s v="M"/>
    <s v="App"/>
    <n v="4"/>
    <s v="California"/>
    <s v="Sacramento County"/>
    <x v="2"/>
    <n v="1"/>
    <e v="#NAME?"/>
  </r>
  <r>
    <s v="TX500016"/>
    <s v="Sundresses"/>
    <n v="10"/>
    <n v="30.9"/>
    <n v="309"/>
    <d v="2025-01-01T00:00:00"/>
    <d v="2025-01-02T00:00:00"/>
    <s v="M"/>
    <s v="Website"/>
    <n v="5"/>
    <s v="California"/>
    <s v="Sacramento County"/>
    <x v="3"/>
    <n v="1"/>
    <e v="#NAME?"/>
  </r>
  <r>
    <s v="TX500017"/>
    <s v="Graphic Tees"/>
    <n v="3"/>
    <n v="31.1"/>
    <n v="93.300000000000011"/>
    <d v="2025-01-01T00:00:00"/>
    <d v="2025-01-02T00:00:00"/>
    <s v="F"/>
    <s v="App"/>
    <n v="3"/>
    <s v="California"/>
    <s v="Sacramento County"/>
    <x v="3"/>
    <n v="1"/>
    <e v="#NAME?"/>
  </r>
  <r>
    <s v="TX500018"/>
    <s v="Hoodies &amp; Sweatshirts"/>
    <n v="3"/>
    <n v="36.6"/>
    <n v="109.80000000000001"/>
    <d v="2025-01-01T00:00:00"/>
    <d v="2025-01-04T00:00:00"/>
    <s v="F"/>
    <s v="App"/>
    <n v="4"/>
    <s v="California"/>
    <s v="San Bernardino County"/>
    <x v="2"/>
    <n v="1"/>
    <e v="#NAME?"/>
  </r>
  <r>
    <s v="TX500019"/>
    <s v="Jeans"/>
    <n v="8"/>
    <n v="51.1"/>
    <n v="408.8"/>
    <d v="2025-01-01T00:00:00"/>
    <d v="2025-01-04T00:00:00"/>
    <s v="F"/>
    <s v="Target.com"/>
    <n v="1"/>
    <s v="California"/>
    <s v="San Bernardino County"/>
    <x v="2"/>
    <n v="1"/>
    <e v="#NAME?"/>
  </r>
  <r>
    <s v="TX500020"/>
    <s v="Sundresses"/>
    <n v="1"/>
    <n v="25.2"/>
    <n v="25.2"/>
    <d v="2025-01-01T00:00:00"/>
    <d v="2025-01-02T00:00:00"/>
    <s v="F"/>
    <s v="Website"/>
    <n v="5"/>
    <s v="California"/>
    <s v="San Diego County"/>
    <x v="3"/>
    <n v="1"/>
    <e v="#NAME?"/>
  </r>
  <r>
    <s v="TX500021"/>
    <s v="Sundresses"/>
    <n v="5"/>
    <n v="43.8"/>
    <n v="219"/>
    <d v="2025-01-01T00:00:00"/>
    <d v="2025-01-04T00:00:00"/>
    <s v="F"/>
    <s v="Target.com"/>
    <n v="4"/>
    <s v="California"/>
    <s v="San Diego County"/>
    <x v="2"/>
    <n v="1"/>
    <e v="#NAME?"/>
  </r>
  <r>
    <s v="TX500022"/>
    <s v="T-Shirts"/>
    <n v="12"/>
    <n v="46.7"/>
    <n v="560.40000000000009"/>
    <d v="2025-01-01T00:00:00"/>
    <d v="2025-01-02T00:00:00"/>
    <s v="F"/>
    <s v="Website"/>
    <n v="3"/>
    <s v="California"/>
    <s v="San Diego County"/>
    <x v="3"/>
    <n v="1"/>
    <e v="#NAME?"/>
  </r>
  <r>
    <s v="TX500023"/>
    <s v="Workout Tops"/>
    <n v="19"/>
    <n v="79.900000000000006"/>
    <n v="1518.1000000000001"/>
    <d v="2025-01-01T00:00:00"/>
    <d v="2025-01-02T00:00:00"/>
    <s v="M"/>
    <s v="App"/>
    <n v="5"/>
    <s v="California"/>
    <s v="San Diego County"/>
    <x v="3"/>
    <n v="1"/>
    <e v="#NAME?"/>
  </r>
  <r>
    <s v="TX500024"/>
    <s v="Maxi Dresses"/>
    <n v="8"/>
    <n v="26.4"/>
    <n v="211.2"/>
    <d v="2025-01-01T00:00:00"/>
    <d v="2025-01-02T00:00:00"/>
    <s v="F"/>
    <s v="Instagram"/>
    <n v="4"/>
    <s v="California"/>
    <s v="San Diego County"/>
    <x v="3"/>
    <n v="1"/>
    <e v="#NAME?"/>
  </r>
  <r>
    <s v="TX500025"/>
    <s v="Casual Dresses"/>
    <n v="8"/>
    <n v="88.8"/>
    <n v="710.4"/>
    <d v="2025-01-01T00:00:00"/>
    <d v="2025-01-02T00:00:00"/>
    <s v="F"/>
    <s v="Partner App"/>
    <n v="4"/>
    <s v="California"/>
    <s v="San Diego County"/>
    <x v="3"/>
    <n v="1"/>
    <e v="#NAME?"/>
  </r>
  <r>
    <s v="TX500026"/>
    <s v="Shorts"/>
    <n v="10"/>
    <n v="17.5"/>
    <n v="175"/>
    <d v="2025-01-01T00:00:00"/>
    <d v="2025-01-02T00:00:00"/>
    <s v="F"/>
    <s v="Target.com"/>
    <n v="4"/>
    <s v="California"/>
    <s v="San Mateo County"/>
    <x v="3"/>
    <n v="1"/>
    <e v="#NAME?"/>
  </r>
  <r>
    <s v="TX500027"/>
    <s v="Tank Tops"/>
    <n v="9"/>
    <n v="38.700000000000003"/>
    <n v="348.3"/>
    <d v="2025-01-01T00:00:00"/>
    <d v="2025-01-04T00:00:00"/>
    <s v="M"/>
    <s v="Website"/>
    <n v="4"/>
    <s v="California"/>
    <s v="Santa Barbara County"/>
    <x v="2"/>
    <n v="1"/>
    <e v="#NAME?"/>
  </r>
  <r>
    <s v="TX500028"/>
    <s v="Tote Bags"/>
    <n v="4"/>
    <n v="57.2"/>
    <n v="228.8"/>
    <d v="2025-01-01T00:00:00"/>
    <d v="2025-01-03T00:00:00"/>
    <s v=""/>
    <s v="Website"/>
    <n v="5"/>
    <s v="California"/>
    <s v="Santa Clara County"/>
    <x v="1"/>
    <n v="1"/>
    <e v="#NAME?"/>
  </r>
  <r>
    <s v="TX500029"/>
    <s v="Jeans"/>
    <n v="5"/>
    <n v="50.9"/>
    <n v="254.5"/>
    <d v="2025-01-01T00:00:00"/>
    <d v="2025-01-07T00:00:00"/>
    <s v=""/>
    <s v="Website"/>
    <n v="5"/>
    <s v="California"/>
    <s v="Tehama County"/>
    <x v="4"/>
    <n v="1"/>
    <e v="#NAME?"/>
  </r>
  <r>
    <s v="TX500030"/>
    <s v="Baseball Caps"/>
    <n v="7"/>
    <n v="41"/>
    <n v="287"/>
    <d v="2025-01-01T00:00:00"/>
    <d v="2025-01-05T00:00:00"/>
    <s v="F"/>
    <s v="Website"/>
    <n v="4"/>
    <s v="California"/>
    <s v="Ventura County"/>
    <x v="5"/>
    <n v="1"/>
    <e v="#NAME?"/>
  </r>
  <r>
    <s v="TX500031"/>
    <s v="T-Shirts"/>
    <n v="7"/>
    <n v="19.100000000000001"/>
    <n v="133.70000000000002"/>
    <d v="2025-01-01T00:00:00"/>
    <d v="2025-01-05T00:00:00"/>
    <s v="M"/>
    <s v="App"/>
    <n v="5"/>
    <s v="California"/>
    <s v="Calaveras County"/>
    <x v="5"/>
    <n v="1"/>
    <e v="#NAME?"/>
  </r>
  <r>
    <s v="TX500032"/>
    <s v="Sneakers"/>
    <n v="5"/>
    <n v="166.1"/>
    <n v="830.5"/>
    <d v="2025-01-01T00:00:00"/>
    <d v="2025-01-04T00:00:00"/>
    <s v="M"/>
    <s v="App"/>
    <n v="4"/>
    <s v="California"/>
    <s v="Inyo County"/>
    <x v="2"/>
    <n v="1"/>
    <e v="#NAME?"/>
  </r>
  <r>
    <s v="TX500033"/>
    <s v="Graphic Tees"/>
    <n v="3"/>
    <n v="29.9"/>
    <n v="89.699999999999989"/>
    <d v="2025-01-01T00:00:00"/>
    <d v="2025-01-02T00:00:00"/>
    <s v="M"/>
    <s v="Instagram"/>
    <n v="4"/>
    <s v="California"/>
    <s v="Los Angeles County"/>
    <x v="3"/>
    <n v="1"/>
    <e v="#NAME?"/>
  </r>
  <r>
    <s v="TX500034"/>
    <s v="Bikinis"/>
    <n v="6"/>
    <n v="21.7"/>
    <n v="130.19999999999999"/>
    <d v="2025-01-01T00:00:00"/>
    <d v="2025-01-03T00:00:00"/>
    <s v="O"/>
    <s v="Target.com"/>
    <n v="5"/>
    <s v="California"/>
    <s v="Los Angeles County"/>
    <x v="1"/>
    <n v="1"/>
    <e v="#NAME?"/>
  </r>
  <r>
    <s v="TX500035"/>
    <s v="Maxi Dresses"/>
    <n v="2"/>
    <n v="32"/>
    <n v="64"/>
    <d v="2025-01-01T00:00:00"/>
    <d v="2025-01-04T00:00:00"/>
    <s v="M"/>
    <s v="App"/>
    <n v="5"/>
    <s v="California"/>
    <s v="Los Angeles County"/>
    <x v="2"/>
    <n v="1"/>
    <e v="#NAME?"/>
  </r>
  <r>
    <s v="TX500036"/>
    <s v="T-Shirts"/>
    <n v="2"/>
    <n v="15.8"/>
    <n v="31.6"/>
    <d v="2025-01-01T00:00:00"/>
    <d v="2025-01-02T00:00:00"/>
    <s v="M"/>
    <s v="Partner App"/>
    <n v="5"/>
    <s v="California"/>
    <s v="Los Angeles County"/>
    <x v="3"/>
    <n v="1"/>
    <e v="#NAME?"/>
  </r>
  <r>
    <s v="TX500037"/>
    <s v="Sneakers"/>
    <n v="17"/>
    <n v="203.1"/>
    <n v="3452.7"/>
    <d v="2025-01-01T00:00:00"/>
    <d v="2025-01-05T00:00:00"/>
    <s v="M"/>
    <s v="Instagram"/>
    <n v="3"/>
    <s v="California"/>
    <s v="Los Angeles County"/>
    <x v="5"/>
    <n v="1"/>
    <e v="#NAME?"/>
  </r>
  <r>
    <s v="TX500038"/>
    <s v="Hoodies &amp; Sweatshirts"/>
    <n v="13"/>
    <n v="39"/>
    <n v="507"/>
    <d v="2025-01-01T00:00:00"/>
    <d v="2025-01-07T00:00:00"/>
    <s v="M"/>
    <s v="App"/>
    <n v="5"/>
    <s v="California"/>
    <s v="Los Angeles County"/>
    <x v="4"/>
    <n v="1"/>
    <e v="#NAME?"/>
  </r>
  <r>
    <s v="TX500039"/>
    <s v="Bikinis"/>
    <n v="1"/>
    <n v="26.5"/>
    <n v="26.5"/>
    <d v="2025-01-02T00:00:00"/>
    <d v="2025-01-03T00:00:00"/>
    <s v="M"/>
    <s v="Target.com"/>
    <n v="4"/>
    <s v="California"/>
    <s v="Los Angeles County"/>
    <x v="3"/>
    <n v="1"/>
    <e v="#NAME?"/>
  </r>
  <r>
    <s v="TX500040"/>
    <s v="Sandals"/>
    <n v="1"/>
    <n v="43.1"/>
    <n v="43.1"/>
    <d v="2025-01-02T00:00:00"/>
    <d v="2025-01-03T00:00:00"/>
    <s v="F"/>
    <s v="Target.com"/>
    <n v="3"/>
    <s v="California"/>
    <s v="Los Angeles County"/>
    <x v="3"/>
    <n v="1"/>
    <e v="#NAME?"/>
  </r>
  <r>
    <s v="TX500041"/>
    <s v="Tank Tops"/>
    <n v="3"/>
    <n v="139"/>
    <n v="417"/>
    <d v="2025-01-02T00:00:00"/>
    <d v="2025-01-03T00:00:00"/>
    <s v="F"/>
    <s v="Partner App"/>
    <n v="5"/>
    <s v="California"/>
    <s v="Los Angeles County"/>
    <x v="3"/>
    <n v="1"/>
    <e v="#NAME?"/>
  </r>
  <r>
    <s v="TX500042"/>
    <s v="Casual Dresses"/>
    <n v="1"/>
    <n v="80.7"/>
    <n v="80.7"/>
    <d v="2025-01-02T00:00:00"/>
    <d v="2025-01-03T00:00:00"/>
    <s v="M"/>
    <s v="App"/>
    <n v="5"/>
    <s v="California"/>
    <s v="Napa County"/>
    <x v="3"/>
    <n v="1"/>
    <e v="#NAME?"/>
  </r>
  <r>
    <s v="TX500043"/>
    <s v="Graphic Tees"/>
    <n v="2"/>
    <n v="54.5"/>
    <n v="109"/>
    <d v="2025-01-02T00:00:00"/>
    <d v="2025-01-04T00:00:00"/>
    <s v="M"/>
    <s v="Website"/>
    <n v="3"/>
    <s v="California"/>
    <s v="Sacramento County"/>
    <x v="1"/>
    <n v="1"/>
    <e v="#NAME?"/>
  </r>
  <r>
    <s v="TX500044"/>
    <s v="Jeans"/>
    <n v="3"/>
    <n v="68.599999999999994"/>
    <n v="205.79999999999998"/>
    <d v="2025-01-02T00:00:00"/>
    <d v="2025-01-02T00:00:00"/>
    <s v="F"/>
    <s v="App"/>
    <n v="3"/>
    <s v="California"/>
    <s v="San Diego County"/>
    <x v="7"/>
    <n v="1"/>
    <e v="#NAME?"/>
  </r>
  <r>
    <s v="TX500045"/>
    <s v="Sneakers"/>
    <n v="4"/>
    <n v="135.9"/>
    <n v="543.6"/>
    <d v="2025-01-02T00:00:00"/>
    <d v="2025-01-03T00:00:00"/>
    <s v="F"/>
    <s v="Target.com"/>
    <n v="5"/>
    <s v="California"/>
    <s v="San Diego County"/>
    <x v="3"/>
    <n v="1"/>
    <e v="#NAME?"/>
  </r>
  <r>
    <s v="TX500046"/>
    <s v="Sneakers"/>
    <n v="4"/>
    <n v="70.900000000000006"/>
    <n v="283.60000000000002"/>
    <d v="2025-01-02T00:00:00"/>
    <d v="2025-01-03T00:00:00"/>
    <s v="F"/>
    <s v="App"/>
    <n v="4"/>
    <s v="California"/>
    <s v="San Francisco"/>
    <x v="3"/>
    <n v="1"/>
    <e v="#NAME?"/>
  </r>
  <r>
    <s v="TX500047"/>
    <s v="Tank Tops"/>
    <n v="5"/>
    <n v="63.7"/>
    <n v="318.5"/>
    <d v="2025-01-02T00:00:00"/>
    <d v="2025-01-03T00:00:00"/>
    <s v="M"/>
    <s v="Website"/>
    <n v="3"/>
    <s v="California"/>
    <s v="San Mateo County"/>
    <x v="3"/>
    <n v="1"/>
    <e v="#NAME?"/>
  </r>
  <r>
    <s v="TX500048"/>
    <s v="Tote Bags"/>
    <n v="1"/>
    <n v="29.7"/>
    <n v="29.7"/>
    <d v="2025-01-02T00:00:00"/>
    <d v="2025-01-04T00:00:00"/>
    <s v="F"/>
    <s v="Website"/>
    <n v="4"/>
    <s v="California"/>
    <s v="Santa Clara County"/>
    <x v="1"/>
    <n v="1"/>
    <e v="#NAME?"/>
  </r>
  <r>
    <s v="TX500049"/>
    <s v="Graphic Tees"/>
    <n v="3"/>
    <n v="26.8"/>
    <n v="80.400000000000006"/>
    <d v="2025-01-02T00:00:00"/>
    <d v="2025-01-11T00:00:00"/>
    <s v="F"/>
    <s v="Website"/>
    <n v="5"/>
    <s v="California"/>
    <s v="Santa Clara County"/>
    <x v="8"/>
    <n v="1"/>
    <e v="#NAME?"/>
  </r>
  <r>
    <s v="TX500050"/>
    <s v="Baseball Caps"/>
    <n v="1"/>
    <n v="27"/>
    <n v="27"/>
    <d v="2025-01-02T00:00:00"/>
    <d v="2025-01-04T00:00:00"/>
    <s v="F"/>
    <s v="App"/>
    <n v="4"/>
    <s v="California"/>
    <s v="Sonoma County"/>
    <x v="1"/>
    <n v="1"/>
    <e v="#NAME?"/>
  </r>
  <r>
    <s v="TX500051"/>
    <s v="T-Shirts"/>
    <n v="1"/>
    <n v="41.4"/>
    <n v="41.4"/>
    <d v="2025-01-02T00:00:00"/>
    <d v="2025-01-03T00:00:00"/>
    <s v="M"/>
    <s v="Website"/>
    <n v="5"/>
    <s v="California"/>
    <s v="Stanislaus County"/>
    <x v="3"/>
    <n v="1"/>
    <e v="#NAME?"/>
  </r>
  <r>
    <s v="TX500052"/>
    <s v="T-Shirts"/>
    <n v="2"/>
    <n v="24.3"/>
    <n v="48.6"/>
    <d v="2025-01-02T00:00:00"/>
    <d v="2025-01-05T00:00:00"/>
    <s v="F"/>
    <s v="Website"/>
    <n v="4"/>
    <s v="California"/>
    <s v="Stanislaus County"/>
    <x v="2"/>
    <n v="1"/>
    <e v="#NAME?"/>
  </r>
  <r>
    <s v="TX500053"/>
    <s v="T-Shirts"/>
    <n v="3"/>
    <n v="41.7"/>
    <n v="125.10000000000001"/>
    <d v="2025-01-02T00:00:00"/>
    <d v="2025-01-04T00:00:00"/>
    <s v="M"/>
    <s v="App"/>
    <n v="5"/>
    <s v="California"/>
    <s v="Tulare County"/>
    <x v="1"/>
    <n v="1"/>
    <e v="#NAME?"/>
  </r>
  <r>
    <s v="TX500054"/>
    <s v="Shorts"/>
    <n v="2"/>
    <n v="18"/>
    <n v="36"/>
    <d v="2025-01-02T00:00:00"/>
    <d v="2025-01-03T00:00:00"/>
    <s v="F"/>
    <s v="App"/>
    <n v="5"/>
    <s v="California"/>
    <s v="Alameda County"/>
    <x v="3"/>
    <n v="1"/>
    <e v="#NAME?"/>
  </r>
  <r>
    <s v="TX500055"/>
    <s v="Hoodies &amp; Sweatshirts"/>
    <n v="3"/>
    <n v="91.3"/>
    <n v="273.89999999999998"/>
    <d v="2025-01-02T00:00:00"/>
    <d v="2025-01-05T00:00:00"/>
    <s v="M"/>
    <s v="Target.com"/>
    <n v="5"/>
    <s v="California"/>
    <s v="Los Angeles County"/>
    <x v="2"/>
    <n v="1"/>
    <e v="#NAME?"/>
  </r>
  <r>
    <s v="TX500056"/>
    <s v="T-Shirts"/>
    <n v="8"/>
    <n v="19.3"/>
    <n v="154.4"/>
    <d v="2025-01-02T00:00:00"/>
    <d v="2025-01-03T00:00:00"/>
    <s v="M"/>
    <s v="App"/>
    <n v="4"/>
    <s v="California"/>
    <s v="Los Angeles County"/>
    <x v="3"/>
    <n v="1"/>
    <e v="#NAME?"/>
  </r>
  <r>
    <s v="TX500057"/>
    <s v="Casual Dresses"/>
    <n v="13"/>
    <n v="63.2"/>
    <n v="821.6"/>
    <d v="2025-01-02T00:00:00"/>
    <d v="2025-01-03T00:00:00"/>
    <s v="F"/>
    <s v="App"/>
    <n v="4"/>
    <s v="California"/>
    <s v="Los Angeles County"/>
    <x v="3"/>
    <n v="1"/>
    <e v="#NAME?"/>
  </r>
  <r>
    <s v="TX500058"/>
    <s v="Bikinis"/>
    <n v="9"/>
    <n v="33.299999999999997"/>
    <n v="299.7"/>
    <d v="2025-01-03T00:00:00"/>
    <d v="2025-01-11T00:00:00"/>
    <s v="F"/>
    <s v="App"/>
    <n v="5"/>
    <s v="California"/>
    <s v="Los Angeles County"/>
    <x v="9"/>
    <n v="1"/>
    <e v="#NAME?"/>
  </r>
  <r>
    <s v="TX500059"/>
    <s v="Hoodies &amp; Sweatshirts"/>
    <n v="2"/>
    <n v="64.2"/>
    <n v="128.4"/>
    <d v="2025-01-03T00:00:00"/>
    <d v="2025-01-04T00:00:00"/>
    <s v="M"/>
    <s v="App"/>
    <n v="5"/>
    <s v="California"/>
    <s v="Los Angeles County"/>
    <x v="3"/>
    <n v="1"/>
    <e v="#NAME?"/>
  </r>
  <r>
    <s v="TX500060"/>
    <s v="Sundresses"/>
    <n v="3"/>
    <n v="23.1"/>
    <n v="69.300000000000011"/>
    <d v="2025-01-03T00:00:00"/>
    <d v="2025-01-06T00:00:00"/>
    <s v="F"/>
    <s v="Website"/>
    <n v="5"/>
    <s v="California"/>
    <s v="Los Angeles County"/>
    <x v="2"/>
    <n v="1"/>
    <e v="#NAME?"/>
  </r>
  <r>
    <s v="TX500061"/>
    <s v="Crop Tops"/>
    <n v="2"/>
    <n v="71.099999999999994"/>
    <n v="142.19999999999999"/>
    <d v="2025-01-03T00:00:00"/>
    <d v="2025-01-05T00:00:00"/>
    <s v="F"/>
    <s v="Instagram"/>
    <n v="3"/>
    <s v="California"/>
    <s v="Los Angeles County"/>
    <x v="1"/>
    <n v="1"/>
    <e v="#NAME?"/>
  </r>
  <r>
    <s v="TX500062"/>
    <s v="Shorts"/>
    <n v="2"/>
    <n v="11.5"/>
    <n v="23"/>
    <d v="2025-01-03T00:00:00"/>
    <d v="2025-01-04T00:00:00"/>
    <s v="F"/>
    <s v="App"/>
    <n v="4"/>
    <s v="California"/>
    <s v="Los Angeles County"/>
    <x v="3"/>
    <n v="1"/>
    <e v="#NAME?"/>
  </r>
  <r>
    <s v="TX500063"/>
    <s v="Crop Tops"/>
    <n v="19"/>
    <n v="69.2"/>
    <n v="1314.8"/>
    <d v="2025-01-03T00:00:00"/>
    <d v="2025-01-08T00:00:00"/>
    <s v="F"/>
    <s v="App"/>
    <n v="4"/>
    <s v="California"/>
    <s v="Los Angeles County"/>
    <x v="0"/>
    <n v="1"/>
    <e v="#NAME?"/>
  </r>
  <r>
    <s v="TX500064"/>
    <s v="Shorts"/>
    <n v="1"/>
    <n v="26.8"/>
    <n v="26.8"/>
    <d v="2025-01-03T00:00:00"/>
    <d v="2025-01-04T00:00:00"/>
    <s v="M"/>
    <s v="Target.com"/>
    <n v="2"/>
    <s v="California"/>
    <s v="Los Angeles County"/>
    <x v="3"/>
    <n v="1"/>
    <e v="#NAME?"/>
  </r>
  <r>
    <s v="TX500065"/>
    <s v="Sunglasses"/>
    <n v="3"/>
    <n v="31.2"/>
    <n v="93.6"/>
    <d v="2025-01-03T00:00:00"/>
    <d v="2025-01-06T00:00:00"/>
    <s v="F"/>
    <s v="App"/>
    <n v="4"/>
    <s v="California"/>
    <s v="Los Angeles County"/>
    <x v="2"/>
    <n v="1"/>
    <e v="#NAME?"/>
  </r>
  <r>
    <s v="TX500066"/>
    <s v="Casual Dresses"/>
    <n v="2"/>
    <n v="113.2"/>
    <n v="226.4"/>
    <d v="2025-01-03T00:00:00"/>
    <d v="2025-01-04T00:00:00"/>
    <s v="F"/>
    <s v="Partner App"/>
    <n v="4"/>
    <s v="California"/>
    <s v="Los Angeles County"/>
    <x v="3"/>
    <n v="1"/>
    <e v="#NAME?"/>
  </r>
  <r>
    <s v="TX500067"/>
    <s v="Bikinis"/>
    <n v="8"/>
    <n v="21"/>
    <n v="168"/>
    <d v="2025-01-03T00:00:00"/>
    <d v="2025-01-04T00:00:00"/>
    <s v="M"/>
    <s v="App"/>
    <n v="4"/>
    <s v="California"/>
    <s v="Sacramento County"/>
    <x v="3"/>
    <n v="1"/>
    <e v="#NAME?"/>
  </r>
  <r>
    <s v="TX500068"/>
    <s v="Tank Tops"/>
    <n v="2"/>
    <n v="89.1"/>
    <n v="178.2"/>
    <d v="2025-01-03T00:00:00"/>
    <d v="2025-01-04T00:00:00"/>
    <s v="F"/>
    <s v="Target.com"/>
    <n v="5"/>
    <s v="California"/>
    <s v="Sacramento County"/>
    <x v="3"/>
    <n v="1"/>
    <e v="#NAME?"/>
  </r>
  <r>
    <s v="TX500069"/>
    <s v="Tank Tops"/>
    <n v="1"/>
    <n v="97.7"/>
    <n v="97.7"/>
    <d v="2025-01-03T00:00:00"/>
    <d v="2025-01-05T00:00:00"/>
    <s v="F"/>
    <s v="App"/>
    <n v="3"/>
    <s v="California"/>
    <s v="Sacramento County"/>
    <x v="1"/>
    <n v="1"/>
    <e v="#NAME?"/>
  </r>
  <r>
    <s v="TX500070"/>
    <s v="Crop Tops"/>
    <n v="4"/>
    <n v="97.7"/>
    <n v="390.8"/>
    <d v="2025-01-03T00:00:00"/>
    <d v="2025-01-05T00:00:00"/>
    <s v="M"/>
    <s v="Instagram"/>
    <n v="4"/>
    <s v="California"/>
    <s v="Sacramento County"/>
    <x v="1"/>
    <n v="1"/>
    <e v="#NAME?"/>
  </r>
  <r>
    <s v="TX500071"/>
    <s v="Pajama Sets"/>
    <n v="3"/>
    <n v="47.4"/>
    <n v="142.19999999999999"/>
    <d v="2025-01-03T00:00:00"/>
    <d v="2025-01-06T00:00:00"/>
    <s v="M"/>
    <s v="Instagram"/>
    <n v="5"/>
    <s v="California"/>
    <s v="San Diego County"/>
    <x v="2"/>
    <n v="1"/>
    <e v="#NAME?"/>
  </r>
  <r>
    <s v="TX500072"/>
    <s v="Hoodies &amp; Sweatshirts"/>
    <n v="1"/>
    <n v="89.6"/>
    <n v="89.6"/>
    <d v="2025-01-03T00:00:00"/>
    <d v="2025-01-06T00:00:00"/>
    <s v="F"/>
    <s v="App"/>
    <n v="5"/>
    <s v="California"/>
    <s v="San Diego County"/>
    <x v="2"/>
    <n v="1"/>
    <e v="#NAME?"/>
  </r>
  <r>
    <s v="TX500073"/>
    <s v="Bikinis"/>
    <n v="18"/>
    <n v="28.4"/>
    <n v="511.2"/>
    <d v="2025-01-03T00:00:00"/>
    <d v="2025-01-06T00:00:00"/>
    <s v="F"/>
    <s v="Instagram"/>
    <n v="5"/>
    <s v="California"/>
    <s v="San Francisco"/>
    <x v="2"/>
    <n v="1"/>
    <e v="#NAME?"/>
  </r>
  <r>
    <s v="TX500074"/>
    <s v="Shorts"/>
    <n v="2"/>
    <n v="17.899999999999999"/>
    <n v="35.799999999999997"/>
    <d v="2025-01-03T00:00:00"/>
    <d v="2025-01-04T00:00:00"/>
    <s v="F"/>
    <s v="App"/>
    <n v="5"/>
    <s v="California"/>
    <s v="San Mateo County"/>
    <x v="3"/>
    <n v="1"/>
    <e v="#NAME?"/>
  </r>
  <r>
    <s v="TX500075"/>
    <s v="Sundresses"/>
    <n v="2"/>
    <n v="48.4"/>
    <n v="96.8"/>
    <d v="2025-01-03T00:00:00"/>
    <d v="2025-01-06T00:00:00"/>
    <s v="M"/>
    <s v="Website"/>
    <n v="4"/>
    <s v="California"/>
    <s v="San Mateo County"/>
    <x v="2"/>
    <n v="1"/>
    <e v="#NAME?"/>
  </r>
  <r>
    <s v="TX500076"/>
    <s v="Casual Dresses"/>
    <n v="4"/>
    <n v="44.4"/>
    <n v="177.6"/>
    <d v="2025-01-03T00:00:00"/>
    <d v="2025-01-04T00:00:00"/>
    <s v="O"/>
    <s v="Website"/>
    <n v="3"/>
    <s v="California"/>
    <s v="Santa Clara County"/>
    <x v="3"/>
    <n v="1"/>
    <e v="#NAME?"/>
  </r>
  <r>
    <s v="TX500077"/>
    <s v="Sneakers"/>
    <n v="8"/>
    <n v="103.7"/>
    <n v="829.6"/>
    <d v="2025-01-03T00:00:00"/>
    <d v="2025-01-04T00:00:00"/>
    <s v="F"/>
    <s v="App"/>
    <n v="3"/>
    <s v="California"/>
    <s v="Stanislaus County"/>
    <x v="3"/>
    <n v="1"/>
    <e v="#NAME?"/>
  </r>
  <r>
    <s v="TX500078"/>
    <s v="Sandals"/>
    <n v="4"/>
    <n v="58.6"/>
    <n v="234.4"/>
    <d v="2025-01-03T00:00:00"/>
    <d v="2025-01-05T00:00:00"/>
    <s v="M"/>
    <s v="Instagram"/>
    <n v="4"/>
    <s v="California"/>
    <s v="Stanislaus County"/>
    <x v="1"/>
    <n v="1"/>
    <e v="#NAME?"/>
  </r>
  <r>
    <s v="TX500079"/>
    <s v="Sundresses"/>
    <n v="4"/>
    <n v="54.8"/>
    <n v="219.2"/>
    <d v="2025-01-03T00:00:00"/>
    <d v="2025-01-07T00:00:00"/>
    <s v="F"/>
    <s v="Target.com"/>
    <n v="3"/>
    <s v="California"/>
    <s v="Ventura County"/>
    <x v="5"/>
    <n v="1"/>
    <e v="#NAME?"/>
  </r>
  <r>
    <s v="TX500080"/>
    <s v="Casual Dresses"/>
    <n v="3"/>
    <n v="78.8"/>
    <n v="236.39999999999998"/>
    <d v="2025-01-03T00:00:00"/>
    <d v="2025-01-09T00:00:00"/>
    <s v="F"/>
    <s v="Partner App"/>
    <n v="3"/>
    <s v="California"/>
    <s v="Alameda County"/>
    <x v="4"/>
    <n v="1"/>
    <e v="#NAME?"/>
  </r>
  <r>
    <s v="TX500081"/>
    <s v="Leggings"/>
    <n v="5"/>
    <n v="36.799999999999997"/>
    <n v="184"/>
    <d v="2025-01-03T00:00:00"/>
    <d v="2025-01-06T00:00:00"/>
    <s v="M"/>
    <s v="Partner App"/>
    <n v="3"/>
    <s v="California"/>
    <s v="Kern County"/>
    <x v="2"/>
    <n v="1"/>
    <e v="#NAME?"/>
  </r>
  <r>
    <s v="TX500082"/>
    <s v="Jeans"/>
    <n v="6"/>
    <n v="50.6"/>
    <n v="303.60000000000002"/>
    <d v="2025-01-03T00:00:00"/>
    <d v="2025-01-05T00:00:00"/>
    <s v="F"/>
    <s v="Instagram"/>
    <n v="4"/>
    <s v="California"/>
    <s v="Los Angeles County"/>
    <x v="1"/>
    <n v="1"/>
    <e v="#NAME?"/>
  </r>
  <r>
    <s v="TX500083"/>
    <s v="Crop Tops"/>
    <n v="3"/>
    <n v="36.799999999999997"/>
    <n v="110.39999999999999"/>
    <d v="2025-01-03T00:00:00"/>
    <d v="2025-01-03T00:00:00"/>
    <s v="M"/>
    <s v="Target.com"/>
    <n v="3"/>
    <s v="California"/>
    <s v="Los Angeles County"/>
    <x v="7"/>
    <n v="1"/>
    <e v="#NAME?"/>
  </r>
  <r>
    <s v="TX500084"/>
    <s v="T-Shirts"/>
    <n v="9"/>
    <n v="41.8"/>
    <n v="376.2"/>
    <d v="2025-01-04T00:00:00"/>
    <d v="2025-01-10T00:00:00"/>
    <s v="F"/>
    <s v="Instagram"/>
    <n v="4"/>
    <s v="California"/>
    <s v="Los Angeles County"/>
    <x v="4"/>
    <n v="1"/>
    <e v="#NAME?"/>
  </r>
  <r>
    <s v="TX500085"/>
    <s v="Leggings"/>
    <n v="1"/>
    <n v="77.3"/>
    <n v="77.3"/>
    <d v="2025-01-04T00:00:00"/>
    <d v="2025-01-05T00:00:00"/>
    <s v="M"/>
    <s v="Partner App"/>
    <n v="2"/>
    <s v="California"/>
    <s v="Los Angeles County"/>
    <x v="3"/>
    <n v="1"/>
    <e v="#NAME?"/>
  </r>
  <r>
    <s v="TX500086"/>
    <s v="T-Shirts"/>
    <n v="4"/>
    <n v="19.8"/>
    <n v="79.2"/>
    <d v="2025-01-04T00:00:00"/>
    <d v="2025-01-10T00:00:00"/>
    <s v="M"/>
    <s v="Website"/>
    <n v="5"/>
    <s v="California"/>
    <s v="Los Angeles County"/>
    <x v="4"/>
    <n v="1"/>
    <e v="#NAME?"/>
  </r>
  <r>
    <s v="TX500087"/>
    <s v="Tote Bags"/>
    <n v="4"/>
    <n v="15.5"/>
    <n v="62"/>
    <d v="2025-01-04T00:00:00"/>
    <d v="2025-01-05T00:00:00"/>
    <s v="F"/>
    <s v="Website"/>
    <n v="5"/>
    <s v="California"/>
    <s v="Los Angeles County"/>
    <x v="3"/>
    <n v="1"/>
    <e v="#NAME?"/>
  </r>
  <r>
    <s v="TX500088"/>
    <s v="Casual Dresses"/>
    <n v="1"/>
    <n v="46.8"/>
    <n v="46.8"/>
    <d v="2025-01-04T00:00:00"/>
    <d v="2025-01-08T00:00:00"/>
    <s v="M"/>
    <s v="App"/>
    <n v="5"/>
    <s v="California"/>
    <s v="Los Angeles County"/>
    <x v="5"/>
    <n v="1"/>
    <e v="#NAME?"/>
  </r>
  <r>
    <s v="TX500089"/>
    <s v="Sundresses"/>
    <n v="9"/>
    <n v="28.6"/>
    <n v="257.40000000000003"/>
    <d v="2025-01-04T00:00:00"/>
    <d v="2025-01-08T00:00:00"/>
    <s v="M"/>
    <s v="App"/>
    <n v="5"/>
    <s v="California"/>
    <s v="Los Angeles County"/>
    <x v="5"/>
    <n v="1"/>
    <e v="#NAME?"/>
  </r>
  <r>
    <s v="TX500090"/>
    <s v="Sneakers"/>
    <n v="1"/>
    <n v="97.7"/>
    <n v="97.7"/>
    <d v="2025-01-04T00:00:00"/>
    <d v="2025-01-07T00:00:00"/>
    <s v="F"/>
    <s v="Website"/>
    <n v="4"/>
    <s v="California"/>
    <s v="Los Angeles County"/>
    <x v="2"/>
    <n v="1"/>
    <e v="#NAME?"/>
  </r>
  <r>
    <s v="TX500091"/>
    <s v="Sundresses"/>
    <n v="5"/>
    <n v="54.7"/>
    <n v="273.5"/>
    <d v="2025-01-04T00:00:00"/>
    <d v="2025-01-07T00:00:00"/>
    <s v=""/>
    <s v="App"/>
    <n v="5"/>
    <s v="California"/>
    <s v="Riverside County"/>
    <x v="2"/>
    <n v="1"/>
    <e v="#NAME?"/>
  </r>
  <r>
    <s v="TX500092"/>
    <s v="Sneakers"/>
    <n v="6"/>
    <n v="130.5"/>
    <n v="783"/>
    <d v="2025-01-04T00:00:00"/>
    <d v="2025-01-06T00:00:00"/>
    <s v="F"/>
    <s v="App"/>
    <n v="3"/>
    <s v="California"/>
    <s v="Riverside County"/>
    <x v="1"/>
    <n v="1"/>
    <e v="#NAME?"/>
  </r>
  <r>
    <s v="TX500093"/>
    <s v="Maxi Dresses"/>
    <n v="2"/>
    <n v="50.4"/>
    <n v="100.8"/>
    <d v="2025-01-04T00:00:00"/>
    <d v="2025-01-06T00:00:00"/>
    <s v="M"/>
    <s v="Target.com"/>
    <n v="5"/>
    <s v="California"/>
    <s v="Sacramento County"/>
    <x v="1"/>
    <n v="1"/>
    <e v="#NAME?"/>
  </r>
  <r>
    <s v="TX500094"/>
    <s v="Jeans"/>
    <n v="13"/>
    <n v="61.5"/>
    <n v="799.5"/>
    <d v="2025-01-04T00:00:00"/>
    <d v="2025-01-05T00:00:00"/>
    <s v=""/>
    <s v="Instagram"/>
    <n v="3"/>
    <s v="California"/>
    <s v="Santa Clara County"/>
    <x v="3"/>
    <n v="1"/>
    <e v="#NAME?"/>
  </r>
  <r>
    <s v="TX500095"/>
    <s v="Sundresses"/>
    <n v="4"/>
    <n v="30.1"/>
    <n v="120.4"/>
    <d v="2025-01-04T00:00:00"/>
    <d v="2025-01-05T00:00:00"/>
    <s v="F"/>
    <s v="App"/>
    <n v="5"/>
    <s v="California"/>
    <s v="Alameda County"/>
    <x v="3"/>
    <n v="1"/>
    <e v="#NAME?"/>
  </r>
  <r>
    <s v="TX500096"/>
    <s v="Sneakers"/>
    <n v="5"/>
    <n v="74.8"/>
    <n v="374"/>
    <d v="2025-01-04T00:00:00"/>
    <d v="2025-01-05T00:00:00"/>
    <s v="F"/>
    <s v="Website"/>
    <n v="4"/>
    <s v="California"/>
    <s v="Contra Costa County"/>
    <x v="3"/>
    <n v="1"/>
    <e v="#NAME?"/>
  </r>
  <r>
    <s v="TX500097"/>
    <s v="Sunglasses"/>
    <n v="3"/>
    <n v="64.900000000000006"/>
    <n v="194.70000000000002"/>
    <d v="2025-01-04T00:00:00"/>
    <d v="2025-01-11T00:00:00"/>
    <s v="M"/>
    <s v="App"/>
    <n v="4"/>
    <s v="California"/>
    <s v="Fresno County"/>
    <x v="6"/>
    <n v="1"/>
    <e v="#NAME?"/>
  </r>
  <r>
    <s v="TX500098"/>
    <s v="Sundresses"/>
    <n v="2"/>
    <n v="50.5"/>
    <n v="101"/>
    <d v="2025-01-04T00:00:00"/>
    <d v="2025-01-06T00:00:00"/>
    <s v="M"/>
    <s v="Website"/>
    <n v="4"/>
    <s v="California"/>
    <s v="Kern County"/>
    <x v="1"/>
    <n v="1"/>
    <e v="#NAME?"/>
  </r>
  <r>
    <s v="TX500099"/>
    <s v="Maxi Dresses"/>
    <n v="7"/>
    <n v="63"/>
    <n v="441"/>
    <d v="2025-01-04T00:00:00"/>
    <d v="2025-01-07T00:00:00"/>
    <s v="M"/>
    <s v="Instagram"/>
    <n v="5"/>
    <s v="California"/>
    <s v="Los Angeles County"/>
    <x v="2"/>
    <n v="1"/>
    <e v="#NAME?"/>
  </r>
  <r>
    <s v="TX500100"/>
    <s v="Sneakers"/>
    <n v="3"/>
    <n v="93.6"/>
    <n v="280.79999999999995"/>
    <d v="2025-01-04T00:00:00"/>
    <d v="2025-01-17T00:00:00"/>
    <s v="F"/>
    <s v="App"/>
    <n v="5"/>
    <s v="California"/>
    <s v="Los Angeles County"/>
    <x v="10"/>
    <n v="1"/>
    <e v="#NAME?"/>
  </r>
  <r>
    <s v="TX500101"/>
    <s v="Sandals"/>
    <n v="30"/>
    <n v="41.4"/>
    <n v="1242"/>
    <d v="2025-01-04T00:00:00"/>
    <d v="2025-01-08T00:00:00"/>
    <s v="M"/>
    <s v="Target.com"/>
    <n v="5"/>
    <s v="California"/>
    <s v="Los Angeles County"/>
    <x v="5"/>
    <n v="1"/>
    <e v="#NAME?"/>
  </r>
  <r>
    <s v="TX500102"/>
    <s v="Sneakers"/>
    <n v="2"/>
    <n v="160"/>
    <n v="320"/>
    <d v="2025-01-05T00:00:00"/>
    <d v="2025-01-06T00:00:00"/>
    <s v="M"/>
    <s v="Target.com"/>
    <n v="5"/>
    <s v="California"/>
    <s v="Placer County"/>
    <x v="3"/>
    <n v="2"/>
    <e v="#NAME?"/>
  </r>
  <r>
    <s v="TX500103"/>
    <s v="Jewelry"/>
    <n v="11"/>
    <n v="10.5"/>
    <n v="115.5"/>
    <d v="2025-01-05T00:00:00"/>
    <d v="2025-01-08T00:00:00"/>
    <s v="F"/>
    <s v="Partner App"/>
    <n v="4"/>
    <s v="California"/>
    <s v="San Diego County"/>
    <x v="2"/>
    <n v="2"/>
    <e v="#NAME?"/>
  </r>
  <r>
    <s v="TX500104"/>
    <s v="Bikinis"/>
    <n v="2"/>
    <n v="53"/>
    <n v="106"/>
    <d v="2025-01-05T00:00:00"/>
    <d v="2025-01-05T00:00:00"/>
    <s v="M"/>
    <s v="Target.com"/>
    <n v="2"/>
    <s v="California"/>
    <s v="San Francisco"/>
    <x v="7"/>
    <n v="2"/>
    <e v="#NAME?"/>
  </r>
  <r>
    <s v="TX500105"/>
    <s v="T-Shirts"/>
    <n v="3"/>
    <n v="18.5"/>
    <n v="55.5"/>
    <d v="2025-01-05T00:00:00"/>
    <d v="2025-01-10T00:00:00"/>
    <s v="F"/>
    <s v="Website"/>
    <n v="5"/>
    <s v="California"/>
    <s v="Santa Clara County"/>
    <x v="0"/>
    <n v="2"/>
    <e v="#NAME?"/>
  </r>
  <r>
    <s v="TX500106"/>
    <s v="Sunglasses"/>
    <n v="3"/>
    <n v="84.5"/>
    <n v="253.5"/>
    <d v="2025-01-05T00:00:00"/>
    <d v="2025-01-07T00:00:00"/>
    <s v="F"/>
    <s v="Partner App"/>
    <n v="3"/>
    <s v="California"/>
    <s v="Ventura County"/>
    <x v="1"/>
    <n v="2"/>
    <e v="#NAME?"/>
  </r>
  <r>
    <s v="TX500107"/>
    <s v="Crop Tops"/>
    <n v="7"/>
    <n v="31.2"/>
    <n v="218.4"/>
    <d v="2025-01-05T00:00:00"/>
    <d v="2025-01-05T00:00:00"/>
    <s v="F"/>
    <s v="Target.com"/>
    <n v="5"/>
    <s v="California"/>
    <s v="Los Angeles County"/>
    <x v="7"/>
    <n v="2"/>
    <e v="#NAME?"/>
  </r>
  <r>
    <s v="TX500108"/>
    <s v="T-Shirts"/>
    <n v="18"/>
    <n v="32.6"/>
    <n v="586.80000000000007"/>
    <d v="2025-01-05T00:00:00"/>
    <d v="2025-01-06T00:00:00"/>
    <s v="M"/>
    <s v="Website"/>
    <n v="3"/>
    <s v="California"/>
    <s v="Los Angeles County"/>
    <x v="3"/>
    <n v="2"/>
    <e v="#NAME?"/>
  </r>
  <r>
    <s v="TX500109"/>
    <s v="Bikinis"/>
    <n v="4"/>
    <n v="45.4"/>
    <n v="181.6"/>
    <d v="2025-01-05T00:00:00"/>
    <d v="2025-01-07T00:00:00"/>
    <s v="M"/>
    <s v="Website"/>
    <n v="4"/>
    <s v="California"/>
    <s v="Los Angeles County"/>
    <x v="1"/>
    <n v="2"/>
    <e v="#NAME?"/>
  </r>
  <r>
    <s v="TX500110"/>
    <s v="Sneakers"/>
    <n v="12"/>
    <n v="120"/>
    <n v="1440"/>
    <d v="2025-01-05T00:00:00"/>
    <d v="2025-01-06T00:00:00"/>
    <s v="F"/>
    <s v="Target.com"/>
    <n v="2"/>
    <s v="California"/>
    <s v="Los Angeles County"/>
    <x v="3"/>
    <n v="2"/>
    <e v="#NAME?"/>
  </r>
  <r>
    <s v="TX500111"/>
    <s v="Shorts"/>
    <n v="4"/>
    <n v="18.899999999999999"/>
    <n v="75.599999999999994"/>
    <d v="2025-01-05T00:00:00"/>
    <d v="2025-01-07T00:00:00"/>
    <s v="M"/>
    <s v="App"/>
    <n v="5"/>
    <s v="California"/>
    <s v="Los Angeles County"/>
    <x v="1"/>
    <n v="2"/>
    <e v="#NAME?"/>
  </r>
  <r>
    <s v="TX500112"/>
    <s v="Graphic Tees"/>
    <n v="1"/>
    <n v="32"/>
    <n v="32"/>
    <d v="2025-01-05T00:00:00"/>
    <d v="2025-01-07T00:00:00"/>
    <s v="F"/>
    <s v="Partner App"/>
    <n v="4"/>
    <s v="California"/>
    <s v="Los Angeles County"/>
    <x v="1"/>
    <n v="2"/>
    <e v="#NAME?"/>
  </r>
  <r>
    <s v="TX500113"/>
    <s v="Hoodies &amp; Sweatshirts"/>
    <n v="2"/>
    <n v="37.299999999999997"/>
    <n v="74.599999999999994"/>
    <d v="2025-01-05T00:00:00"/>
    <d v="2025-01-06T00:00:00"/>
    <s v="M"/>
    <s v="Target.com"/>
    <n v="4"/>
    <s v="California"/>
    <s v="Los Angeles County"/>
    <x v="3"/>
    <n v="2"/>
    <e v="#NAME?"/>
  </r>
  <r>
    <s v="TX500114"/>
    <s v="Leggings"/>
    <n v="1"/>
    <n v="119.8"/>
    <n v="119.8"/>
    <d v="2025-01-05T00:00:00"/>
    <d v="2025-01-06T00:00:00"/>
    <s v="M"/>
    <s v="Website"/>
    <n v="3"/>
    <s v="California"/>
    <s v="Los Angeles County"/>
    <x v="3"/>
    <n v="2"/>
    <e v="#NAME?"/>
  </r>
  <r>
    <s v="TX500115"/>
    <s v="Bikinis"/>
    <n v="2"/>
    <n v="26.4"/>
    <n v="52.8"/>
    <d v="2025-01-05T00:00:00"/>
    <d v="2025-01-08T00:00:00"/>
    <s v="M"/>
    <s v="Target.com"/>
    <n v="4"/>
    <s v="California"/>
    <s v="Los Angeles County"/>
    <x v="2"/>
    <n v="2"/>
    <e v="#NAME?"/>
  </r>
  <r>
    <s v="TX500116"/>
    <s v="Jeans"/>
    <n v="6"/>
    <n v="76.5"/>
    <n v="459"/>
    <d v="2025-01-05T00:00:00"/>
    <d v="2025-01-06T00:00:00"/>
    <s v="F"/>
    <s v="Website"/>
    <n v="3"/>
    <s v="California"/>
    <s v="Los Angeles County"/>
    <x v="3"/>
    <n v="2"/>
    <e v="#NAME?"/>
  </r>
  <r>
    <s v="TX500117"/>
    <s v="Graphic Tees"/>
    <n v="10"/>
    <n v="45.7"/>
    <n v="457"/>
    <d v="2025-01-05T00:00:00"/>
    <d v="2025-01-06T00:00:00"/>
    <s v="F"/>
    <s v="Target.com"/>
    <n v="4"/>
    <s v="California"/>
    <s v="Merced County"/>
    <x v="3"/>
    <n v="2"/>
    <e v="#NAME?"/>
  </r>
  <r>
    <s v="TX500118"/>
    <s v="Tank Tops"/>
    <n v="12"/>
    <n v="92.6"/>
    <n v="1111.1999999999998"/>
    <d v="2025-01-05T00:00:00"/>
    <d v="2025-01-07T00:00:00"/>
    <s v="F"/>
    <s v="Target.com"/>
    <n v="4"/>
    <s v="California"/>
    <s v="Orange County"/>
    <x v="1"/>
    <n v="2"/>
    <e v="#NAME?"/>
  </r>
  <r>
    <s v="TX500119"/>
    <s v="Jeans"/>
    <n v="6"/>
    <n v="60.1"/>
    <n v="360.6"/>
    <d v="2025-01-05T00:00:00"/>
    <d v="2025-01-06T00:00:00"/>
    <s v="M"/>
    <s v="Website"/>
    <n v="4"/>
    <s v="California"/>
    <s v="Riverside County"/>
    <x v="3"/>
    <n v="2"/>
    <e v="#NAME?"/>
  </r>
  <r>
    <s v="TX500120"/>
    <s v="Tank Tops"/>
    <n v="3"/>
    <n v="73"/>
    <n v="219"/>
    <d v="2025-01-05T00:00:00"/>
    <d v="2025-01-06T00:00:00"/>
    <s v="F"/>
    <s v="Instagram"/>
    <n v="3"/>
    <s v="California"/>
    <s v="Sacramento County"/>
    <x v="3"/>
    <n v="2"/>
    <e v="#NAME?"/>
  </r>
  <r>
    <s v="TX500121"/>
    <s v="Jeans"/>
    <n v="3"/>
    <n v="44.3"/>
    <n v="132.89999999999998"/>
    <d v="2025-01-05T00:00:00"/>
    <d v="2025-01-09T00:00:00"/>
    <s v=""/>
    <s v="Target.com"/>
    <n v="5"/>
    <s v="California"/>
    <s v="Sacramento County"/>
    <x v="5"/>
    <n v="2"/>
    <e v="#NAME?"/>
  </r>
  <r>
    <s v="TX500122"/>
    <s v="Jeans"/>
    <n v="3"/>
    <n v="63.3"/>
    <n v="189.89999999999998"/>
    <d v="2025-01-05T00:00:00"/>
    <d v="2025-01-06T00:00:00"/>
    <s v="M"/>
    <s v="Target.com"/>
    <n v="4"/>
    <s v="California"/>
    <s v="Sacramento County"/>
    <x v="3"/>
    <n v="2"/>
    <e v="#NAME?"/>
  </r>
  <r>
    <s v="TX500123"/>
    <s v="Casual Dresses"/>
    <n v="1"/>
    <n v="66.8"/>
    <n v="66.8"/>
    <d v="2025-01-05T00:00:00"/>
    <d v="2025-01-06T00:00:00"/>
    <s v="F"/>
    <s v="Website"/>
    <n v="4"/>
    <s v="California"/>
    <s v="Sacramento County"/>
    <x v="3"/>
    <n v="2"/>
    <e v="#NAME?"/>
  </r>
  <r>
    <s v="TX500124"/>
    <s v="Sneakers"/>
    <n v="2"/>
    <n v="59.7"/>
    <n v="119.4"/>
    <d v="2025-01-05T00:00:00"/>
    <d v="2025-01-06T00:00:00"/>
    <s v="F"/>
    <s v="App"/>
    <n v="4"/>
    <s v="California"/>
    <s v="San Bernardino County"/>
    <x v="3"/>
    <n v="2"/>
    <e v="#NAME?"/>
  </r>
  <r>
    <s v="TX500125"/>
    <s v="Tank Tops"/>
    <n v="6"/>
    <n v="92"/>
    <n v="552"/>
    <d v="2025-01-05T00:00:00"/>
    <d v="2025-01-07T00:00:00"/>
    <s v="M"/>
    <s v="App"/>
    <n v="2"/>
    <s v="California"/>
    <s v="San Bernardino County"/>
    <x v="1"/>
    <n v="2"/>
    <e v="#NAME?"/>
  </r>
  <r>
    <s v="TX500126"/>
    <s v="Hoodies &amp; Sweatshirts"/>
    <n v="2"/>
    <n v="87.6"/>
    <n v="175.2"/>
    <d v="2025-01-05T00:00:00"/>
    <d v="2025-01-07T00:00:00"/>
    <s v="M"/>
    <s v="Website"/>
    <n v="3"/>
    <s v="California"/>
    <s v="San Diego County"/>
    <x v="1"/>
    <n v="2"/>
    <e v="#NAME?"/>
  </r>
  <r>
    <s v="TX500127"/>
    <s v="Jeans"/>
    <n v="3"/>
    <n v="84.5"/>
    <n v="253.5"/>
    <d v="2025-01-05T00:00:00"/>
    <d v="2025-01-06T00:00:00"/>
    <s v="F"/>
    <s v="Website"/>
    <n v="3"/>
    <s v="California"/>
    <s v="San Diego County"/>
    <x v="3"/>
    <n v="2"/>
    <e v="#NAME?"/>
  </r>
  <r>
    <s v="TX500128"/>
    <s v="Tank Tops"/>
    <n v="2"/>
    <n v="116.3"/>
    <n v="232.6"/>
    <d v="2025-01-06T00:00:00"/>
    <d v="2025-01-08T00:00:00"/>
    <s v="M"/>
    <s v="Target.com"/>
    <n v="5"/>
    <s v="California"/>
    <s v="San Diego County"/>
    <x v="1"/>
    <n v="2"/>
    <e v="#NAME?"/>
  </r>
  <r>
    <s v="TX500129"/>
    <s v="Jeans"/>
    <n v="5"/>
    <n v="52.7"/>
    <n v="263.5"/>
    <d v="2025-01-06T00:00:00"/>
    <d v="2025-01-10T00:00:00"/>
    <s v="M"/>
    <s v="App"/>
    <n v="4"/>
    <s v="California"/>
    <s v="San Diego County"/>
    <x v="5"/>
    <n v="2"/>
    <e v="#NAME?"/>
  </r>
  <r>
    <s v="TX500130"/>
    <s v="Sunglasses"/>
    <n v="3"/>
    <n v="34.200000000000003"/>
    <n v="102.60000000000001"/>
    <d v="2025-01-06T00:00:00"/>
    <d v="2025-01-07T00:00:00"/>
    <s v="M"/>
    <s v="App"/>
    <n v="5"/>
    <s v="California"/>
    <s v="San Joaquin County"/>
    <x v="3"/>
    <n v="2"/>
    <e v="#NAME?"/>
  </r>
  <r>
    <s v="TX500131"/>
    <s v="Sundresses"/>
    <n v="1"/>
    <n v="23.3"/>
    <n v="23.3"/>
    <d v="2025-01-06T00:00:00"/>
    <d v="2025-01-15T00:00:00"/>
    <s v="O"/>
    <s v="Target.com"/>
    <n v="5"/>
    <s v="California"/>
    <s v="San Mateo County"/>
    <x v="8"/>
    <n v="2"/>
    <e v="#NAME?"/>
  </r>
  <r>
    <s v="TX500132"/>
    <s v="Shorts"/>
    <n v="26"/>
    <n v="25.9"/>
    <n v="673.4"/>
    <d v="2025-01-06T00:00:00"/>
    <d v="2025-01-09T00:00:00"/>
    <s v="F"/>
    <s v="Partner App"/>
    <n v="3"/>
    <s v="California"/>
    <s v="San Mateo County"/>
    <x v="2"/>
    <n v="2"/>
    <e v="#NAME?"/>
  </r>
  <r>
    <s v="TX500133"/>
    <s v="Jeans"/>
    <n v="29"/>
    <n v="54.9"/>
    <n v="1592.1"/>
    <d v="2025-01-06T00:00:00"/>
    <d v="2025-01-07T00:00:00"/>
    <s v="M"/>
    <s v="Website"/>
    <n v="5"/>
    <s v="California"/>
    <s v="San Mateo County"/>
    <x v="3"/>
    <n v="2"/>
    <e v="#NAME?"/>
  </r>
  <r>
    <s v="TX500134"/>
    <s v="Sandals"/>
    <n v="3"/>
    <n v="75.8"/>
    <n v="227.39999999999998"/>
    <d v="2025-01-06T00:00:00"/>
    <d v="2025-01-11T00:00:00"/>
    <s v="O"/>
    <s v="Website"/>
    <n v="4"/>
    <s v="California"/>
    <s v="Sonoma County"/>
    <x v="0"/>
    <n v="2"/>
    <e v="#NAME?"/>
  </r>
  <r>
    <s v="TX500135"/>
    <s v="Tank Tops"/>
    <n v="9"/>
    <n v="44.9"/>
    <n v="404.09999999999997"/>
    <d v="2025-01-06T00:00:00"/>
    <d v="2025-01-09T00:00:00"/>
    <s v="F"/>
    <s v="Target.com"/>
    <n v="5"/>
    <s v="California"/>
    <s v="Fresno County"/>
    <x v="2"/>
    <n v="2"/>
    <e v="#NAME?"/>
  </r>
  <r>
    <s v="TX500136"/>
    <s v="Maxi Dresses"/>
    <n v="2"/>
    <n v="48.8"/>
    <n v="97.6"/>
    <d v="2025-01-06T00:00:00"/>
    <d v="2025-01-08T00:00:00"/>
    <s v="F"/>
    <s v="Instagram"/>
    <n v="4"/>
    <s v="California"/>
    <s v="Glenn County"/>
    <x v="1"/>
    <n v="2"/>
    <e v="#NAME?"/>
  </r>
  <r>
    <s v="TX500137"/>
    <s v="Crop Tops"/>
    <n v="1"/>
    <n v="20.3"/>
    <n v="20.3"/>
    <d v="2025-01-06T00:00:00"/>
    <d v="2025-01-07T00:00:00"/>
    <s v="F"/>
    <s v="App"/>
    <n v="5"/>
    <s v="California"/>
    <s v="Kern County"/>
    <x v="3"/>
    <n v="2"/>
    <e v="#NAME?"/>
  </r>
  <r>
    <s v="TX500138"/>
    <s v="Sandals"/>
    <n v="7"/>
    <n v="36.4"/>
    <n v="254.79999999999998"/>
    <d v="2025-01-06T00:00:00"/>
    <d v="2025-01-09T00:00:00"/>
    <s v="F"/>
    <s v="App"/>
    <n v="3"/>
    <s v="California"/>
    <s v="Los Angeles County"/>
    <x v="2"/>
    <n v="2"/>
    <e v="#NAME?"/>
  </r>
  <r>
    <s v="TX500139"/>
    <s v="Shorts"/>
    <n v="1"/>
    <n v="19"/>
    <n v="19"/>
    <d v="2025-01-06T00:00:00"/>
    <d v="2025-01-11T00:00:00"/>
    <s v="F"/>
    <s v="Website"/>
    <n v="5"/>
    <s v="California"/>
    <s v="Los Angeles County"/>
    <x v="0"/>
    <n v="2"/>
    <e v="#NAME?"/>
  </r>
  <r>
    <s v="TX500140"/>
    <s v="T-Shirts"/>
    <n v="1"/>
    <n v="17.8"/>
    <n v="17.8"/>
    <d v="2025-01-06T00:00:00"/>
    <d v="2025-01-06T00:00:00"/>
    <s v="M"/>
    <s v="App"/>
    <n v="4"/>
    <s v="California"/>
    <s v="Los Angeles County"/>
    <x v="7"/>
    <n v="2"/>
    <e v="#NAME?"/>
  </r>
  <r>
    <s v="TX500141"/>
    <s v="Sneakers"/>
    <n v="6"/>
    <n v="139.6"/>
    <n v="837.59999999999991"/>
    <d v="2025-01-06T00:00:00"/>
    <d v="2025-01-09T00:00:00"/>
    <s v="M"/>
    <s v="App"/>
    <n v="4"/>
    <s v="California"/>
    <s v="Los Angeles County"/>
    <x v="2"/>
    <n v="2"/>
    <e v="#NAME?"/>
  </r>
  <r>
    <s v="TX500142"/>
    <s v="Sundresses"/>
    <n v="1"/>
    <n v="31.7"/>
    <n v="31.7"/>
    <d v="2025-01-06T00:00:00"/>
    <d v="2025-01-06T00:00:00"/>
    <s v=""/>
    <s v="App"/>
    <n v="4"/>
    <s v="California"/>
    <s v="Los Angeles County"/>
    <x v="7"/>
    <n v="2"/>
    <e v="#NAME?"/>
  </r>
  <r>
    <s v="TX500143"/>
    <s v="T-Shirts"/>
    <n v="8"/>
    <n v="26.3"/>
    <n v="210.4"/>
    <d v="2025-01-06T00:00:00"/>
    <d v="2025-01-09T00:00:00"/>
    <s v="F"/>
    <s v="Partner App"/>
    <n v="2"/>
    <s v="California"/>
    <s v="Los Angeles County"/>
    <x v="2"/>
    <n v="2"/>
    <e v="#NAME?"/>
  </r>
  <r>
    <s v="TX500144"/>
    <s v="Graphic Tees"/>
    <n v="2"/>
    <n v="47.8"/>
    <n v="95.6"/>
    <d v="2025-01-06T00:00:00"/>
    <d v="2025-01-07T00:00:00"/>
    <s v=""/>
    <s v="App"/>
    <n v="4"/>
    <s v="California"/>
    <s v="Los Angeles County"/>
    <x v="3"/>
    <n v="2"/>
    <e v="#NAME?"/>
  </r>
  <r>
    <s v="TX500145"/>
    <s v="Sundresses"/>
    <n v="3"/>
    <n v="69.400000000000006"/>
    <n v="208.20000000000002"/>
    <d v="2025-01-06T00:00:00"/>
    <d v="2025-01-10T00:00:00"/>
    <s v="F"/>
    <s v="App"/>
    <n v="4"/>
    <s v="California"/>
    <s v="Los Angeles County"/>
    <x v="5"/>
    <n v="2"/>
    <e v="#NAME?"/>
  </r>
  <r>
    <s v="TX500146"/>
    <s v="Leggings"/>
    <n v="12"/>
    <n v="25.8"/>
    <n v="309.60000000000002"/>
    <d v="2025-01-06T00:00:00"/>
    <d v="2025-01-07T00:00:00"/>
    <s v="M"/>
    <s v="Partner App"/>
    <n v="2"/>
    <s v="California"/>
    <s v="Los Angeles County"/>
    <x v="3"/>
    <n v="2"/>
    <e v="#NAME?"/>
  </r>
  <r>
    <s v="TX500147"/>
    <s v="Shorts"/>
    <n v="4"/>
    <n v="26.4"/>
    <n v="105.6"/>
    <d v="2025-01-06T00:00:00"/>
    <d v="2025-01-07T00:00:00"/>
    <s v="M"/>
    <s v="Website"/>
    <n v="5"/>
    <s v="California"/>
    <s v="Los Angeles County"/>
    <x v="3"/>
    <n v="2"/>
    <e v="#NAME?"/>
  </r>
  <r>
    <s v="TX500148"/>
    <s v="T-Shirts"/>
    <n v="4"/>
    <n v="15.7"/>
    <n v="62.8"/>
    <d v="2025-01-06T00:00:00"/>
    <d v="2025-01-07T00:00:00"/>
    <s v="M"/>
    <s v="Target.com"/>
    <n v="4"/>
    <s v="California"/>
    <s v="Los Angeles County"/>
    <x v="3"/>
    <n v="2"/>
    <e v="#NAME?"/>
  </r>
  <r>
    <s v="TX500149"/>
    <s v="T-Shirts"/>
    <n v="1"/>
    <n v="39.700000000000003"/>
    <n v="39.700000000000003"/>
    <d v="2025-01-06T00:00:00"/>
    <d v="2025-01-10T00:00:00"/>
    <s v="M"/>
    <s v="App"/>
    <n v="4"/>
    <s v="California"/>
    <s v="Los Angeles County"/>
    <x v="5"/>
    <n v="2"/>
    <e v="#NAME?"/>
  </r>
  <r>
    <s v="TX500150"/>
    <s v="Bikinis"/>
    <n v="4"/>
    <n v="31.1"/>
    <n v="124.4"/>
    <d v="2025-01-06T00:00:00"/>
    <d v="2025-01-08T00:00:00"/>
    <s v="F"/>
    <s v="Target.com"/>
    <n v="3"/>
    <s v="California"/>
    <s v="Los Angeles County"/>
    <x v="1"/>
    <n v="2"/>
    <e v="#NAME?"/>
  </r>
  <r>
    <s v="TX500151"/>
    <s v="Tote Bags"/>
    <n v="15"/>
    <n v="23.4"/>
    <n v="351"/>
    <d v="2025-01-06T00:00:00"/>
    <d v="2025-01-15T00:00:00"/>
    <s v="M"/>
    <s v="App"/>
    <n v="4"/>
    <s v="California"/>
    <s v="Los Angeles County"/>
    <x v="8"/>
    <n v="2"/>
    <e v="#NAME?"/>
  </r>
  <r>
    <s v="TX500152"/>
    <s v="Tank Tops"/>
    <n v="4"/>
    <n v="57.1"/>
    <n v="228.4"/>
    <d v="2025-01-07T00:00:00"/>
    <d v="2025-01-08T00:00:00"/>
    <s v="M"/>
    <s v="Target.com"/>
    <n v="4"/>
    <s v="California"/>
    <s v="Orange County"/>
    <x v="3"/>
    <n v="2"/>
    <e v="#NAME?"/>
  </r>
  <r>
    <s v="TX500153"/>
    <s v="Sneakers"/>
    <n v="5"/>
    <n v="89.9"/>
    <n v="449.5"/>
    <d v="2025-01-07T00:00:00"/>
    <d v="2025-01-07T00:00:00"/>
    <s v="F"/>
    <s v="App"/>
    <n v="1"/>
    <s v="California"/>
    <s v="Riverside County"/>
    <x v="7"/>
    <n v="2"/>
    <e v="#NAME?"/>
  </r>
  <r>
    <s v="TX500154"/>
    <s v="Bikinis"/>
    <n v="7"/>
    <n v="48.1"/>
    <n v="336.7"/>
    <d v="2025-01-07T00:00:00"/>
    <d v="2025-01-09T00:00:00"/>
    <s v="F"/>
    <s v="Website"/>
    <n v="5"/>
    <s v="California"/>
    <s v="Sacramento County"/>
    <x v="1"/>
    <n v="2"/>
    <e v="#NAME?"/>
  </r>
  <r>
    <s v="TX500155"/>
    <s v="T-Shirts"/>
    <n v="2"/>
    <n v="29.3"/>
    <n v="58.6"/>
    <d v="2025-01-07T00:00:00"/>
    <d v="2025-01-07T00:00:00"/>
    <s v="F"/>
    <s v="Website"/>
    <n v="3"/>
    <s v="California"/>
    <s v="Sacramento County"/>
    <x v="7"/>
    <n v="2"/>
    <e v="#NAME?"/>
  </r>
  <r>
    <s v="TX500156"/>
    <s v="T-Shirts"/>
    <n v="4"/>
    <n v="28.8"/>
    <n v="115.2"/>
    <d v="2025-01-07T00:00:00"/>
    <d v="2025-01-08T00:00:00"/>
    <s v="F"/>
    <s v="App"/>
    <n v="2"/>
    <s v="California"/>
    <s v="Sacramento County"/>
    <x v="3"/>
    <n v="2"/>
    <e v="#NAME?"/>
  </r>
  <r>
    <s v="TX500157"/>
    <s v="Bikinis"/>
    <n v="5"/>
    <n v="40.5"/>
    <n v="202.5"/>
    <d v="2025-01-07T00:00:00"/>
    <d v="2025-01-11T00:00:00"/>
    <s v="F"/>
    <s v="Instagram"/>
    <n v="4"/>
    <s v="California"/>
    <s v="Sacramento County"/>
    <x v="5"/>
    <n v="2"/>
    <e v="#NAME?"/>
  </r>
  <r>
    <s v="TX500158"/>
    <s v="Leggings"/>
    <n v="14"/>
    <n v="65.099999999999994"/>
    <n v="911.39999999999986"/>
    <d v="2025-01-07T00:00:00"/>
    <d v="2025-01-08T00:00:00"/>
    <s v="F"/>
    <s v="Partner App"/>
    <n v="4"/>
    <s v="California"/>
    <s v="San Bernardino County"/>
    <x v="3"/>
    <n v="2"/>
    <e v="#NAME?"/>
  </r>
  <r>
    <s v="TX500159"/>
    <s v="T-Shirts"/>
    <n v="4"/>
    <n v="40.299999999999997"/>
    <n v="161.19999999999999"/>
    <d v="2025-01-07T00:00:00"/>
    <d v="2025-01-12T00:00:00"/>
    <s v="F"/>
    <s v="Target.com"/>
    <n v="4"/>
    <s v="California"/>
    <s v="San Bernardino County"/>
    <x v="0"/>
    <n v="2"/>
    <e v="#NAME?"/>
  </r>
  <r>
    <s v="TX500160"/>
    <s v="Jeans"/>
    <n v="5"/>
    <n v="51.8"/>
    <n v="259"/>
    <d v="2025-01-07T00:00:00"/>
    <d v="2025-01-08T00:00:00"/>
    <s v="M"/>
    <s v="Target.com"/>
    <n v="5"/>
    <s v="California"/>
    <s v="San Diego County"/>
    <x v="3"/>
    <n v="2"/>
    <e v="#NAME?"/>
  </r>
  <r>
    <s v="TX500161"/>
    <s v="Jeans"/>
    <n v="3"/>
    <n v="61.3"/>
    <n v="183.89999999999998"/>
    <d v="2025-01-07T00:00:00"/>
    <d v="2025-01-08T00:00:00"/>
    <s v="F"/>
    <s v="Instagram"/>
    <n v="4"/>
    <s v="California"/>
    <s v="San Diego County"/>
    <x v="3"/>
    <n v="2"/>
    <e v="#NAME?"/>
  </r>
  <r>
    <s v="TX500162"/>
    <s v="Sneakers"/>
    <n v="4"/>
    <n v="122.5"/>
    <n v="490"/>
    <d v="2025-01-07T00:00:00"/>
    <d v="2025-01-08T00:00:00"/>
    <s v="M"/>
    <s v="App"/>
    <n v="4"/>
    <s v="California"/>
    <s v="San Diego County"/>
    <x v="3"/>
    <n v="2"/>
    <e v="#NAME?"/>
  </r>
  <r>
    <s v="TX500163"/>
    <s v="Shorts"/>
    <n v="9"/>
    <n v="12.5"/>
    <n v="112.5"/>
    <d v="2025-01-07T00:00:00"/>
    <d v="2025-01-08T00:00:00"/>
    <s v=""/>
    <s v="Website"/>
    <n v="5"/>
    <s v="California"/>
    <s v="San Diego County"/>
    <x v="3"/>
    <n v="2"/>
    <e v="#NAME?"/>
  </r>
  <r>
    <s v="TX500164"/>
    <s v="Crop Tops"/>
    <n v="8"/>
    <n v="37.5"/>
    <n v="300"/>
    <d v="2025-01-07T00:00:00"/>
    <d v="2025-01-08T00:00:00"/>
    <s v="F"/>
    <s v="App"/>
    <n v="4"/>
    <s v="California"/>
    <s v="San Mateo County"/>
    <x v="3"/>
    <n v="2"/>
    <e v="#NAME?"/>
  </r>
  <r>
    <s v="TX500165"/>
    <s v="Jeans"/>
    <n v="3"/>
    <n v="40"/>
    <n v="120"/>
    <d v="2025-01-07T00:00:00"/>
    <d v="2025-01-10T00:00:00"/>
    <s v="M"/>
    <s v="App"/>
    <n v="2"/>
    <s v="California"/>
    <s v="Santa Clara County"/>
    <x v="2"/>
    <n v="2"/>
    <e v="#NAME?"/>
  </r>
  <r>
    <s v="TX500166"/>
    <s v="Pajama Sets"/>
    <n v="8"/>
    <n v="38.5"/>
    <n v="308"/>
    <d v="2025-01-07T00:00:00"/>
    <d v="2025-01-12T00:00:00"/>
    <s v="F"/>
    <s v="Target.com"/>
    <n v="3"/>
    <s v="California"/>
    <s v="Santa Clara County"/>
    <x v="0"/>
    <n v="2"/>
    <e v="#NAME?"/>
  </r>
  <r>
    <s v="TX500167"/>
    <s v="Sneakers"/>
    <n v="2"/>
    <n v="86.4"/>
    <n v="172.8"/>
    <d v="2025-01-07T00:00:00"/>
    <d v="2025-01-09T00:00:00"/>
    <s v="F"/>
    <s v="App"/>
    <n v="4"/>
    <s v="California"/>
    <s v="Sonoma County"/>
    <x v="1"/>
    <n v="2"/>
    <e v="#NAME?"/>
  </r>
  <r>
    <s v="TX500168"/>
    <s v="Bikinis"/>
    <n v="1"/>
    <n v="50.7"/>
    <n v="50.7"/>
    <d v="2025-01-07T00:00:00"/>
    <d v="2025-01-11T00:00:00"/>
    <s v="F"/>
    <s v="Website"/>
    <n v="4"/>
    <s v="California"/>
    <s v="Sonoma County"/>
    <x v="5"/>
    <n v="2"/>
    <e v="#NAME?"/>
  </r>
  <r>
    <s v="TX500169"/>
    <s v="Bikinis"/>
    <n v="2"/>
    <n v="61"/>
    <n v="122"/>
    <d v="2025-01-07T00:00:00"/>
    <d v="2025-01-18T00:00:00"/>
    <s v="F"/>
    <s v="Partner App"/>
    <n v="3"/>
    <s v="California"/>
    <s v="Sonoma County"/>
    <x v="11"/>
    <n v="2"/>
    <e v="#NAME?"/>
  </r>
  <r>
    <s v="TX500170"/>
    <s v="Graphic Tees"/>
    <n v="2"/>
    <n v="19.899999999999999"/>
    <n v="39.799999999999997"/>
    <d v="2025-01-07T00:00:00"/>
    <d v="2025-01-10T00:00:00"/>
    <s v="F"/>
    <s v="Website"/>
    <n v="4"/>
    <s v="California"/>
    <s v="Yolo County"/>
    <x v="2"/>
    <n v="2"/>
    <e v="#NAME?"/>
  </r>
  <r>
    <s v="TX500171"/>
    <s v="Sandals"/>
    <n v="1"/>
    <n v="78.3"/>
    <n v="78.3"/>
    <d v="2025-01-07T00:00:00"/>
    <d v="2025-01-07T00:00:00"/>
    <s v="F"/>
    <s v="App"/>
    <n v="5"/>
    <s v="California"/>
    <s v="Contra Costa County"/>
    <x v="7"/>
    <n v="2"/>
    <e v="#NAME?"/>
  </r>
  <r>
    <s v="TX500172"/>
    <s v="Shorts"/>
    <n v="19"/>
    <n v="10.4"/>
    <n v="197.6"/>
    <d v="2025-01-07T00:00:00"/>
    <d v="2025-01-09T00:00:00"/>
    <s v="M"/>
    <s v="App"/>
    <n v="5"/>
    <s v="California"/>
    <s v="Fresno County"/>
    <x v="1"/>
    <n v="2"/>
    <e v="#NAME?"/>
  </r>
  <r>
    <s v="TX500173"/>
    <s v="Bikinis"/>
    <n v="1"/>
    <n v="36.1"/>
    <n v="36.1"/>
    <d v="2025-01-07T00:00:00"/>
    <d v="2025-01-10T00:00:00"/>
    <s v="M"/>
    <s v="Instagram"/>
    <n v="5"/>
    <s v="California"/>
    <s v="Los Angeles County"/>
    <x v="2"/>
    <n v="2"/>
    <e v="#NAME?"/>
  </r>
  <r>
    <s v="TX500174"/>
    <s v="Baseball Caps"/>
    <n v="2"/>
    <n v="17.3"/>
    <n v="34.6"/>
    <d v="2025-01-07T00:00:00"/>
    <d v="2025-01-09T00:00:00"/>
    <s v="F"/>
    <s v="Website"/>
    <n v="5"/>
    <s v="California"/>
    <s v="Los Angeles County"/>
    <x v="1"/>
    <n v="2"/>
    <e v="#NAME?"/>
  </r>
  <r>
    <s v="TX500175"/>
    <s v="Bikinis"/>
    <n v="2"/>
    <n v="30.5"/>
    <n v="61"/>
    <d v="2025-01-07T00:00:00"/>
    <d v="2025-01-08T00:00:00"/>
    <s v="F"/>
    <s v="Website"/>
    <n v="5"/>
    <s v="California"/>
    <s v="Los Angeles County"/>
    <x v="3"/>
    <n v="2"/>
    <e v="#NAME?"/>
  </r>
  <r>
    <s v="TX500176"/>
    <s v="Leggings"/>
    <n v="62"/>
    <n v="70.099999999999994"/>
    <n v="4346.2"/>
    <d v="2025-01-07T00:00:00"/>
    <d v="2025-01-07T00:00:00"/>
    <s v="F"/>
    <s v="Target.com"/>
    <n v="4"/>
    <s v="California"/>
    <s v="Los Angeles County"/>
    <x v="7"/>
    <n v="2"/>
    <e v="#NAME?"/>
  </r>
  <r>
    <s v="TX500177"/>
    <s v="Workout Tops"/>
    <n v="1"/>
    <n v="76.099999999999994"/>
    <n v="76.099999999999994"/>
    <d v="2025-01-07T00:00:00"/>
    <d v="2025-01-07T00:00:00"/>
    <s v="F"/>
    <s v="Target.com"/>
    <n v="3"/>
    <s v="California"/>
    <s v="Los Angeles County"/>
    <x v="7"/>
    <n v="2"/>
    <e v="#NAME?"/>
  </r>
  <r>
    <s v="TX500178"/>
    <s v="Crop Tops"/>
    <n v="13"/>
    <n v="34.200000000000003"/>
    <n v="444.6"/>
    <d v="2025-01-07T00:00:00"/>
    <d v="2025-01-08T00:00:00"/>
    <s v="M"/>
    <s v="App"/>
    <n v="4"/>
    <s v="California"/>
    <s v="Los Angeles County"/>
    <x v="3"/>
    <n v="2"/>
    <e v="#NAME?"/>
  </r>
  <r>
    <s v="TX500179"/>
    <s v="T-Shirts"/>
    <n v="5"/>
    <n v="30.3"/>
    <n v="151.5"/>
    <d v="2025-01-07T00:00:00"/>
    <d v="2025-01-12T00:00:00"/>
    <s v="F"/>
    <s v="Partner App"/>
    <n v="4"/>
    <s v="California"/>
    <s v="Los Angeles County"/>
    <x v="0"/>
    <n v="2"/>
    <e v="#NAME?"/>
  </r>
  <r>
    <s v="TX500180"/>
    <s v="Jeans"/>
    <n v="5"/>
    <n v="52.5"/>
    <n v="262.5"/>
    <d v="2025-01-07T00:00:00"/>
    <d v="2025-01-11T00:00:00"/>
    <s v=""/>
    <s v="Instagram"/>
    <n v="4"/>
    <s v="California"/>
    <s v="Los Angeles County"/>
    <x v="5"/>
    <n v="2"/>
    <e v="#NAME?"/>
  </r>
  <r>
    <s v="TX500181"/>
    <s v="Sundresses"/>
    <n v="11"/>
    <n v="28.7"/>
    <n v="315.7"/>
    <d v="2025-01-07T00:00:00"/>
    <d v="2025-01-08T00:00:00"/>
    <s v="F"/>
    <s v="Target.com"/>
    <n v="4"/>
    <s v="California"/>
    <s v="Los Angeles County"/>
    <x v="3"/>
    <n v="2"/>
    <e v="#NAME?"/>
  </r>
  <r>
    <s v="TX500182"/>
    <s v="Hoodies &amp; Sweatshirts"/>
    <n v="7"/>
    <n v="52"/>
    <n v="364"/>
    <d v="2025-01-07T00:00:00"/>
    <d v="2025-01-08T00:00:00"/>
    <s v="M"/>
    <s v="Website"/>
    <n v="2"/>
    <s v="California"/>
    <s v="Los Angeles County"/>
    <x v="3"/>
    <n v="2"/>
    <e v="#NAME?"/>
  </r>
  <r>
    <s v="TX500183"/>
    <s v="Shorts"/>
    <n v="1"/>
    <n v="13.3"/>
    <n v="13.3"/>
    <d v="2025-01-08T00:00:00"/>
    <d v="2025-01-12T00:00:00"/>
    <s v="F"/>
    <s v="Target.com"/>
    <n v="3"/>
    <s v="California"/>
    <s v="Los Angeles County"/>
    <x v="5"/>
    <n v="2"/>
    <e v="#NAME?"/>
  </r>
  <r>
    <s v="TX500184"/>
    <s v="Shorts"/>
    <n v="3"/>
    <n v="15.7"/>
    <n v="47.099999999999994"/>
    <d v="2025-01-08T00:00:00"/>
    <d v="2025-01-09T00:00:00"/>
    <s v="F"/>
    <s v="Website"/>
    <n v="4"/>
    <s v="California"/>
    <s v="Mendocino County"/>
    <x v="3"/>
    <n v="2"/>
    <e v="#NAME?"/>
  </r>
  <r>
    <s v="TX500185"/>
    <s v="T-Shirts"/>
    <n v="2"/>
    <n v="25.6"/>
    <n v="51.2"/>
    <d v="2025-01-08T00:00:00"/>
    <d v="2025-01-09T00:00:00"/>
    <s v="M"/>
    <s v="App"/>
    <n v="5"/>
    <s v="California"/>
    <s v="Riverside County"/>
    <x v="3"/>
    <n v="2"/>
    <e v="#NAME?"/>
  </r>
  <r>
    <s v="TX500186"/>
    <s v="T-Shirts"/>
    <n v="1"/>
    <n v="43.4"/>
    <n v="43.4"/>
    <d v="2025-01-08T00:00:00"/>
    <d v="2025-01-13T00:00:00"/>
    <s v="M"/>
    <s v="App"/>
    <n v="4"/>
    <s v="California"/>
    <s v="Sacramento County"/>
    <x v="0"/>
    <n v="2"/>
    <e v="#NAME?"/>
  </r>
  <r>
    <s v="TX500187"/>
    <s v="Maxi Dresses"/>
    <n v="9"/>
    <n v="33.4"/>
    <n v="300.59999999999997"/>
    <d v="2025-01-08T00:00:00"/>
    <d v="2025-01-08T00:00:00"/>
    <s v="F"/>
    <s v="App"/>
    <n v="4"/>
    <s v="California"/>
    <s v="San Diego County"/>
    <x v="7"/>
    <n v="2"/>
    <e v="#NAME?"/>
  </r>
  <r>
    <s v="TX500188"/>
    <s v="T-Shirts"/>
    <n v="19"/>
    <n v="55"/>
    <n v="1045"/>
    <d v="2025-01-08T00:00:00"/>
    <d v="2025-01-09T00:00:00"/>
    <s v="F"/>
    <s v="Website"/>
    <n v="5"/>
    <s v="California"/>
    <s v="San Diego County"/>
    <x v="3"/>
    <n v="2"/>
    <e v="#NAME?"/>
  </r>
  <r>
    <s v="TX500189"/>
    <s v="T-Shirts"/>
    <n v="3"/>
    <n v="23.6"/>
    <n v="70.800000000000011"/>
    <d v="2025-01-08T00:00:00"/>
    <d v="2025-01-09T00:00:00"/>
    <s v="M"/>
    <s v="App"/>
    <n v="5"/>
    <s v="California"/>
    <s v="San Diego County"/>
    <x v="3"/>
    <n v="2"/>
    <e v="#NAME?"/>
  </r>
  <r>
    <s v="TX500190"/>
    <s v="Casual Dresses"/>
    <n v="9"/>
    <n v="104"/>
    <n v="936"/>
    <d v="2025-01-08T00:00:00"/>
    <d v="2025-01-10T00:00:00"/>
    <s v="F"/>
    <s v="Target.com"/>
    <n v="5"/>
    <s v="California"/>
    <s v="San Francisco"/>
    <x v="1"/>
    <n v="2"/>
    <e v="#NAME?"/>
  </r>
  <r>
    <s v="TX500191"/>
    <s v="Jeans"/>
    <n v="2"/>
    <n v="51.8"/>
    <n v="103.6"/>
    <d v="2025-01-08T00:00:00"/>
    <d v="2025-01-12T00:00:00"/>
    <s v=""/>
    <s v="App"/>
    <n v="5"/>
    <s v="California"/>
    <s v="Santa Barbara County"/>
    <x v="5"/>
    <n v="2"/>
    <e v="#NAME?"/>
  </r>
  <r>
    <s v="TX500192"/>
    <s v="Bikinis"/>
    <n v="5"/>
    <n v="34.5"/>
    <n v="172.5"/>
    <d v="2025-01-08T00:00:00"/>
    <d v="2025-01-10T00:00:00"/>
    <s v=""/>
    <s v="Target.com"/>
    <n v="5"/>
    <s v="California"/>
    <s v="Santa Clara County"/>
    <x v="1"/>
    <n v="2"/>
    <e v="#NAME?"/>
  </r>
  <r>
    <s v="TX500193"/>
    <s v="Jeans"/>
    <n v="2"/>
    <n v="51.8"/>
    <n v="103.6"/>
    <d v="2025-01-08T00:00:00"/>
    <d v="2025-01-10T00:00:00"/>
    <s v="M"/>
    <s v="Website"/>
    <n v="5"/>
    <s v="California"/>
    <s v="Siskiyou County"/>
    <x v="1"/>
    <n v="2"/>
    <e v="#NAME?"/>
  </r>
  <r>
    <s v="TX500194"/>
    <s v="Leggings"/>
    <n v="43"/>
    <n v="131.5"/>
    <n v="5654.5"/>
    <d v="2025-01-08T00:00:00"/>
    <d v="2025-01-09T00:00:00"/>
    <s v="F"/>
    <s v="App"/>
    <n v="5"/>
    <s v="California"/>
    <s v="Sonoma County"/>
    <x v="3"/>
    <n v="2"/>
    <e v="#NAME?"/>
  </r>
  <r>
    <s v="TX500195"/>
    <s v="T-Shirts"/>
    <n v="7"/>
    <n v="47.8"/>
    <n v="334.59999999999997"/>
    <d v="2025-01-08T00:00:00"/>
    <d v="2025-01-08T00:00:00"/>
    <s v="F"/>
    <s v="App"/>
    <n v="4"/>
    <s v="California"/>
    <s v="Stanislaus County"/>
    <x v="7"/>
    <n v="2"/>
    <e v="#NAME?"/>
  </r>
  <r>
    <s v="TX500196"/>
    <s v="Shorts"/>
    <n v="2"/>
    <n v="10.199999999999999"/>
    <n v="20.399999999999999"/>
    <d v="2025-01-08T00:00:00"/>
    <d v="2025-01-10T00:00:00"/>
    <s v="F"/>
    <s v="App"/>
    <n v="4"/>
    <s v="California"/>
    <s v="Stanislaus County"/>
    <x v="1"/>
    <n v="2"/>
    <e v="#NAME?"/>
  </r>
  <r>
    <s v="TX500197"/>
    <s v="T-Shirts"/>
    <n v="8"/>
    <n v="41"/>
    <n v="328"/>
    <d v="2025-01-08T00:00:00"/>
    <d v="2025-01-08T00:00:00"/>
    <s v="F"/>
    <s v="Website"/>
    <n v="5"/>
    <s v="California"/>
    <s v="Stanislaus County"/>
    <x v="7"/>
    <n v="2"/>
    <e v="#NAME?"/>
  </r>
  <r>
    <s v="TX500198"/>
    <s v="Bikinis"/>
    <n v="7"/>
    <n v="50.8"/>
    <n v="355.59999999999997"/>
    <d v="2025-01-08T00:00:00"/>
    <d v="2025-01-11T00:00:00"/>
    <s v="F"/>
    <s v="Website"/>
    <n v="4"/>
    <s v="California"/>
    <s v="Alameda County"/>
    <x v="2"/>
    <n v="2"/>
    <e v="#NAME?"/>
  </r>
  <r>
    <s v="TX500199"/>
    <s v="Leggings"/>
    <n v="3"/>
    <n v="39.6"/>
    <n v="118.80000000000001"/>
    <d v="2025-01-08T00:00:00"/>
    <d v="2025-01-09T00:00:00"/>
    <s v="M"/>
    <s v="Target.com"/>
    <n v="5"/>
    <s v="California"/>
    <s v="Contra Costa County"/>
    <x v="3"/>
    <n v="2"/>
    <e v="#NAME?"/>
  </r>
  <r>
    <s v="TX500200"/>
    <s v="Sandals"/>
    <n v="2"/>
    <n v="69.5"/>
    <n v="139"/>
    <d v="2025-01-08T00:00:00"/>
    <d v="2025-01-10T00:00:00"/>
    <s v="M"/>
    <s v="App"/>
    <n v="5"/>
    <s v="California"/>
    <s v="Fresno County"/>
    <x v="1"/>
    <n v="2"/>
    <e v="#NAME?"/>
  </r>
  <r>
    <s v="TX500201"/>
    <s v="T-Shirts"/>
    <n v="8"/>
    <n v="32.6"/>
    <n v="260.8"/>
    <d v="2025-01-08T00:00:00"/>
    <d v="2025-01-11T00:00:00"/>
    <s v="M"/>
    <s v="Website"/>
    <n v="4"/>
    <s v="California"/>
    <s v="Los Angeles County"/>
    <x v="2"/>
    <n v="2"/>
    <e v="#NAME?"/>
  </r>
  <r>
    <s v="TX500202"/>
    <s v="Hoodies &amp; Sweatshirts"/>
    <n v="2"/>
    <n v="49.1"/>
    <n v="98.2"/>
    <d v="2025-01-08T00:00:00"/>
    <d v="2025-01-16T00:00:00"/>
    <s v="M"/>
    <s v="Instagram"/>
    <n v="5"/>
    <s v="California"/>
    <s v="Los Angeles County"/>
    <x v="9"/>
    <n v="2"/>
    <e v="#NAME?"/>
  </r>
  <r>
    <s v="TX500203"/>
    <s v="Jeans"/>
    <n v="2"/>
    <n v="49.4"/>
    <n v="98.8"/>
    <d v="2025-01-09T00:00:00"/>
    <d v="2025-01-10T00:00:00"/>
    <s v="F"/>
    <s v="Target.com"/>
    <n v="4"/>
    <s v="California"/>
    <s v="Los Angeles County"/>
    <x v="3"/>
    <n v="2"/>
    <e v="#NAME?"/>
  </r>
  <r>
    <s v="TX500204"/>
    <s v="Hoodies &amp; Sweatshirts"/>
    <n v="7"/>
    <n v="65.099999999999994"/>
    <n v="455.69999999999993"/>
    <d v="2025-01-09T00:00:00"/>
    <d v="2025-01-12T00:00:00"/>
    <s v="F"/>
    <s v="Target.com"/>
    <n v="5"/>
    <s v="California"/>
    <s v="Los Angeles County"/>
    <x v="2"/>
    <n v="2"/>
    <e v="#NAME?"/>
  </r>
  <r>
    <s v="TX500205"/>
    <s v="Workout Tops"/>
    <n v="2"/>
    <n v="52.1"/>
    <n v="104.2"/>
    <d v="2025-01-09T00:00:00"/>
    <d v="2025-01-13T00:00:00"/>
    <s v="F"/>
    <s v="Target.com"/>
    <n v="4"/>
    <s v="California"/>
    <s v="Los Angeles County"/>
    <x v="5"/>
    <n v="2"/>
    <e v="#NAME?"/>
  </r>
  <r>
    <s v="TX500206"/>
    <s v="Sneakers"/>
    <n v="4"/>
    <n v="129.19999999999999"/>
    <n v="516.79999999999995"/>
    <d v="2025-01-09T00:00:00"/>
    <d v="2025-01-10T00:00:00"/>
    <s v="F"/>
    <s v="Website"/>
    <n v="4"/>
    <s v="California"/>
    <s v="Los Angeles County"/>
    <x v="3"/>
    <n v="2"/>
    <e v="#NAME?"/>
  </r>
  <r>
    <s v="TX500207"/>
    <s v="Tank Tops"/>
    <n v="19"/>
    <n v="81.8"/>
    <n v="1554.2"/>
    <d v="2025-01-09T00:00:00"/>
    <d v="2025-01-09T00:00:00"/>
    <s v="F"/>
    <s v="Website"/>
    <n v="3"/>
    <s v="California"/>
    <s v="Los Angeles County"/>
    <x v="7"/>
    <n v="2"/>
    <e v="#NAME?"/>
  </r>
  <r>
    <s v="TX500208"/>
    <s v="Pajama Sets"/>
    <n v="1"/>
    <n v="24.9"/>
    <n v="24.9"/>
    <d v="2025-01-09T00:00:00"/>
    <d v="2025-01-13T00:00:00"/>
    <s v="F"/>
    <s v="Website"/>
    <n v="4"/>
    <s v="California"/>
    <s v="Los Angeles County"/>
    <x v="5"/>
    <n v="2"/>
    <e v="#NAME?"/>
  </r>
  <r>
    <s v="TX500209"/>
    <s v="Shorts"/>
    <n v="3"/>
    <n v="49.4"/>
    <n v="148.19999999999999"/>
    <d v="2025-01-09T00:00:00"/>
    <d v="2025-01-12T00:00:00"/>
    <s v="F"/>
    <s v="Partner App"/>
    <n v="2"/>
    <s v="California"/>
    <s v="Los Angeles County"/>
    <x v="2"/>
    <n v="2"/>
    <e v="#NAME?"/>
  </r>
  <r>
    <s v="TX500210"/>
    <s v="T-Shirts"/>
    <n v="2"/>
    <n v="22.7"/>
    <n v="45.4"/>
    <d v="2025-01-09T00:00:00"/>
    <d v="2025-01-10T00:00:00"/>
    <s v="M"/>
    <s v="Instagram"/>
    <n v="5"/>
    <s v="California"/>
    <s v="Los Angeles County"/>
    <x v="3"/>
    <n v="2"/>
    <e v="#NAME?"/>
  </r>
  <r>
    <s v="TX500211"/>
    <s v="Tank Tops"/>
    <n v="1"/>
    <n v="77.3"/>
    <n v="77.3"/>
    <d v="2025-01-09T00:00:00"/>
    <d v="2025-01-09T00:00:00"/>
    <s v="F"/>
    <s v="App"/>
    <n v="5"/>
    <s v="California"/>
    <s v="Sacramento County"/>
    <x v="7"/>
    <n v="2"/>
    <e v="#NAME?"/>
  </r>
  <r>
    <s v="TX500212"/>
    <s v="Tank Tops"/>
    <n v="5"/>
    <n v="109.1"/>
    <n v="545.5"/>
    <d v="2025-01-09T00:00:00"/>
    <d v="2025-01-12T00:00:00"/>
    <s v="F"/>
    <s v="App"/>
    <n v="4"/>
    <s v="California"/>
    <s v="Sacramento County"/>
    <x v="2"/>
    <n v="2"/>
    <e v="#NAME?"/>
  </r>
  <r>
    <s v="TX500213"/>
    <s v="Sneakers"/>
    <n v="4"/>
    <n v="53.9"/>
    <n v="215.6"/>
    <d v="2025-01-09T00:00:00"/>
    <d v="2025-01-10T00:00:00"/>
    <s v="M"/>
    <s v="App"/>
    <n v="3"/>
    <s v="California"/>
    <s v="San Diego County"/>
    <x v="3"/>
    <n v="2"/>
    <e v="#NAME?"/>
  </r>
  <r>
    <s v="TX500214"/>
    <s v="Sundresses"/>
    <n v="26"/>
    <n v="21.2"/>
    <n v="551.19999999999993"/>
    <d v="2025-01-09T00:00:00"/>
    <d v="2025-01-09T00:00:00"/>
    <s v="F"/>
    <s v="App"/>
    <n v="4"/>
    <s v="California"/>
    <s v="San Mateo County"/>
    <x v="7"/>
    <n v="2"/>
    <e v="#NAME?"/>
  </r>
  <r>
    <s v="TX500215"/>
    <s v="Sunglasses"/>
    <n v="4"/>
    <n v="69"/>
    <n v="276"/>
    <d v="2025-01-09T00:00:00"/>
    <d v="2025-01-11T00:00:00"/>
    <s v="F"/>
    <s v="Website"/>
    <n v="3"/>
    <s v="California"/>
    <s v="Sonoma County"/>
    <x v="1"/>
    <n v="2"/>
    <e v="#NAME?"/>
  </r>
  <r>
    <s v="TX500216"/>
    <s v="Jeans"/>
    <n v="3"/>
    <n v="46.2"/>
    <n v="138.60000000000002"/>
    <d v="2025-01-09T00:00:00"/>
    <d v="2025-01-11T00:00:00"/>
    <s v="F"/>
    <s v="App"/>
    <n v="5"/>
    <s v="California"/>
    <s v="Sutter County"/>
    <x v="1"/>
    <n v="2"/>
    <e v="#NAME?"/>
  </r>
  <r>
    <s v="TX500217"/>
    <s v="Tank Tops"/>
    <n v="5"/>
    <n v="97.4"/>
    <n v="487"/>
    <d v="2025-01-09T00:00:00"/>
    <d v="2025-01-13T00:00:00"/>
    <s v="F"/>
    <s v="Partner App"/>
    <n v="5"/>
    <s v="California"/>
    <s v="Alameda County"/>
    <x v="5"/>
    <n v="2"/>
    <e v="#NAME?"/>
  </r>
  <r>
    <s v="TX500218"/>
    <s v="T-Shirts"/>
    <n v="5"/>
    <n v="21"/>
    <n v="105"/>
    <d v="2025-01-09T00:00:00"/>
    <d v="2025-01-10T00:00:00"/>
    <s v="M"/>
    <s v="App"/>
    <n v="3"/>
    <s v="California"/>
    <s v="Alameda County"/>
    <x v="3"/>
    <n v="2"/>
    <e v="#NAME?"/>
  </r>
  <r>
    <s v="TX500219"/>
    <s v="Sandals"/>
    <n v="2"/>
    <n v="32.700000000000003"/>
    <n v="65.400000000000006"/>
    <d v="2025-01-10T00:00:00"/>
    <d v="2025-01-13T00:00:00"/>
    <s v="F"/>
    <s v="Website"/>
    <n v="4"/>
    <s v="California"/>
    <s v="Fresno County"/>
    <x v="2"/>
    <n v="2"/>
    <e v="#NAME?"/>
  </r>
  <r>
    <s v="TX500220"/>
    <s v="Jeans"/>
    <n v="4"/>
    <n v="48"/>
    <n v="192"/>
    <d v="2025-01-10T00:00:00"/>
    <d v="2025-01-11T00:00:00"/>
    <s v="M"/>
    <s v="Instagram"/>
    <n v="4"/>
    <s v="California"/>
    <s v="Los Angeles County"/>
    <x v="3"/>
    <n v="2"/>
    <e v="#NAME?"/>
  </r>
  <r>
    <s v="TX500221"/>
    <s v="Jeans"/>
    <n v="3"/>
    <n v="68.2"/>
    <n v="204.60000000000002"/>
    <d v="2025-01-10T00:00:00"/>
    <d v="2025-01-14T00:00:00"/>
    <s v=""/>
    <s v="App"/>
    <n v="5"/>
    <s v="California"/>
    <s v="Los Angeles County"/>
    <x v="5"/>
    <n v="2"/>
    <e v="#NAME?"/>
  </r>
  <r>
    <s v="TX500222"/>
    <s v="Sandals"/>
    <n v="1"/>
    <n v="45.4"/>
    <n v="45.4"/>
    <d v="2025-01-10T00:00:00"/>
    <d v="2025-01-12T00:00:00"/>
    <s v="M"/>
    <s v="Website"/>
    <n v="4"/>
    <s v="California"/>
    <s v="Los Angeles County"/>
    <x v="1"/>
    <n v="2"/>
    <e v="#NAME?"/>
  </r>
  <r>
    <s v="TX500223"/>
    <s v="Casual Dresses"/>
    <n v="2"/>
    <n v="53.9"/>
    <n v="107.8"/>
    <d v="2025-01-10T00:00:00"/>
    <d v="2025-01-11T00:00:00"/>
    <s v="F"/>
    <s v="Target.com"/>
    <n v="4"/>
    <s v="California"/>
    <s v="Los Angeles County"/>
    <x v="3"/>
    <n v="2"/>
    <e v="#NAME?"/>
  </r>
  <r>
    <s v="TX500224"/>
    <s v="Sneakers"/>
    <n v="4"/>
    <n v="62.1"/>
    <n v="248.4"/>
    <d v="2025-01-10T00:00:00"/>
    <d v="2025-01-14T00:00:00"/>
    <s v="F"/>
    <s v="App"/>
    <n v="4"/>
    <s v="California"/>
    <s v="Nevada County"/>
    <x v="5"/>
    <n v="2"/>
    <e v="#NAME?"/>
  </r>
  <r>
    <s v="TX500225"/>
    <s v="Tote Bags"/>
    <n v="7"/>
    <n v="33.1"/>
    <n v="231.70000000000002"/>
    <d v="2025-01-10T00:00:00"/>
    <d v="2025-01-15T00:00:00"/>
    <s v="M"/>
    <s v="Website"/>
    <n v="4"/>
    <s v="California"/>
    <s v="Sacramento County"/>
    <x v="0"/>
    <n v="2"/>
    <e v="#NAME?"/>
  </r>
  <r>
    <s v="TX500226"/>
    <s v="Leggings"/>
    <n v="5"/>
    <n v="35.200000000000003"/>
    <n v="176"/>
    <d v="2025-01-10T00:00:00"/>
    <d v="2025-01-10T00:00:00"/>
    <s v="F"/>
    <s v="Website"/>
    <n v="4"/>
    <s v="California"/>
    <s v="Sacramento County"/>
    <x v="7"/>
    <n v="2"/>
    <e v="#NAME?"/>
  </r>
  <r>
    <s v="TX500227"/>
    <s v="Sundresses"/>
    <n v="3"/>
    <n v="32.1"/>
    <n v="96.300000000000011"/>
    <d v="2025-01-10T00:00:00"/>
    <d v="2025-01-15T00:00:00"/>
    <s v="M"/>
    <s v="Instagram"/>
    <n v="4"/>
    <s v="California"/>
    <s v="San Diego County"/>
    <x v="0"/>
    <n v="2"/>
    <e v="#NAME?"/>
  </r>
  <r>
    <s v="TX500228"/>
    <s v="Maxi Dresses"/>
    <n v="1"/>
    <n v="38.1"/>
    <n v="38.1"/>
    <d v="2025-01-10T00:00:00"/>
    <d v="2025-01-15T00:00:00"/>
    <s v="F"/>
    <s v="App"/>
    <n v="5"/>
    <s v="California"/>
    <s v="San Diego County"/>
    <x v="0"/>
    <n v="2"/>
    <e v="#NAME?"/>
  </r>
  <r>
    <s v="TX500229"/>
    <s v="T-Shirts"/>
    <n v="1"/>
    <n v="65.2"/>
    <n v="65.2"/>
    <d v="2025-01-10T00:00:00"/>
    <d v="2025-01-15T00:00:00"/>
    <s v="F"/>
    <s v="Instagram"/>
    <n v="3"/>
    <s v="California"/>
    <s v="San Diego County"/>
    <x v="0"/>
    <n v="2"/>
    <e v="#NAME?"/>
  </r>
  <r>
    <s v="TX500230"/>
    <s v="Bikinis"/>
    <n v="7"/>
    <n v="55.2"/>
    <n v="386.40000000000003"/>
    <d v="2025-01-10T00:00:00"/>
    <d v="2025-01-11T00:00:00"/>
    <s v="M"/>
    <s v="Target.com"/>
    <n v="4"/>
    <s v="California"/>
    <s v="Santa Clara County"/>
    <x v="3"/>
    <n v="2"/>
    <e v="#NAME?"/>
  </r>
  <r>
    <s v="TX500231"/>
    <s v="Jeans"/>
    <n v="1"/>
    <n v="62"/>
    <n v="62"/>
    <d v="2025-01-10T00:00:00"/>
    <d v="2025-01-14T00:00:00"/>
    <s v="F"/>
    <s v="App"/>
    <n v="4"/>
    <s v="California"/>
    <s v="Santa Clara County"/>
    <x v="5"/>
    <n v="2"/>
    <e v="#NAME?"/>
  </r>
  <r>
    <s v="TX500232"/>
    <s v="Hoodies &amp; Sweatshirts"/>
    <n v="3"/>
    <n v="45.9"/>
    <n v="137.69999999999999"/>
    <d v="2025-01-10T00:00:00"/>
    <d v="2025-01-11T00:00:00"/>
    <s v="F"/>
    <s v="Target.com"/>
    <n v="4"/>
    <s v="California"/>
    <s v="Santa Cruz County"/>
    <x v="3"/>
    <n v="2"/>
    <e v="#NAME?"/>
  </r>
  <r>
    <s v="TX500233"/>
    <s v="Leggings"/>
    <n v="3"/>
    <n v="58.3"/>
    <n v="174.89999999999998"/>
    <d v="2025-01-10T00:00:00"/>
    <d v="2025-01-10T00:00:00"/>
    <s v="M"/>
    <s v="Website"/>
    <n v="3"/>
    <s v="California"/>
    <s v="Sonoma County"/>
    <x v="7"/>
    <n v="2"/>
    <e v="#NAME?"/>
  </r>
  <r>
    <s v="TX500234"/>
    <s v="T-Shirts"/>
    <n v="2"/>
    <n v="22.3"/>
    <n v="44.6"/>
    <d v="2025-01-10T00:00:00"/>
    <d v="2025-01-13T00:00:00"/>
    <s v="F"/>
    <s v="App"/>
    <n v="5"/>
    <s v="California"/>
    <s v="Tulare County"/>
    <x v="2"/>
    <n v="2"/>
    <e v="#NAME?"/>
  </r>
  <r>
    <s v="TX500235"/>
    <s v="Jewelry"/>
    <n v="5"/>
    <n v="24"/>
    <n v="120"/>
    <d v="2025-01-10T00:00:00"/>
    <d v="2025-01-11T00:00:00"/>
    <s v="M"/>
    <s v="Partner App"/>
    <n v="4"/>
    <s v="California"/>
    <s v="Contra Costa County"/>
    <x v="3"/>
    <n v="2"/>
    <e v="#NAME?"/>
  </r>
  <r>
    <s v="TX500236"/>
    <s v="Shorts"/>
    <n v="10"/>
    <n v="21.3"/>
    <n v="213"/>
    <d v="2025-01-10T00:00:00"/>
    <d v="2025-01-10T00:00:00"/>
    <s v="F"/>
    <s v="Website"/>
    <n v="5"/>
    <s v="California"/>
    <s v="Kern County"/>
    <x v="7"/>
    <n v="2"/>
    <e v="#NAME?"/>
  </r>
  <r>
    <s v="TX500237"/>
    <s v="Jeans"/>
    <n v="41"/>
    <n v="57.8"/>
    <n v="2369.7999999999997"/>
    <d v="2025-01-10T00:00:00"/>
    <d v="2025-01-12T00:00:00"/>
    <s v="F"/>
    <s v="App"/>
    <n v="5"/>
    <s v="California"/>
    <s v="Los Angeles County"/>
    <x v="1"/>
    <n v="2"/>
    <e v="#NAME?"/>
  </r>
  <r>
    <s v="TX500238"/>
    <s v="Bikinis"/>
    <n v="3"/>
    <n v="67.599999999999994"/>
    <n v="202.79999999999998"/>
    <d v="2025-01-10T00:00:00"/>
    <d v="2025-01-11T00:00:00"/>
    <s v="F"/>
    <s v="App"/>
    <n v="4"/>
    <s v="California"/>
    <s v="Los Angeles County"/>
    <x v="3"/>
    <n v="2"/>
    <e v="#NAME?"/>
  </r>
  <r>
    <s v="TX500239"/>
    <s v="Jeans"/>
    <n v="6"/>
    <n v="66.7"/>
    <n v="400.20000000000005"/>
    <d v="2025-01-10T00:00:00"/>
    <d v="2025-01-14T00:00:00"/>
    <s v="M"/>
    <s v="Partner App"/>
    <n v="3"/>
    <s v="California"/>
    <s v="Los Angeles County"/>
    <x v="5"/>
    <n v="2"/>
    <e v="#NAME?"/>
  </r>
  <r>
    <s v="TX500240"/>
    <s v="Tank Tops"/>
    <n v="4"/>
    <n v="53.1"/>
    <n v="212.4"/>
    <d v="2025-01-10T00:00:00"/>
    <d v="2025-01-12T00:00:00"/>
    <s v="F"/>
    <s v="Website"/>
    <n v="4"/>
    <s v="California"/>
    <s v="Los Angeles County"/>
    <x v="1"/>
    <n v="2"/>
    <e v="#NAME?"/>
  </r>
  <r>
    <s v="TX500241"/>
    <s v="Casual Dresses"/>
    <n v="3"/>
    <n v="57.4"/>
    <n v="172.2"/>
    <d v="2025-01-10T00:00:00"/>
    <d v="2025-01-13T00:00:00"/>
    <s v="F"/>
    <s v="App"/>
    <n v="5"/>
    <s v="California"/>
    <s v="Mendocino County"/>
    <x v="2"/>
    <n v="2"/>
    <e v="#NAME?"/>
  </r>
  <r>
    <s v="TX500242"/>
    <s v="Sneakers"/>
    <n v="5"/>
    <n v="58.1"/>
    <n v="290.5"/>
    <d v="2025-01-10T00:00:00"/>
    <d v="2025-01-10T00:00:00"/>
    <s v="M"/>
    <s v="Target.com"/>
    <n v="5"/>
    <s v="California"/>
    <s v="Sacramento County"/>
    <x v="7"/>
    <n v="2"/>
    <e v="#NAME?"/>
  </r>
  <r>
    <s v="TX500243"/>
    <s v="Sandals"/>
    <n v="3"/>
    <n v="31.8"/>
    <n v="95.4"/>
    <d v="2025-01-11T00:00:00"/>
    <d v="2025-01-13T00:00:00"/>
    <s v="M"/>
    <s v="Instagram"/>
    <n v="4"/>
    <s v="California"/>
    <s v="Sacramento County"/>
    <x v="1"/>
    <n v="2"/>
    <e v="#NAME?"/>
  </r>
  <r>
    <s v="TX500244"/>
    <s v="Graphic Tees"/>
    <n v="3"/>
    <n v="31.5"/>
    <n v="94.5"/>
    <d v="2025-01-11T00:00:00"/>
    <d v="2025-01-14T00:00:00"/>
    <s v="M"/>
    <s v="App"/>
    <n v="3"/>
    <s v="California"/>
    <s v="San Diego County"/>
    <x v="2"/>
    <n v="2"/>
    <e v="#NAME?"/>
  </r>
  <r>
    <s v="TX500245"/>
    <s v="Jeans"/>
    <n v="7"/>
    <n v="55.9"/>
    <n v="391.3"/>
    <d v="2025-01-11T00:00:00"/>
    <d v="2025-01-15T00:00:00"/>
    <s v="F"/>
    <s v="Website"/>
    <n v="5"/>
    <s v="California"/>
    <s v="San Diego County"/>
    <x v="5"/>
    <n v="2"/>
    <e v="#NAME?"/>
  </r>
  <r>
    <s v="TX500246"/>
    <s v="T-Shirts"/>
    <n v="2"/>
    <n v="36.4"/>
    <n v="72.8"/>
    <d v="2025-01-11T00:00:00"/>
    <d v="2025-01-12T00:00:00"/>
    <s v="M"/>
    <s v="Website"/>
    <n v="3"/>
    <s v="California"/>
    <s v="San Mateo County"/>
    <x v="3"/>
    <n v="2"/>
    <e v="#NAME?"/>
  </r>
  <r>
    <s v="TX500247"/>
    <s v="Tank Tops"/>
    <n v="5"/>
    <n v="47.3"/>
    <n v="236.5"/>
    <d v="2025-01-11T00:00:00"/>
    <d v="2025-01-14T00:00:00"/>
    <s v="M"/>
    <s v="Target.com"/>
    <n v="4"/>
    <s v="California"/>
    <s v="Santa Barbara County"/>
    <x v="2"/>
    <n v="2"/>
    <e v="#NAME?"/>
  </r>
  <r>
    <s v="TX500248"/>
    <s v="Jeans"/>
    <n v="3"/>
    <n v="82.5"/>
    <n v="247.5"/>
    <d v="2025-01-11T00:00:00"/>
    <d v="2025-01-12T00:00:00"/>
    <s v="M"/>
    <s v="App"/>
    <n v="4"/>
    <s v="California"/>
    <s v="Santa Clara County"/>
    <x v="3"/>
    <n v="2"/>
    <e v="#NAME?"/>
  </r>
  <r>
    <s v="TX500249"/>
    <s v="Shorts"/>
    <n v="1"/>
    <n v="14.3"/>
    <n v="14.3"/>
    <d v="2025-01-11T00:00:00"/>
    <d v="2025-01-12T00:00:00"/>
    <s v="F"/>
    <s v="App"/>
    <n v="4"/>
    <s v="California"/>
    <s v="Alameda County"/>
    <x v="3"/>
    <n v="2"/>
    <e v="#NAME?"/>
  </r>
  <r>
    <s v="TX500250"/>
    <s v="Sneakers"/>
    <n v="6"/>
    <n v="57.6"/>
    <n v="345.6"/>
    <d v="2025-01-11T00:00:00"/>
    <d v="2025-01-25T00:00:00"/>
    <s v="F"/>
    <s v="App"/>
    <n v="4"/>
    <s v="California"/>
    <s v="Alameda County"/>
    <x v="12"/>
    <n v="2"/>
    <e v="#NAME?"/>
  </r>
  <r>
    <s v="TX500251"/>
    <s v="Sneakers"/>
    <n v="3"/>
    <n v="142.4"/>
    <n v="427.20000000000005"/>
    <d v="2025-01-11T00:00:00"/>
    <d v="2025-01-13T00:00:00"/>
    <s v="M"/>
    <s v="Partner App"/>
    <n v="3"/>
    <s v="California"/>
    <s v="Alameda County"/>
    <x v="1"/>
    <n v="2"/>
    <e v="#NAME?"/>
  </r>
  <r>
    <s v="TX500252"/>
    <s v="Casual Dresses"/>
    <n v="1"/>
    <n v="30.2"/>
    <n v="30.2"/>
    <d v="2025-01-11T00:00:00"/>
    <d v="2025-01-15T00:00:00"/>
    <s v="M"/>
    <s v="Website"/>
    <n v="5"/>
    <s v="California"/>
    <s v="Fresno County"/>
    <x v="5"/>
    <n v="2"/>
    <e v="#NAME?"/>
  </r>
  <r>
    <s v="TX500253"/>
    <s v="Leggings"/>
    <n v="3"/>
    <n v="65.3"/>
    <n v="195.89999999999998"/>
    <d v="2025-01-11T00:00:00"/>
    <d v="2025-01-12T00:00:00"/>
    <s v="O"/>
    <s v="Website"/>
    <n v="4"/>
    <s v="California"/>
    <s v="Imperial County"/>
    <x v="3"/>
    <n v="2"/>
    <e v="#NAME?"/>
  </r>
  <r>
    <s v="TX500254"/>
    <s v="Shorts"/>
    <n v="2"/>
    <n v="33.4"/>
    <n v="66.8"/>
    <d v="2025-01-11T00:00:00"/>
    <d v="2025-01-12T00:00:00"/>
    <s v="M"/>
    <s v="Website"/>
    <n v="3"/>
    <s v="California"/>
    <s v="Kern County"/>
    <x v="3"/>
    <n v="2"/>
    <e v="#NAME?"/>
  </r>
  <r>
    <s v="TX500255"/>
    <s v="Hoodies &amp; Sweatshirts"/>
    <n v="2"/>
    <n v="45.1"/>
    <n v="90.2"/>
    <d v="2025-01-11T00:00:00"/>
    <d v="2025-01-19T00:00:00"/>
    <s v="M"/>
    <s v="App"/>
    <n v="4"/>
    <s v="California"/>
    <s v="Kings County"/>
    <x v="9"/>
    <n v="2"/>
    <e v="#NAME?"/>
  </r>
  <r>
    <s v="TX500256"/>
    <s v="Sneakers"/>
    <n v="7"/>
    <n v="61.7"/>
    <n v="431.90000000000003"/>
    <d v="2025-01-11T00:00:00"/>
    <d v="2025-01-13T00:00:00"/>
    <s v="F"/>
    <s v="Partner App"/>
    <n v="4"/>
    <s v="California"/>
    <s v="Los Angeles County"/>
    <x v="1"/>
    <n v="2"/>
    <e v="#NAME?"/>
  </r>
  <r>
    <s v="TX500257"/>
    <s v="Sundresses"/>
    <n v="3"/>
    <n v="45.1"/>
    <n v="135.30000000000001"/>
    <d v="2025-01-12T00:00:00"/>
    <d v="2025-01-13T00:00:00"/>
    <s v="M"/>
    <s v="Partner App"/>
    <n v="3"/>
    <s v="California"/>
    <s v="Los Angeles County"/>
    <x v="3"/>
    <n v="3"/>
    <e v="#NAME?"/>
  </r>
  <r>
    <s v="TX500258"/>
    <s v="Crop Tops"/>
    <n v="5"/>
    <n v="22.7"/>
    <n v="113.5"/>
    <d v="2025-01-12T00:00:00"/>
    <d v="2025-01-17T00:00:00"/>
    <s v="M"/>
    <s v="App"/>
    <n v="5"/>
    <s v="California"/>
    <s v="Plumas County"/>
    <x v="0"/>
    <n v="3"/>
    <e v="#NAME?"/>
  </r>
  <r>
    <s v="TX500259"/>
    <s v="T-Shirts"/>
    <n v="1"/>
    <n v="17.600000000000001"/>
    <n v="17.600000000000001"/>
    <d v="2025-01-12T00:00:00"/>
    <d v="2025-01-13T00:00:00"/>
    <s v="F"/>
    <s v="App"/>
    <n v="5"/>
    <s v="California"/>
    <s v="Riverside County"/>
    <x v="3"/>
    <n v="3"/>
    <e v="#NAME?"/>
  </r>
  <r>
    <s v="TX500260"/>
    <s v="Baseball Caps"/>
    <n v="2"/>
    <n v="11.3"/>
    <n v="22.6"/>
    <d v="2025-01-12T00:00:00"/>
    <d v="2025-01-15T00:00:00"/>
    <s v="F"/>
    <s v="Instagram"/>
    <n v="5"/>
    <s v="California"/>
    <s v="Riverside County"/>
    <x v="2"/>
    <n v="3"/>
    <e v="#NAME?"/>
  </r>
  <r>
    <s v="TX500261"/>
    <s v="Jeans"/>
    <n v="3"/>
    <n v="53.4"/>
    <n v="160.19999999999999"/>
    <d v="2025-01-12T00:00:00"/>
    <d v="2025-01-15T00:00:00"/>
    <s v="M"/>
    <s v="Instagram"/>
    <n v="5"/>
    <s v="California"/>
    <s v="San Benito County"/>
    <x v="2"/>
    <n v="3"/>
    <e v="#NAME?"/>
  </r>
  <r>
    <s v="TX500262"/>
    <s v="Jeans"/>
    <n v="11"/>
    <n v="51.1"/>
    <n v="562.1"/>
    <d v="2025-01-12T00:00:00"/>
    <d v="2025-01-14T00:00:00"/>
    <s v="F"/>
    <s v="Target.com"/>
    <n v="5"/>
    <s v="California"/>
    <s v="San Diego County"/>
    <x v="1"/>
    <n v="3"/>
    <e v="#NAME?"/>
  </r>
  <r>
    <s v="TX500263"/>
    <s v="T-Shirts"/>
    <n v="2"/>
    <n v="27.5"/>
    <n v="55"/>
    <d v="2025-01-12T00:00:00"/>
    <d v="2025-01-13T00:00:00"/>
    <s v="M"/>
    <s v="Partner App"/>
    <n v="3"/>
    <s v="California"/>
    <s v="San Diego County"/>
    <x v="3"/>
    <n v="3"/>
    <e v="#NAME?"/>
  </r>
  <r>
    <s v="TX500264"/>
    <s v="Sundresses"/>
    <n v="1"/>
    <n v="33.5"/>
    <n v="33.5"/>
    <d v="2025-01-12T00:00:00"/>
    <d v="2025-01-14T00:00:00"/>
    <s v="F"/>
    <s v="App"/>
    <n v="2"/>
    <s v="California"/>
    <s v="San Diego County"/>
    <x v="1"/>
    <n v="3"/>
    <e v="#NAME?"/>
  </r>
  <r>
    <s v="TX500265"/>
    <s v="Graphic Tees"/>
    <n v="1"/>
    <n v="59.5"/>
    <n v="59.5"/>
    <d v="2025-01-12T00:00:00"/>
    <d v="2025-01-12T00:00:00"/>
    <s v="M"/>
    <s v="App"/>
    <n v="5"/>
    <s v="California"/>
    <s v="Sonoma County"/>
    <x v="7"/>
    <n v="3"/>
    <e v="#NAME?"/>
  </r>
  <r>
    <s v="TX500266"/>
    <s v="Pajama Sets"/>
    <n v="4"/>
    <n v="23.5"/>
    <n v="94"/>
    <d v="2025-01-12T00:00:00"/>
    <d v="2025-01-13T00:00:00"/>
    <s v="F"/>
    <s v="Instagram"/>
    <n v="1"/>
    <s v="California"/>
    <s v="Stanislaus County"/>
    <x v="3"/>
    <n v="3"/>
    <e v="#NAME?"/>
  </r>
  <r>
    <s v="TX500267"/>
    <s v="Jeans"/>
    <n v="1"/>
    <n v="49.7"/>
    <n v="49.7"/>
    <d v="2025-01-12T00:00:00"/>
    <d v="2025-01-13T00:00:00"/>
    <s v=""/>
    <s v="Website"/>
    <n v="5"/>
    <s v="California"/>
    <s v="Tulare County"/>
    <x v="3"/>
    <n v="3"/>
    <e v="#NAME?"/>
  </r>
  <r>
    <s v="TX500268"/>
    <s v="Jeans"/>
    <n v="4"/>
    <n v="44.2"/>
    <n v="176.8"/>
    <d v="2025-01-12T00:00:00"/>
    <d v="2025-01-15T00:00:00"/>
    <s v="F"/>
    <s v="App"/>
    <n v="5"/>
    <s v="California"/>
    <s v="Alameda County"/>
    <x v="2"/>
    <n v="3"/>
    <e v="#NAME?"/>
  </r>
  <r>
    <s v="TX500269"/>
    <s v="T-Shirts"/>
    <n v="1"/>
    <n v="22.1"/>
    <n v="22.1"/>
    <d v="2025-01-12T00:00:00"/>
    <d v="2025-01-16T00:00:00"/>
    <s v="F"/>
    <s v="Website"/>
    <n v="3"/>
    <s v="California"/>
    <s v="Imperial County"/>
    <x v="5"/>
    <n v="3"/>
    <e v="#NAME?"/>
  </r>
  <r>
    <s v="TX500270"/>
    <s v="Jeans"/>
    <n v="3"/>
    <n v="90.9"/>
    <n v="272.70000000000005"/>
    <d v="2025-01-12T00:00:00"/>
    <d v="2025-01-13T00:00:00"/>
    <s v="F"/>
    <s v="Target.com"/>
    <n v="2"/>
    <s v="California"/>
    <s v="Los Angeles County"/>
    <x v="3"/>
    <n v="3"/>
    <e v="#NAME?"/>
  </r>
  <r>
    <s v="TX500271"/>
    <s v="T-Shirts"/>
    <n v="3"/>
    <n v="44.5"/>
    <n v="133.5"/>
    <d v="2025-01-12T00:00:00"/>
    <d v="2025-01-13T00:00:00"/>
    <s v="F"/>
    <s v="Website"/>
    <n v="4"/>
    <s v="California"/>
    <s v="Los Angeles County"/>
    <x v="3"/>
    <n v="3"/>
    <e v="#NAME?"/>
  </r>
  <r>
    <s v="TX500272"/>
    <s v="Sundresses"/>
    <n v="6"/>
    <n v="32.299999999999997"/>
    <n v="193.79999999999998"/>
    <d v="2025-01-12T00:00:00"/>
    <d v="2025-01-16T00:00:00"/>
    <s v="F"/>
    <s v="App"/>
    <n v="4"/>
    <s v="California"/>
    <s v="Los Angeles County"/>
    <x v="5"/>
    <n v="3"/>
    <e v="#NAME?"/>
  </r>
  <r>
    <s v="TX500273"/>
    <s v="Pajama Sets"/>
    <n v="3"/>
    <n v="87.5"/>
    <n v="262.5"/>
    <d v="2025-01-12T00:00:00"/>
    <d v="2025-01-13T00:00:00"/>
    <s v="F"/>
    <s v="Website"/>
    <n v="3"/>
    <s v="California"/>
    <s v="Los Angeles County"/>
    <x v="3"/>
    <n v="3"/>
    <e v="#NAME?"/>
  </r>
  <r>
    <s v="TX500274"/>
    <s v="Sunglasses"/>
    <n v="5"/>
    <n v="48.7"/>
    <n v="243.5"/>
    <d v="2025-01-12T00:00:00"/>
    <d v="2025-01-13T00:00:00"/>
    <s v="M"/>
    <s v="Target.com"/>
    <n v="4"/>
    <s v="California"/>
    <s v="Los Angeles County"/>
    <x v="3"/>
    <n v="3"/>
    <e v="#NAME?"/>
  </r>
  <r>
    <s v="TX500275"/>
    <s v="Shorts"/>
    <n v="5"/>
    <n v="22.5"/>
    <n v="112.5"/>
    <d v="2025-01-12T00:00:00"/>
    <d v="2025-01-13T00:00:00"/>
    <s v="M"/>
    <s v="App"/>
    <n v="4"/>
    <s v="California"/>
    <s v="Los Angeles County"/>
    <x v="3"/>
    <n v="3"/>
    <e v="#NAME?"/>
  </r>
  <r>
    <s v="TX500276"/>
    <s v="Tank Tops"/>
    <n v="8"/>
    <n v="65.900000000000006"/>
    <n v="527.20000000000005"/>
    <d v="2025-01-12T00:00:00"/>
    <d v="2025-01-15T00:00:00"/>
    <s v="F"/>
    <s v="Website"/>
    <n v="5"/>
    <s v="California"/>
    <s v="Los Angeles County"/>
    <x v="2"/>
    <n v="3"/>
    <e v="#NAME?"/>
  </r>
  <r>
    <s v="TX500277"/>
    <s v="Jeans"/>
    <n v="5"/>
    <n v="41.9"/>
    <n v="209.5"/>
    <d v="2025-01-12T00:00:00"/>
    <d v="2025-01-19T00:00:00"/>
    <s v=""/>
    <s v="App"/>
    <n v="4"/>
    <s v="California"/>
    <s v="Los Angeles County"/>
    <x v="6"/>
    <n v="3"/>
    <e v="#NAME?"/>
  </r>
  <r>
    <s v="TX500278"/>
    <s v="Tank Tops"/>
    <n v="5"/>
    <n v="67.5"/>
    <n v="337.5"/>
    <d v="2025-01-12T00:00:00"/>
    <d v="2025-01-13T00:00:00"/>
    <s v="F"/>
    <s v="App"/>
    <n v="5"/>
    <s v="California"/>
    <s v="Los Angeles County"/>
    <x v="3"/>
    <n v="3"/>
    <e v="#NAME?"/>
  </r>
  <r>
    <s v="TX500279"/>
    <s v="Sundresses"/>
    <n v="1"/>
    <n v="60.4"/>
    <n v="60.4"/>
    <d v="2025-01-13T00:00:00"/>
    <d v="2025-01-15T00:00:00"/>
    <s v="F"/>
    <s v="Website"/>
    <n v="3"/>
    <s v="California"/>
    <s v="Los Angeles County"/>
    <x v="1"/>
    <n v="3"/>
    <e v="#NAME?"/>
  </r>
  <r>
    <s v="TX500280"/>
    <s v="Tank Tops"/>
    <n v="7"/>
    <n v="30.4"/>
    <n v="212.79999999999998"/>
    <d v="2025-01-13T00:00:00"/>
    <d v="2025-01-16T00:00:00"/>
    <s v="F"/>
    <s v="Partner App"/>
    <n v="4"/>
    <s v="California"/>
    <s v="Los Angeles County"/>
    <x v="2"/>
    <n v="3"/>
    <e v="#NAME?"/>
  </r>
  <r>
    <s v="TX500281"/>
    <s v="Baseball Caps"/>
    <n v="2"/>
    <n v="24.5"/>
    <n v="49"/>
    <d v="2025-01-13T00:00:00"/>
    <d v="2025-01-14T00:00:00"/>
    <s v="M"/>
    <s v="Instagram"/>
    <n v="5"/>
    <s v="California"/>
    <s v="Los Angeles County"/>
    <x v="3"/>
    <n v="3"/>
    <e v="#NAME?"/>
  </r>
  <r>
    <s v="TX500282"/>
    <s v="Sneakers"/>
    <n v="3"/>
    <n v="105.9"/>
    <n v="317.70000000000005"/>
    <d v="2025-01-13T00:00:00"/>
    <d v="2025-01-18T00:00:00"/>
    <s v="M"/>
    <s v="App"/>
    <n v="4"/>
    <s v="California"/>
    <s v="Madera County"/>
    <x v="0"/>
    <n v="3"/>
    <e v="#NAME?"/>
  </r>
  <r>
    <s v="TX500283"/>
    <s v="Bikinis"/>
    <n v="24"/>
    <n v="25.9"/>
    <n v="621.59999999999991"/>
    <d v="2025-01-13T00:00:00"/>
    <d v="2025-01-14T00:00:00"/>
    <s v="F"/>
    <s v="Partner App"/>
    <n v="4"/>
    <s v="California"/>
    <s v="Riverside County"/>
    <x v="3"/>
    <n v="3"/>
    <e v="#NAME?"/>
  </r>
  <r>
    <s v="TX500284"/>
    <s v="Jeans"/>
    <n v="3"/>
    <n v="66.8"/>
    <n v="200.39999999999998"/>
    <d v="2025-01-13T00:00:00"/>
    <d v="2025-01-13T00:00:00"/>
    <s v="M"/>
    <s v="App"/>
    <n v="4"/>
    <s v="California"/>
    <s v="Riverside County"/>
    <x v="7"/>
    <n v="3"/>
    <e v="#NAME?"/>
  </r>
  <r>
    <s v="TX500285"/>
    <s v="Jeans"/>
    <n v="3"/>
    <n v="112.3"/>
    <n v="336.9"/>
    <d v="2025-01-13T00:00:00"/>
    <d v="2025-01-14T00:00:00"/>
    <s v="M"/>
    <s v="Target.com"/>
    <n v="2"/>
    <s v="California"/>
    <s v="Sacramento County"/>
    <x v="3"/>
    <n v="3"/>
    <e v="#NAME?"/>
  </r>
  <r>
    <s v="TX500286"/>
    <s v="Tank Tops"/>
    <n v="6"/>
    <n v="94.1"/>
    <n v="564.59999999999991"/>
    <d v="2025-01-13T00:00:00"/>
    <d v="2025-01-14T00:00:00"/>
    <s v="F"/>
    <s v="App"/>
    <n v="2"/>
    <s v="California"/>
    <s v="Sacramento County"/>
    <x v="3"/>
    <n v="3"/>
    <e v="#NAME?"/>
  </r>
  <r>
    <s v="TX500287"/>
    <s v="Sandals"/>
    <n v="1"/>
    <n v="40.700000000000003"/>
    <n v="40.700000000000003"/>
    <d v="2025-01-13T00:00:00"/>
    <d v="2025-01-16T00:00:00"/>
    <s v="F"/>
    <s v="Target.com"/>
    <n v="4"/>
    <s v="California"/>
    <s v="Sacramento County"/>
    <x v="2"/>
    <n v="3"/>
    <e v="#NAME?"/>
  </r>
  <r>
    <s v="TX500288"/>
    <s v="Workout Tops"/>
    <n v="2"/>
    <n v="71.400000000000006"/>
    <n v="142.80000000000001"/>
    <d v="2025-01-13T00:00:00"/>
    <d v="2025-01-14T00:00:00"/>
    <s v="M"/>
    <s v="App"/>
    <n v="4"/>
    <s v="California"/>
    <s v="San Bernardino County"/>
    <x v="3"/>
    <n v="3"/>
    <e v="#NAME?"/>
  </r>
  <r>
    <s v="TX500289"/>
    <s v="Shorts"/>
    <n v="18"/>
    <n v="15.6"/>
    <n v="280.8"/>
    <d v="2025-01-13T00:00:00"/>
    <d v="2025-01-14T00:00:00"/>
    <s v="M"/>
    <s v="Website"/>
    <n v="1"/>
    <s v="California"/>
    <s v="San Diego County"/>
    <x v="3"/>
    <n v="3"/>
    <e v="#NAME?"/>
  </r>
  <r>
    <s v="TX500290"/>
    <s v="Bikinis"/>
    <n v="4"/>
    <n v="37.799999999999997"/>
    <n v="151.19999999999999"/>
    <d v="2025-01-13T00:00:00"/>
    <d v="2025-01-14T00:00:00"/>
    <s v="M"/>
    <s v="Target.com"/>
    <n v="5"/>
    <s v="California"/>
    <s v="San Diego County"/>
    <x v="3"/>
    <n v="3"/>
    <e v="#NAME?"/>
  </r>
  <r>
    <s v="TX500291"/>
    <s v="Graphic Tees"/>
    <n v="3"/>
    <n v="28.1"/>
    <n v="84.300000000000011"/>
    <d v="2025-01-13T00:00:00"/>
    <d v="2025-01-17T00:00:00"/>
    <s v="M"/>
    <s v="App"/>
    <n v="4"/>
    <s v="California"/>
    <s v="San Diego County"/>
    <x v="5"/>
    <n v="3"/>
    <e v="#NAME?"/>
  </r>
  <r>
    <s v="TX500292"/>
    <s v="Hoodies &amp; Sweatshirts"/>
    <n v="6"/>
    <n v="51.4"/>
    <n v="308.39999999999998"/>
    <d v="2025-01-13T00:00:00"/>
    <d v="2025-01-17T00:00:00"/>
    <s v="M"/>
    <s v="App"/>
    <n v="4"/>
    <s v="California"/>
    <s v="San Diego County"/>
    <x v="5"/>
    <n v="3"/>
    <e v="#NAME?"/>
  </r>
  <r>
    <s v="TX500293"/>
    <s v="Hoodies &amp; Sweatshirts"/>
    <n v="2"/>
    <n v="97.7"/>
    <n v="195.4"/>
    <d v="2025-01-13T00:00:00"/>
    <d v="2025-01-15T00:00:00"/>
    <s v="F"/>
    <s v="Partner App"/>
    <n v="5"/>
    <s v="California"/>
    <s v="San Francisco"/>
    <x v="1"/>
    <n v="3"/>
    <e v="#NAME?"/>
  </r>
  <r>
    <s v="TX500294"/>
    <s v="Tank Tops"/>
    <n v="4"/>
    <n v="63.8"/>
    <n v="255.2"/>
    <d v="2025-01-13T00:00:00"/>
    <d v="2025-01-14T00:00:00"/>
    <s v="M"/>
    <s v="Target.com"/>
    <n v="4"/>
    <s v="California"/>
    <s v="Solano County"/>
    <x v="3"/>
    <n v="3"/>
    <e v="#NAME?"/>
  </r>
  <r>
    <s v="TX500295"/>
    <s v="Tote Bags"/>
    <n v="2"/>
    <n v="20.100000000000001"/>
    <n v="40.200000000000003"/>
    <d v="2025-01-13T00:00:00"/>
    <d v="2025-01-15T00:00:00"/>
    <s v="M"/>
    <s v="App"/>
    <n v="5"/>
    <s v="California"/>
    <s v="Tulare County"/>
    <x v="1"/>
    <n v="3"/>
    <e v="#NAME?"/>
  </r>
  <r>
    <s v="TX500296"/>
    <s v="Maxi Dresses"/>
    <n v="3"/>
    <n v="50.4"/>
    <n v="151.19999999999999"/>
    <d v="2025-01-13T00:00:00"/>
    <d v="2025-01-16T00:00:00"/>
    <s v="F"/>
    <s v="Instagram"/>
    <n v="4"/>
    <s v="California"/>
    <s v="Ventura County"/>
    <x v="2"/>
    <n v="3"/>
    <e v="#NAME?"/>
  </r>
  <r>
    <s v="TX500297"/>
    <s v="Shorts"/>
    <n v="1"/>
    <n v="16.2"/>
    <n v="16.2"/>
    <d v="2025-01-13T00:00:00"/>
    <d v="2025-01-26T00:00:00"/>
    <s v="F"/>
    <s v="Website"/>
    <n v="4"/>
    <s v="California"/>
    <s v="Contra Costa County"/>
    <x v="10"/>
    <n v="3"/>
    <e v="#NAME?"/>
  </r>
  <r>
    <s v="TX500298"/>
    <s v="Jeans"/>
    <n v="7"/>
    <n v="80.900000000000006"/>
    <n v="566.30000000000007"/>
    <d v="2025-01-13T00:00:00"/>
    <d v="2025-01-15T00:00:00"/>
    <s v="M"/>
    <s v="Partner App"/>
    <n v="2"/>
    <s v="California"/>
    <s v="Fresno County"/>
    <x v="1"/>
    <n v="3"/>
    <e v="#NAME?"/>
  </r>
  <r>
    <s v="TX500299"/>
    <s v="Sundresses"/>
    <n v="6"/>
    <n v="95.2"/>
    <n v="571.20000000000005"/>
    <d v="2025-01-13T00:00:00"/>
    <d v="2025-01-15T00:00:00"/>
    <s v="F"/>
    <s v="App"/>
    <n v="5"/>
    <s v="California"/>
    <s v="Fresno County"/>
    <x v="1"/>
    <n v="3"/>
    <e v="#NAME?"/>
  </r>
  <r>
    <s v="TX500300"/>
    <s v="Sandals"/>
    <n v="8"/>
    <n v="70.400000000000006"/>
    <n v="563.20000000000005"/>
    <d v="2025-01-13T00:00:00"/>
    <d v="2025-01-14T00:00:00"/>
    <s v="M"/>
    <s v="Website"/>
    <n v="3"/>
    <s v="California"/>
    <s v="Los Angeles County"/>
    <x v="3"/>
    <n v="3"/>
    <e v="#NAME?"/>
  </r>
  <r>
    <s v="TX500301"/>
    <s v="Shorts"/>
    <n v="5"/>
    <n v="10.7"/>
    <n v="53.5"/>
    <d v="2025-01-13T00:00:00"/>
    <d v="2025-01-17T00:00:00"/>
    <s v="F"/>
    <s v="Target.com"/>
    <n v="4"/>
    <s v="California"/>
    <s v="Los Angeles County"/>
    <x v="5"/>
    <n v="3"/>
    <e v="#NAME?"/>
  </r>
  <r>
    <s v="TX500302"/>
    <s v="T-Shirts"/>
    <n v="5"/>
    <n v="19.600000000000001"/>
    <n v="98"/>
    <d v="2025-01-13T00:00:00"/>
    <d v="2025-01-15T00:00:00"/>
    <s v="F"/>
    <s v="App"/>
    <n v="1"/>
    <s v="California"/>
    <s v="Los Angeles County"/>
    <x v="1"/>
    <n v="3"/>
    <e v="#NAME?"/>
  </r>
  <r>
    <s v="TX500303"/>
    <s v="T-Shirts"/>
    <n v="11"/>
    <n v="34.700000000000003"/>
    <n v="381.70000000000005"/>
    <d v="2025-01-13T00:00:00"/>
    <d v="2025-01-15T00:00:00"/>
    <s v="F"/>
    <s v="App"/>
    <n v="5"/>
    <s v="California"/>
    <s v="Los Angeles County"/>
    <x v="1"/>
    <n v="3"/>
    <e v="#NAME?"/>
  </r>
  <r>
    <s v="TX500304"/>
    <s v="Bikinis"/>
    <n v="9"/>
    <n v="34.1"/>
    <n v="306.90000000000003"/>
    <d v="2025-01-13T00:00:00"/>
    <d v="2025-01-14T00:00:00"/>
    <s v="F"/>
    <s v="Partner App"/>
    <n v="3"/>
    <s v="California"/>
    <s v="Los Angeles County"/>
    <x v="3"/>
    <n v="3"/>
    <e v="#NAME?"/>
  </r>
  <r>
    <s v="TX500305"/>
    <s v="Shorts"/>
    <n v="49"/>
    <n v="29.3"/>
    <n v="1435.7"/>
    <d v="2025-01-13T00:00:00"/>
    <d v="2025-01-13T00:00:00"/>
    <s v="M"/>
    <s v="App"/>
    <n v="3"/>
    <s v="California"/>
    <s v="Los Angeles County"/>
    <x v="7"/>
    <n v="3"/>
    <e v="#NAME?"/>
  </r>
  <r>
    <s v="TX500306"/>
    <s v="Tank Tops"/>
    <n v="1"/>
    <n v="55.2"/>
    <n v="55.2"/>
    <d v="2025-01-13T00:00:00"/>
    <d v="2025-01-14T00:00:00"/>
    <s v="F"/>
    <s v="App"/>
    <n v="3"/>
    <s v="California"/>
    <s v="Los Angeles County"/>
    <x v="3"/>
    <n v="3"/>
    <e v="#NAME?"/>
  </r>
  <r>
    <s v="TX500307"/>
    <s v="Leggings"/>
    <n v="3"/>
    <n v="26"/>
    <n v="78"/>
    <d v="2025-01-13T00:00:00"/>
    <d v="2025-01-16T00:00:00"/>
    <s v="F"/>
    <s v="App"/>
    <n v="5"/>
    <s v="California"/>
    <s v="Los Angeles County"/>
    <x v="2"/>
    <n v="3"/>
    <e v="#NAME?"/>
  </r>
  <r>
    <s v="TX500308"/>
    <s v="Baseball Caps"/>
    <n v="2"/>
    <n v="14.2"/>
    <n v="28.4"/>
    <d v="2025-01-13T00:00:00"/>
    <d v="2025-01-18T00:00:00"/>
    <s v="F"/>
    <s v="Instagram"/>
    <n v="4"/>
    <s v="California"/>
    <s v="Modoc County"/>
    <x v="0"/>
    <n v="3"/>
    <e v="#NAME?"/>
  </r>
  <r>
    <s v="TX500309"/>
    <s v="T-Shirts"/>
    <n v="9"/>
    <n v="22.7"/>
    <n v="204.29999999999998"/>
    <d v="2025-01-14T00:00:00"/>
    <d v="2025-01-15T00:00:00"/>
    <s v="M"/>
    <s v="Website"/>
    <n v="4"/>
    <s v="California"/>
    <s v="Sacramento County"/>
    <x v="3"/>
    <n v="3"/>
    <e v="#NAME?"/>
  </r>
  <r>
    <s v="TX500310"/>
    <s v="Shorts"/>
    <n v="15"/>
    <n v="19.8"/>
    <n v="297"/>
    <d v="2025-01-14T00:00:00"/>
    <d v="2025-01-14T00:00:00"/>
    <s v="F"/>
    <s v="App"/>
    <n v="5"/>
    <s v="California"/>
    <s v="Sacramento County"/>
    <x v="7"/>
    <n v="3"/>
    <e v="#NAME?"/>
  </r>
  <r>
    <s v="TX500311"/>
    <s v="Shorts"/>
    <n v="3"/>
    <n v="31.7"/>
    <n v="95.1"/>
    <d v="2025-01-14T00:00:00"/>
    <d v="2025-01-15T00:00:00"/>
    <s v="M"/>
    <s v="Target.com"/>
    <n v="4"/>
    <s v="California"/>
    <s v="Sacramento County"/>
    <x v="3"/>
    <n v="3"/>
    <e v="#NAME?"/>
  </r>
  <r>
    <s v="TX500312"/>
    <s v="T-Shirts"/>
    <n v="4"/>
    <n v="30.4"/>
    <n v="121.6"/>
    <d v="2025-01-14T00:00:00"/>
    <d v="2025-01-18T00:00:00"/>
    <s v="M"/>
    <s v="App"/>
    <n v="4"/>
    <s v="California"/>
    <s v="Sacramento County"/>
    <x v="5"/>
    <n v="3"/>
    <e v="#NAME?"/>
  </r>
  <r>
    <s v="TX500313"/>
    <s v="Shorts"/>
    <n v="4"/>
    <n v="25.6"/>
    <n v="102.4"/>
    <d v="2025-01-14T00:00:00"/>
    <d v="2025-01-15T00:00:00"/>
    <s v="M"/>
    <s v="Instagram"/>
    <n v="4"/>
    <s v="California"/>
    <s v="San Diego County"/>
    <x v="3"/>
    <n v="3"/>
    <e v="#NAME?"/>
  </r>
  <r>
    <s v="TX500314"/>
    <s v="Sandals"/>
    <n v="2"/>
    <n v="34.9"/>
    <n v="69.8"/>
    <d v="2025-01-14T00:00:00"/>
    <d v="2025-01-15T00:00:00"/>
    <s v="F"/>
    <s v="Target.com"/>
    <n v="4"/>
    <s v="California"/>
    <s v="San Mateo County"/>
    <x v="3"/>
    <n v="3"/>
    <e v="#NAME?"/>
  </r>
  <r>
    <s v="TX500315"/>
    <s v="Hoodies &amp; Sweatshirts"/>
    <n v="6"/>
    <n v="42.7"/>
    <n v="256.20000000000005"/>
    <d v="2025-01-14T00:00:00"/>
    <d v="2025-01-17T00:00:00"/>
    <s v="M"/>
    <s v="Target.com"/>
    <n v="3"/>
    <s v="California"/>
    <s v="Santa Clara County"/>
    <x v="2"/>
    <n v="3"/>
    <e v="#NAME?"/>
  </r>
  <r>
    <s v="TX500316"/>
    <s v="T-Shirts"/>
    <n v="1"/>
    <n v="23.9"/>
    <n v="23.9"/>
    <d v="2025-01-14T00:00:00"/>
    <d v="2025-01-16T00:00:00"/>
    <s v="F"/>
    <s v="Instagram"/>
    <n v="4"/>
    <s v="California"/>
    <s v="Santa Clara County"/>
    <x v="1"/>
    <n v="3"/>
    <e v="#NAME?"/>
  </r>
  <r>
    <s v="TX500317"/>
    <s v="Jeans"/>
    <n v="1"/>
    <n v="124.3"/>
    <n v="124.3"/>
    <d v="2025-01-14T00:00:00"/>
    <d v="2025-01-15T00:00:00"/>
    <s v=""/>
    <s v="Target.com"/>
    <n v="3"/>
    <s v="California"/>
    <s v="Alameda County"/>
    <x v="3"/>
    <n v="3"/>
    <e v="#NAME?"/>
  </r>
  <r>
    <s v="TX500318"/>
    <s v="T-Shirts"/>
    <n v="6"/>
    <n v="35.9"/>
    <n v="215.39999999999998"/>
    <d v="2025-01-14T00:00:00"/>
    <d v="2025-01-15T00:00:00"/>
    <s v="F"/>
    <s v="App"/>
    <n v="3"/>
    <s v="California"/>
    <s v="Contra Costa County"/>
    <x v="3"/>
    <n v="3"/>
    <e v="#NAME?"/>
  </r>
  <r>
    <s v="TX500319"/>
    <s v="Sneakers"/>
    <n v="2"/>
    <n v="69.099999999999994"/>
    <n v="138.19999999999999"/>
    <d v="2025-01-14T00:00:00"/>
    <d v="2025-01-17T00:00:00"/>
    <s v="F"/>
    <s v="App"/>
    <n v="5"/>
    <s v="California"/>
    <s v="Kern County"/>
    <x v="2"/>
    <n v="3"/>
    <e v="#NAME?"/>
  </r>
  <r>
    <s v="TX500320"/>
    <s v="Hoodies &amp; Sweatshirts"/>
    <n v="1"/>
    <n v="58.4"/>
    <n v="58.4"/>
    <d v="2025-01-14T00:00:00"/>
    <d v="2025-01-18T00:00:00"/>
    <s v="M"/>
    <s v="App"/>
    <n v="4"/>
    <s v="California"/>
    <s v="Kern County"/>
    <x v="5"/>
    <n v="3"/>
    <e v="#NAME?"/>
  </r>
  <r>
    <s v="TX500321"/>
    <s v="Sandals"/>
    <n v="1"/>
    <n v="65.2"/>
    <n v="65.2"/>
    <d v="2025-01-14T00:00:00"/>
    <d v="2025-01-16T00:00:00"/>
    <s v="O"/>
    <s v="Partner App"/>
    <n v="2"/>
    <s v="California"/>
    <s v="Los Angeles County"/>
    <x v="1"/>
    <n v="3"/>
    <e v="#NAME?"/>
  </r>
  <r>
    <s v="TX500322"/>
    <s v="T-Shirts"/>
    <n v="17"/>
    <n v="32.700000000000003"/>
    <n v="555.90000000000009"/>
    <d v="2025-01-14T00:00:00"/>
    <d v="2025-01-21T00:00:00"/>
    <s v=""/>
    <s v="Partner App"/>
    <n v="4"/>
    <s v="California"/>
    <s v="Los Angeles County"/>
    <x v="6"/>
    <n v="3"/>
    <e v="#NAME?"/>
  </r>
  <r>
    <s v="TX500323"/>
    <s v="Bikinis"/>
    <n v="7"/>
    <n v="24.4"/>
    <n v="170.79999999999998"/>
    <d v="2025-01-14T00:00:00"/>
    <d v="2025-01-15T00:00:00"/>
    <s v="F"/>
    <s v="App"/>
    <n v="4"/>
    <s v="California"/>
    <s v="Los Angeles County"/>
    <x v="3"/>
    <n v="3"/>
    <e v="#NAME?"/>
  </r>
  <r>
    <s v="TX500324"/>
    <s v="Baseball Caps"/>
    <n v="2"/>
    <n v="50.4"/>
    <n v="100.8"/>
    <d v="2025-01-14T00:00:00"/>
    <d v="2025-01-20T00:00:00"/>
    <s v="M"/>
    <s v="App"/>
    <n v="3"/>
    <s v="California"/>
    <s v="Los Angeles County"/>
    <x v="4"/>
    <n v="3"/>
    <e v="#NAME?"/>
  </r>
  <r>
    <s v="TX500325"/>
    <s v="Tank Tops"/>
    <n v="2"/>
    <n v="100"/>
    <n v="200"/>
    <d v="2025-01-14T00:00:00"/>
    <d v="2025-01-15T00:00:00"/>
    <s v="F"/>
    <s v="App"/>
    <n v="4"/>
    <s v="California"/>
    <s v="Los Angeles County"/>
    <x v="3"/>
    <n v="3"/>
    <e v="#NAME?"/>
  </r>
  <r>
    <s v="TX500326"/>
    <s v="Bikinis"/>
    <n v="3"/>
    <n v="43"/>
    <n v="129"/>
    <d v="2025-01-15T00:00:00"/>
    <d v="2025-01-15T00:00:00"/>
    <s v="F"/>
    <s v="Target.com"/>
    <n v="3"/>
    <s v="California"/>
    <s v="Los Angeles County"/>
    <x v="7"/>
    <n v="3"/>
    <e v="#NAME?"/>
  </r>
  <r>
    <s v="TX500327"/>
    <s v="Tank Tops"/>
    <n v="5"/>
    <n v="64.400000000000006"/>
    <n v="322"/>
    <d v="2025-01-15T00:00:00"/>
    <d v="2025-01-17T00:00:00"/>
    <s v="M"/>
    <s v="Target.com"/>
    <n v="3"/>
    <s v="California"/>
    <s v="Los Angeles County"/>
    <x v="1"/>
    <n v="3"/>
    <e v="#NAME?"/>
  </r>
  <r>
    <s v="TX500328"/>
    <s v="Leggings"/>
    <n v="2"/>
    <n v="57.4"/>
    <n v="114.8"/>
    <d v="2025-01-15T00:00:00"/>
    <d v="2025-01-16T00:00:00"/>
    <s v="M"/>
    <s v="Target.com"/>
    <n v="3"/>
    <s v="California"/>
    <s v="Los Angeles County"/>
    <x v="3"/>
    <n v="3"/>
    <e v="#NAME?"/>
  </r>
  <r>
    <s v="TX500329"/>
    <s v="Sneakers"/>
    <n v="3"/>
    <n v="55.1"/>
    <n v="165.3"/>
    <d v="2025-01-15T00:00:00"/>
    <d v="2025-01-18T00:00:00"/>
    <s v="F"/>
    <s v="Website"/>
    <n v="4"/>
    <s v="California"/>
    <s v="Los Angeles County"/>
    <x v="2"/>
    <n v="3"/>
    <e v="#NAME?"/>
  </r>
  <r>
    <s v="TX500330"/>
    <s v="Hoodies &amp; Sweatshirts"/>
    <n v="4"/>
    <n v="45.4"/>
    <n v="181.6"/>
    <d v="2025-01-15T00:00:00"/>
    <d v="2025-01-16T00:00:00"/>
    <s v="F"/>
    <s v="Website"/>
    <n v="4"/>
    <s v="California"/>
    <s v="Los Angeles County"/>
    <x v="3"/>
    <n v="3"/>
    <e v="#NAME?"/>
  </r>
  <r>
    <s v="TX500331"/>
    <s v="Workout Tops"/>
    <n v="3"/>
    <n v="93.3"/>
    <n v="279.89999999999998"/>
    <d v="2025-01-15T00:00:00"/>
    <d v="2025-01-16T00:00:00"/>
    <s v="F"/>
    <s v="App"/>
    <n v="4"/>
    <s v="California"/>
    <s v="Mariposa County"/>
    <x v="3"/>
    <n v="3"/>
    <e v="#NAME?"/>
  </r>
  <r>
    <s v="TX500332"/>
    <s v="Sneakers"/>
    <n v="19"/>
    <n v="158.19999999999999"/>
    <n v="3005.7999999999997"/>
    <d v="2025-01-15T00:00:00"/>
    <d v="2025-01-16T00:00:00"/>
    <s v="F"/>
    <s v="Website"/>
    <n v="5"/>
    <s v="California"/>
    <s v="Napa County"/>
    <x v="3"/>
    <n v="3"/>
    <e v="#NAME?"/>
  </r>
  <r>
    <s v="TX500333"/>
    <s v="Sneakers"/>
    <n v="2"/>
    <n v="74.900000000000006"/>
    <n v="149.80000000000001"/>
    <d v="2025-01-15T00:00:00"/>
    <d v="2025-01-17T00:00:00"/>
    <s v="M"/>
    <s v="Instagram"/>
    <n v="4"/>
    <s v="California"/>
    <s v="Sacramento County"/>
    <x v="1"/>
    <n v="3"/>
    <e v="#NAME?"/>
  </r>
  <r>
    <s v="TX500334"/>
    <s v="T-Shirts"/>
    <n v="7"/>
    <n v="26"/>
    <n v="182"/>
    <d v="2025-01-15T00:00:00"/>
    <d v="2025-01-18T00:00:00"/>
    <s v="F"/>
    <s v="Website"/>
    <n v="4"/>
    <s v="California"/>
    <s v="San Diego County"/>
    <x v="2"/>
    <n v="3"/>
    <e v="#NAME?"/>
  </r>
  <r>
    <s v="TX500335"/>
    <s v="Sundresses"/>
    <n v="6"/>
    <n v="37.5"/>
    <n v="225"/>
    <d v="2025-01-15T00:00:00"/>
    <d v="2025-01-16T00:00:00"/>
    <s v="F"/>
    <s v="App"/>
    <n v="3"/>
    <s v="California"/>
    <s v="San Diego County"/>
    <x v="3"/>
    <n v="3"/>
    <e v="#NAME?"/>
  </r>
  <r>
    <s v="TX500336"/>
    <s v="Jeans"/>
    <n v="2"/>
    <n v="75.8"/>
    <n v="151.6"/>
    <d v="2025-01-15T00:00:00"/>
    <d v="2025-01-21T00:00:00"/>
    <s v="M"/>
    <s v="App"/>
    <n v="4"/>
    <s v="California"/>
    <s v="San Diego County"/>
    <x v="4"/>
    <n v="3"/>
    <e v="#NAME?"/>
  </r>
  <r>
    <s v="TX500337"/>
    <s v="Hoodies &amp; Sweatshirts"/>
    <n v="1"/>
    <n v="48.5"/>
    <n v="48.5"/>
    <d v="2025-01-15T00:00:00"/>
    <d v="2025-01-27T00:00:00"/>
    <s v=""/>
    <s v="Partner App"/>
    <n v="5"/>
    <s v="California"/>
    <s v="San Diego County"/>
    <x v="13"/>
    <n v="3"/>
    <e v="#NAME?"/>
  </r>
  <r>
    <s v="TX500338"/>
    <s v="Jeans"/>
    <n v="3"/>
    <n v="98.9"/>
    <n v="296.70000000000005"/>
    <d v="2025-01-15T00:00:00"/>
    <d v="2025-01-17T00:00:00"/>
    <s v="F"/>
    <s v="Partner App"/>
    <n v="3"/>
    <s v="California"/>
    <s v="San Diego County"/>
    <x v="1"/>
    <n v="3"/>
    <e v="#NAME?"/>
  </r>
  <r>
    <s v="TX500339"/>
    <s v="Tank Tops"/>
    <n v="12"/>
    <n v="50.9"/>
    <n v="610.79999999999995"/>
    <d v="2025-01-15T00:00:00"/>
    <d v="2025-01-15T00:00:00"/>
    <s v="M"/>
    <s v="Partner App"/>
    <n v="4"/>
    <s v="California"/>
    <s v="San Diego County"/>
    <x v="7"/>
    <n v="3"/>
    <e v="#NAME?"/>
  </r>
  <r>
    <s v="TX500340"/>
    <s v="Casual Dresses"/>
    <n v="6"/>
    <n v="84.7"/>
    <n v="508.20000000000005"/>
    <d v="2025-01-15T00:00:00"/>
    <d v="2025-01-15T00:00:00"/>
    <s v="F"/>
    <s v="Target.com"/>
    <n v="4"/>
    <s v="California"/>
    <s v="San Diego County"/>
    <x v="7"/>
    <n v="3"/>
    <e v="#NAME?"/>
  </r>
  <r>
    <s v="TX500341"/>
    <s v="T-Shirts"/>
    <n v="1"/>
    <n v="20.7"/>
    <n v="20.7"/>
    <d v="2025-01-15T00:00:00"/>
    <d v="2025-01-17T00:00:00"/>
    <s v="F"/>
    <s v="Instagram"/>
    <n v="5"/>
    <s v="California"/>
    <s v="San Diego County"/>
    <x v="1"/>
    <n v="3"/>
    <e v="#NAME?"/>
  </r>
  <r>
    <s v="TX500342"/>
    <s v="Casual Dresses"/>
    <n v="9"/>
    <n v="57.8"/>
    <n v="520.19999999999993"/>
    <d v="2025-01-15T00:00:00"/>
    <d v="2025-01-26T00:00:00"/>
    <s v="M"/>
    <s v="App"/>
    <n v="2"/>
    <s v="California"/>
    <s v="San Francisco"/>
    <x v="11"/>
    <n v="3"/>
    <e v="#NAME?"/>
  </r>
  <r>
    <s v="TX500343"/>
    <s v="Sneakers"/>
    <n v="2"/>
    <n v="106.9"/>
    <n v="213.8"/>
    <d v="2025-01-15T00:00:00"/>
    <d v="2025-01-17T00:00:00"/>
    <s v="F"/>
    <s v="App"/>
    <n v="5"/>
    <s v="California"/>
    <s v="San Luis Obispo County"/>
    <x v="1"/>
    <n v="3"/>
    <e v="#NAME?"/>
  </r>
  <r>
    <s v="TX500344"/>
    <s v="Workout Tops"/>
    <n v="5"/>
    <n v="45.2"/>
    <n v="226"/>
    <d v="2025-01-15T00:00:00"/>
    <d v="2025-01-19T00:00:00"/>
    <s v="F"/>
    <s v="Website"/>
    <n v="4"/>
    <s v="California"/>
    <s v="Alameda County"/>
    <x v="5"/>
    <n v="3"/>
    <e v="#NAME?"/>
  </r>
  <r>
    <s v="TX500345"/>
    <s v="T-Shirts"/>
    <n v="13"/>
    <n v="34.6"/>
    <n v="449.8"/>
    <d v="2025-01-15T00:00:00"/>
    <d v="2025-01-15T00:00:00"/>
    <s v="F"/>
    <s v="Website"/>
    <n v="3"/>
    <s v="California"/>
    <s v="Alameda County"/>
    <x v="7"/>
    <n v="3"/>
    <e v="#NAME?"/>
  </r>
  <r>
    <s v="TX500346"/>
    <s v="Crop Tops"/>
    <n v="1"/>
    <n v="43.8"/>
    <n v="43.8"/>
    <d v="2025-01-15T00:00:00"/>
    <d v="2025-01-17T00:00:00"/>
    <s v=""/>
    <s v="App"/>
    <n v="5"/>
    <s v="California"/>
    <s v="Alameda County"/>
    <x v="1"/>
    <n v="3"/>
    <e v="#NAME?"/>
  </r>
  <r>
    <s v="TX500347"/>
    <s v="Crop Tops"/>
    <n v="1"/>
    <n v="20.399999999999999"/>
    <n v="20.399999999999999"/>
    <d v="2025-01-15T00:00:00"/>
    <d v="2025-01-17T00:00:00"/>
    <s v="M"/>
    <s v="Partner App"/>
    <n v="3"/>
    <s v="California"/>
    <s v="Alameda County"/>
    <x v="1"/>
    <n v="3"/>
    <e v="#NAME?"/>
  </r>
  <r>
    <s v="TX500348"/>
    <s v="Tank Tops"/>
    <n v="1"/>
    <n v="36.700000000000003"/>
    <n v="36.700000000000003"/>
    <d v="2025-01-15T00:00:00"/>
    <d v="2025-01-16T00:00:00"/>
    <s v="M"/>
    <s v="App"/>
    <n v="3"/>
    <s v="California"/>
    <s v="Contra Costa County"/>
    <x v="3"/>
    <n v="3"/>
    <e v="#NAME?"/>
  </r>
  <r>
    <s v="TX500349"/>
    <s v="T-Shirts"/>
    <n v="3"/>
    <n v="27.2"/>
    <n v="81.599999999999994"/>
    <d v="2025-01-15T00:00:00"/>
    <d v="2025-01-19T00:00:00"/>
    <s v="M"/>
    <s v="App"/>
    <n v="5"/>
    <s v="California"/>
    <s v="Contra Costa County"/>
    <x v="5"/>
    <n v="3"/>
    <e v="#NAME?"/>
  </r>
  <r>
    <s v="TX500350"/>
    <s v="Jeans"/>
    <n v="1"/>
    <n v="58.2"/>
    <n v="58.2"/>
    <d v="2025-01-15T00:00:00"/>
    <d v="2025-01-16T00:00:00"/>
    <s v="F"/>
    <s v="App"/>
    <n v="5"/>
    <s v="California"/>
    <s v="El Dorado County"/>
    <x v="3"/>
    <n v="3"/>
    <e v="#NAME?"/>
  </r>
  <r>
    <s v="TX500351"/>
    <s v="T-Shirts"/>
    <n v="3"/>
    <n v="25.6"/>
    <n v="76.800000000000011"/>
    <d v="2025-01-15T00:00:00"/>
    <d v="2025-01-16T00:00:00"/>
    <s v="M"/>
    <s v="Partner App"/>
    <n v="2"/>
    <s v="California"/>
    <s v="Fresno County"/>
    <x v="3"/>
    <n v="3"/>
    <e v="#NAME?"/>
  </r>
  <r>
    <s v="TX500352"/>
    <s v="Bikinis"/>
    <n v="1"/>
    <n v="21.2"/>
    <n v="21.2"/>
    <d v="2025-01-15T00:00:00"/>
    <d v="2025-01-15T00:00:00"/>
    <s v="F"/>
    <s v="Website"/>
    <n v="5"/>
    <s v="California"/>
    <s v="Los Angeles County"/>
    <x v="7"/>
    <n v="3"/>
    <e v="#NAME?"/>
  </r>
  <r>
    <s v="TX500353"/>
    <s v="Jeans"/>
    <n v="2"/>
    <n v="48.2"/>
    <n v="96.4"/>
    <d v="2025-01-15T00:00:00"/>
    <d v="2025-01-23T00:00:00"/>
    <s v="F"/>
    <s v="App"/>
    <n v="5"/>
    <s v="California"/>
    <s v="Los Angeles County"/>
    <x v="9"/>
    <n v="3"/>
    <e v="#NAME?"/>
  </r>
  <r>
    <s v="TX500354"/>
    <s v="Tank Tops"/>
    <n v="4"/>
    <n v="83.4"/>
    <n v="333.6"/>
    <d v="2025-01-16T00:00:00"/>
    <d v="2025-01-17T00:00:00"/>
    <s v="M"/>
    <s v="App"/>
    <n v="4"/>
    <s v="California"/>
    <s v="Los Angeles County"/>
    <x v="3"/>
    <n v="3"/>
    <e v="#NAME?"/>
  </r>
  <r>
    <s v="TX500355"/>
    <s v="Sundresses"/>
    <n v="3"/>
    <n v="45.3"/>
    <n v="135.89999999999998"/>
    <d v="2025-01-16T00:00:00"/>
    <d v="2025-01-22T00:00:00"/>
    <s v="M"/>
    <s v="Target.com"/>
    <n v="3"/>
    <s v="California"/>
    <s v="Los Angeles County"/>
    <x v="4"/>
    <n v="3"/>
    <e v="#NAME?"/>
  </r>
  <r>
    <s v="TX500356"/>
    <s v="Pajama Sets"/>
    <n v="1"/>
    <n v="42"/>
    <n v="42"/>
    <d v="2025-01-16T00:00:00"/>
    <d v="2025-01-17T00:00:00"/>
    <s v=""/>
    <s v="App"/>
    <n v="4"/>
    <s v="California"/>
    <s v="Los Angeles County"/>
    <x v="3"/>
    <n v="3"/>
    <e v="#NAME?"/>
  </r>
  <r>
    <s v="TX500357"/>
    <s v="Shorts"/>
    <n v="9"/>
    <n v="21.8"/>
    <n v="196.20000000000002"/>
    <d v="2025-01-16T00:00:00"/>
    <d v="2025-01-18T00:00:00"/>
    <s v="F"/>
    <s v="Website"/>
    <n v="4"/>
    <s v="California"/>
    <s v="Los Angeles County"/>
    <x v="1"/>
    <n v="3"/>
    <e v="#NAME?"/>
  </r>
  <r>
    <s v="TX500358"/>
    <s v="T-Shirts"/>
    <n v="18"/>
    <n v="21.4"/>
    <n v="385.2"/>
    <d v="2025-01-16T00:00:00"/>
    <d v="2025-01-19T00:00:00"/>
    <s v="F"/>
    <s v="Website"/>
    <n v="5"/>
    <s v="California"/>
    <s v="Los Angeles County"/>
    <x v="2"/>
    <n v="3"/>
    <e v="#NAME?"/>
  </r>
  <r>
    <s v="TX500359"/>
    <s v="Bikinis"/>
    <n v="3"/>
    <n v="45"/>
    <n v="135"/>
    <d v="2025-01-16T00:00:00"/>
    <d v="2025-01-16T00:00:00"/>
    <s v="F"/>
    <s v="Website"/>
    <n v="5"/>
    <s v="California"/>
    <s v="Los Angeles County"/>
    <x v="7"/>
    <n v="3"/>
    <e v="#NAME?"/>
  </r>
  <r>
    <s v="TX500360"/>
    <s v="Baseball Caps"/>
    <n v="1"/>
    <n v="39.6"/>
    <n v="39.6"/>
    <d v="2025-01-16T00:00:00"/>
    <d v="2025-01-17T00:00:00"/>
    <s v="M"/>
    <s v="App"/>
    <n v="5"/>
    <s v="California"/>
    <s v="Los Angeles County"/>
    <x v="3"/>
    <n v="3"/>
    <e v="#NAME?"/>
  </r>
  <r>
    <s v="TX500361"/>
    <s v="Casual Dresses"/>
    <n v="3"/>
    <n v="79.8"/>
    <n v="239.39999999999998"/>
    <d v="2025-01-16T00:00:00"/>
    <d v="2025-01-22T00:00:00"/>
    <s v="F"/>
    <s v="Website"/>
    <n v="2"/>
    <s v="California"/>
    <s v="Los Angeles County"/>
    <x v="4"/>
    <n v="3"/>
    <e v="#NAME?"/>
  </r>
  <r>
    <s v="TX500362"/>
    <s v="Tank Tops"/>
    <n v="4"/>
    <n v="63.6"/>
    <n v="254.4"/>
    <d v="2025-01-16T00:00:00"/>
    <d v="2025-01-17T00:00:00"/>
    <s v="O"/>
    <s v="App"/>
    <n v="5"/>
    <s v="California"/>
    <s v="Merced County"/>
    <x v="3"/>
    <n v="3"/>
    <e v="#NAME?"/>
  </r>
  <r>
    <s v="TX500363"/>
    <s v="Hoodies &amp; Sweatshirts"/>
    <n v="10"/>
    <n v="92.7"/>
    <n v="927"/>
    <d v="2025-01-16T00:00:00"/>
    <d v="2025-01-20T00:00:00"/>
    <s v="M"/>
    <s v="Website"/>
    <n v="5"/>
    <s v="California"/>
    <s v="Sacramento County"/>
    <x v="5"/>
    <n v="3"/>
    <e v="#NAME?"/>
  </r>
  <r>
    <s v="TX500364"/>
    <s v="Tank Tops"/>
    <n v="4"/>
    <n v="48.4"/>
    <n v="193.6"/>
    <d v="2025-01-16T00:00:00"/>
    <d v="2025-01-18T00:00:00"/>
    <s v="F"/>
    <s v="Website"/>
    <n v="5"/>
    <s v="California"/>
    <s v="Sacramento County"/>
    <x v="1"/>
    <n v="3"/>
    <e v="#NAME?"/>
  </r>
  <r>
    <s v="TX500365"/>
    <s v="Sundresses"/>
    <n v="8"/>
    <n v="36"/>
    <n v="288"/>
    <d v="2025-01-16T00:00:00"/>
    <d v="2025-01-19T00:00:00"/>
    <s v="M"/>
    <s v="Target.com"/>
    <n v="5"/>
    <s v="California"/>
    <s v="San Diego County"/>
    <x v="2"/>
    <n v="3"/>
    <e v="#NAME?"/>
  </r>
  <r>
    <s v="TX500366"/>
    <s v="T-Shirts"/>
    <n v="12"/>
    <n v="27"/>
    <n v="324"/>
    <d v="2025-01-16T00:00:00"/>
    <d v="2025-01-18T00:00:00"/>
    <s v="F"/>
    <s v="Target.com"/>
    <n v="3"/>
    <s v="California"/>
    <s v="San Diego County"/>
    <x v="1"/>
    <n v="3"/>
    <e v="#NAME?"/>
  </r>
  <r>
    <s v="TX500367"/>
    <s v="Sneakers"/>
    <n v="8"/>
    <n v="53.9"/>
    <n v="431.2"/>
    <d v="2025-01-16T00:00:00"/>
    <d v="2025-01-17T00:00:00"/>
    <s v=""/>
    <s v="App"/>
    <n v="4"/>
    <s v="California"/>
    <s v="San Diego County"/>
    <x v="3"/>
    <n v="3"/>
    <e v="#NAME?"/>
  </r>
  <r>
    <s v="TX500368"/>
    <s v="Workout Tops"/>
    <n v="9"/>
    <n v="48.4"/>
    <n v="435.59999999999997"/>
    <d v="2025-01-16T00:00:00"/>
    <d v="2025-01-17T00:00:00"/>
    <s v="F"/>
    <s v="Website"/>
    <n v="4"/>
    <s v="California"/>
    <s v="San Mateo County"/>
    <x v="3"/>
    <n v="3"/>
    <e v="#NAME?"/>
  </r>
  <r>
    <s v="TX500369"/>
    <s v="Pajama Sets"/>
    <n v="2"/>
    <n v="49.9"/>
    <n v="99.8"/>
    <d v="2025-01-16T00:00:00"/>
    <d v="2025-01-21T00:00:00"/>
    <s v="M"/>
    <s v="Partner App"/>
    <n v="2"/>
    <s v="California"/>
    <s v="Santa Barbara County"/>
    <x v="0"/>
    <n v="3"/>
    <e v="#NAME?"/>
  </r>
  <r>
    <s v="TX500370"/>
    <s v="Tank Tops"/>
    <n v="3"/>
    <n v="51.7"/>
    <n v="155.10000000000002"/>
    <d v="2025-01-16T00:00:00"/>
    <d v="2025-01-17T00:00:00"/>
    <s v="F"/>
    <s v="App"/>
    <n v="5"/>
    <s v="California"/>
    <s v="Santa Clara County"/>
    <x v="3"/>
    <n v="3"/>
    <e v="#NAME?"/>
  </r>
  <r>
    <s v="TX500371"/>
    <s v="T-Shirts"/>
    <n v="3"/>
    <n v="41.8"/>
    <n v="125.39999999999999"/>
    <d v="2025-01-16T00:00:00"/>
    <d v="2025-01-18T00:00:00"/>
    <s v="F"/>
    <s v="Target.com"/>
    <n v="4"/>
    <s v="California"/>
    <s v="Sonoma County"/>
    <x v="1"/>
    <n v="3"/>
    <e v="#NAME?"/>
  </r>
  <r>
    <s v="TX500372"/>
    <s v="Graphic Tees"/>
    <n v="4"/>
    <n v="36.200000000000003"/>
    <n v="144.80000000000001"/>
    <d v="2025-01-17T00:00:00"/>
    <d v="2025-01-18T00:00:00"/>
    <s v="M"/>
    <s v="Target.com"/>
    <n v="5"/>
    <s v="California"/>
    <s v="Alameda County"/>
    <x v="3"/>
    <n v="3"/>
    <e v="#NAME?"/>
  </r>
  <r>
    <s v="TX500373"/>
    <s v="Sneakers"/>
    <n v="1"/>
    <n v="150.9"/>
    <n v="150.9"/>
    <d v="2025-01-17T00:00:00"/>
    <d v="2025-01-27T00:00:00"/>
    <s v="M"/>
    <s v="App"/>
    <n v="4"/>
    <s v="California"/>
    <s v="Contra Costa County"/>
    <x v="14"/>
    <n v="3"/>
    <e v="#NAME?"/>
  </r>
  <r>
    <s v="TX500374"/>
    <s v="Leggings"/>
    <n v="4"/>
    <n v="77.599999999999994"/>
    <n v="310.39999999999998"/>
    <d v="2025-01-17T00:00:00"/>
    <d v="2025-01-18T00:00:00"/>
    <s v=""/>
    <s v="Target.com"/>
    <n v="4"/>
    <s v="California"/>
    <s v="Los Angeles County"/>
    <x v="3"/>
    <n v="3"/>
    <e v="#NAME?"/>
  </r>
  <r>
    <s v="TX500375"/>
    <s v="Tote Bags"/>
    <n v="5"/>
    <n v="65.5"/>
    <n v="327.5"/>
    <d v="2025-01-17T00:00:00"/>
    <d v="2025-01-17T00:00:00"/>
    <s v="M"/>
    <s v="Website"/>
    <n v="4"/>
    <s v="California"/>
    <s v="Los Angeles County"/>
    <x v="7"/>
    <n v="3"/>
    <e v="#NAME?"/>
  </r>
  <r>
    <s v="TX500376"/>
    <s v="Jeans"/>
    <n v="3"/>
    <n v="90.1"/>
    <n v="270.29999999999995"/>
    <d v="2025-01-17T00:00:00"/>
    <d v="2025-01-19T00:00:00"/>
    <s v="F"/>
    <s v="App"/>
    <n v="4"/>
    <s v="California"/>
    <s v="Los Angeles County"/>
    <x v="1"/>
    <n v="3"/>
    <e v="#NAME?"/>
  </r>
  <r>
    <s v="TX500377"/>
    <s v="Tank Tops"/>
    <n v="2"/>
    <n v="108.3"/>
    <n v="216.6"/>
    <d v="2025-01-17T00:00:00"/>
    <d v="2025-01-20T00:00:00"/>
    <s v="O"/>
    <s v="Partner App"/>
    <n v="4"/>
    <s v="California"/>
    <s v="Los Angeles County"/>
    <x v="2"/>
    <n v="3"/>
    <e v="#NAME?"/>
  </r>
  <r>
    <s v="TX500378"/>
    <s v="Sandals"/>
    <n v="3"/>
    <n v="59.9"/>
    <n v="179.7"/>
    <d v="2025-01-17T00:00:00"/>
    <d v="2025-01-21T00:00:00"/>
    <s v="F"/>
    <s v="App"/>
    <n v="4"/>
    <s v="California"/>
    <s v="Los Angeles County"/>
    <x v="5"/>
    <n v="3"/>
    <e v="#NAME?"/>
  </r>
  <r>
    <s v="TX500379"/>
    <s v="Sneakers"/>
    <n v="17"/>
    <n v="139"/>
    <n v="2363"/>
    <d v="2025-01-17T00:00:00"/>
    <d v="2025-01-19T00:00:00"/>
    <s v="F"/>
    <s v="Website"/>
    <n v="2"/>
    <s v="California"/>
    <s v="Los Angeles County"/>
    <x v="1"/>
    <n v="3"/>
    <e v="#NAME?"/>
  </r>
  <r>
    <s v="TX500380"/>
    <s v="Jeans"/>
    <n v="3"/>
    <n v="87.3"/>
    <n v="261.89999999999998"/>
    <d v="2025-01-17T00:00:00"/>
    <d v="2025-01-18T00:00:00"/>
    <s v="F"/>
    <s v="App"/>
    <n v="4"/>
    <s v="California"/>
    <s v="Los Angeles County"/>
    <x v="3"/>
    <n v="3"/>
    <e v="#NAME?"/>
  </r>
  <r>
    <s v="TX500381"/>
    <s v="Maxi Dresses"/>
    <n v="4"/>
    <n v="42.3"/>
    <n v="169.2"/>
    <d v="2025-01-17T00:00:00"/>
    <d v="2025-01-17T00:00:00"/>
    <s v="M"/>
    <s v="App"/>
    <n v="4"/>
    <s v="California"/>
    <s v="Los Angeles County"/>
    <x v="7"/>
    <n v="3"/>
    <e v="#NAME?"/>
  </r>
  <r>
    <s v="TX500382"/>
    <s v="Baseball Caps"/>
    <n v="8"/>
    <n v="103.6"/>
    <n v="828.8"/>
    <d v="2025-01-17T00:00:00"/>
    <d v="2025-01-18T00:00:00"/>
    <s v="O"/>
    <s v="App"/>
    <n v="3"/>
    <s v="California"/>
    <s v="Los Angeles County"/>
    <x v="3"/>
    <n v="3"/>
    <e v="#NAME?"/>
  </r>
  <r>
    <s v="TX500383"/>
    <s v="Jeans"/>
    <n v="2"/>
    <n v="90.9"/>
    <n v="181.8"/>
    <d v="2025-01-17T00:00:00"/>
    <d v="2025-01-18T00:00:00"/>
    <s v="M"/>
    <s v="Website"/>
    <n v="4"/>
    <s v="California"/>
    <s v="Sacramento County"/>
    <x v="3"/>
    <n v="3"/>
    <e v="#NAME?"/>
  </r>
  <r>
    <s v="TX500384"/>
    <s v="Sundresses"/>
    <n v="16"/>
    <n v="100.9"/>
    <n v="1614.4"/>
    <d v="2025-01-17T00:00:00"/>
    <d v="2025-01-18T00:00:00"/>
    <s v="F"/>
    <s v="Website"/>
    <n v="4"/>
    <s v="California"/>
    <s v="Sacramento County"/>
    <x v="3"/>
    <n v="3"/>
    <e v="#NAME?"/>
  </r>
  <r>
    <s v="TX500385"/>
    <s v="Graphic Tees"/>
    <n v="5"/>
    <n v="36"/>
    <n v="180"/>
    <d v="2025-01-17T00:00:00"/>
    <d v="2025-01-19T00:00:00"/>
    <s v="F"/>
    <s v="Website"/>
    <n v="4"/>
    <s v="California"/>
    <s v="San Bernardino County"/>
    <x v="1"/>
    <n v="3"/>
    <e v="#NAME?"/>
  </r>
  <r>
    <s v="TX500386"/>
    <s v="Jeans"/>
    <n v="6"/>
    <n v="83.3"/>
    <n v="499.79999999999995"/>
    <d v="2025-01-17T00:00:00"/>
    <d v="2025-01-20T00:00:00"/>
    <s v=""/>
    <s v="Target.com"/>
    <n v="4"/>
    <s v="California"/>
    <s v="San Bernardino County"/>
    <x v="2"/>
    <n v="3"/>
    <e v="#NAME?"/>
  </r>
  <r>
    <s v="TX500387"/>
    <s v="Sneakers"/>
    <n v="17"/>
    <n v="60.3"/>
    <n v="1025.0999999999999"/>
    <d v="2025-01-17T00:00:00"/>
    <d v="2025-01-18T00:00:00"/>
    <s v="M"/>
    <s v="Target.com"/>
    <n v="3"/>
    <s v="California"/>
    <s v="San Bernardino County"/>
    <x v="3"/>
    <n v="3"/>
    <e v="#NAME?"/>
  </r>
  <r>
    <s v="TX500388"/>
    <s v="Sneakers"/>
    <n v="6"/>
    <n v="120.3"/>
    <n v="721.8"/>
    <d v="2025-01-17T00:00:00"/>
    <d v="2025-01-18T00:00:00"/>
    <s v="M"/>
    <s v="Target.com"/>
    <n v="4"/>
    <s v="California"/>
    <s v="San Diego County"/>
    <x v="3"/>
    <n v="3"/>
    <e v="#NAME?"/>
  </r>
  <r>
    <s v="TX500389"/>
    <s v="Graphic Tees"/>
    <n v="10"/>
    <n v="34"/>
    <n v="340"/>
    <d v="2025-01-17T00:00:00"/>
    <d v="2025-01-21T00:00:00"/>
    <s v="F"/>
    <s v="Target.com"/>
    <n v="4"/>
    <s v="California"/>
    <s v="San Diego County"/>
    <x v="5"/>
    <n v="3"/>
    <e v="#NAME?"/>
  </r>
  <r>
    <s v="TX500390"/>
    <s v="Bikinis"/>
    <n v="5"/>
    <n v="42.6"/>
    <n v="213"/>
    <d v="2025-01-17T00:00:00"/>
    <d v="2025-01-20T00:00:00"/>
    <s v="M"/>
    <s v="Website"/>
    <n v="4"/>
    <s v="California"/>
    <s v="San Diego County"/>
    <x v="2"/>
    <n v="3"/>
    <e v="#NAME?"/>
  </r>
  <r>
    <s v="TX500391"/>
    <s v="Sandals"/>
    <n v="20"/>
    <n v="47.4"/>
    <n v="948"/>
    <d v="2025-01-17T00:00:00"/>
    <d v="2025-01-17T00:00:00"/>
    <s v="F"/>
    <s v="Target.com"/>
    <n v="3"/>
    <s v="California"/>
    <s v="San Francisco"/>
    <x v="7"/>
    <n v="3"/>
    <e v="#NAME?"/>
  </r>
  <r>
    <s v="TX500392"/>
    <s v="Sneakers"/>
    <n v="1"/>
    <n v="74"/>
    <n v="74"/>
    <d v="2025-01-18T00:00:00"/>
    <d v="2025-01-19T00:00:00"/>
    <s v="M"/>
    <s v="Website"/>
    <n v="4"/>
    <s v="California"/>
    <s v="Santa Clara County"/>
    <x v="3"/>
    <n v="3"/>
    <e v="#NAME?"/>
  </r>
  <r>
    <s v="TX500393"/>
    <s v="Sneakers"/>
    <n v="5"/>
    <n v="60.4"/>
    <n v="302"/>
    <d v="2025-01-18T00:00:00"/>
    <d v="2025-01-21T00:00:00"/>
    <s v="F"/>
    <s v="Website"/>
    <n v="2"/>
    <s v="California"/>
    <s v="Sonoma County"/>
    <x v="2"/>
    <n v="3"/>
    <e v="#NAME?"/>
  </r>
  <r>
    <s v="TX500394"/>
    <s v="Casual Dresses"/>
    <n v="2"/>
    <n v="69.3"/>
    <n v="138.6"/>
    <d v="2025-01-18T00:00:00"/>
    <d v="2025-01-21T00:00:00"/>
    <s v="M"/>
    <s v="Website"/>
    <n v="3"/>
    <s v="California"/>
    <s v="Ventura County"/>
    <x v="2"/>
    <n v="3"/>
    <e v="#NAME?"/>
  </r>
  <r>
    <s v="TX500395"/>
    <s v="Sandals"/>
    <n v="5"/>
    <n v="81"/>
    <n v="405"/>
    <d v="2025-01-18T00:00:00"/>
    <d v="2025-01-24T00:00:00"/>
    <s v="M"/>
    <s v="Instagram"/>
    <n v="4"/>
    <s v="California"/>
    <s v="Alameda County"/>
    <x v="4"/>
    <n v="3"/>
    <e v="#NAME?"/>
  </r>
  <r>
    <s v="TX500396"/>
    <s v="Crop Tops"/>
    <n v="3"/>
    <n v="41.5"/>
    <n v="124.5"/>
    <d v="2025-01-18T00:00:00"/>
    <d v="2025-01-20T00:00:00"/>
    <s v="O"/>
    <s v="Website"/>
    <n v="4"/>
    <s v="California"/>
    <s v="Alameda County"/>
    <x v="1"/>
    <n v="3"/>
    <e v="#NAME?"/>
  </r>
  <r>
    <s v="TX500397"/>
    <s v="Leggings"/>
    <n v="2"/>
    <n v="69.7"/>
    <n v="139.4"/>
    <d v="2025-01-18T00:00:00"/>
    <d v="2025-01-23T00:00:00"/>
    <s v="M"/>
    <s v="Website"/>
    <n v="4"/>
    <s v="California"/>
    <s v="Alameda County"/>
    <x v="0"/>
    <n v="3"/>
    <e v="#NAME?"/>
  </r>
  <r>
    <s v="TX500398"/>
    <s v="Sneakers"/>
    <n v="5"/>
    <n v="83.6"/>
    <n v="418"/>
    <d v="2025-01-18T00:00:00"/>
    <d v="2025-01-18T00:00:00"/>
    <s v="F"/>
    <s v="Partner App"/>
    <n v="4"/>
    <s v="California"/>
    <s v="Contra Costa County"/>
    <x v="7"/>
    <n v="3"/>
    <e v="#NAME?"/>
  </r>
  <r>
    <s v="TX500399"/>
    <s v="T-Shirts"/>
    <n v="7"/>
    <n v="21.5"/>
    <n v="150.5"/>
    <d v="2025-01-18T00:00:00"/>
    <d v="2025-01-20T00:00:00"/>
    <s v="M"/>
    <s v="Website"/>
    <n v="2"/>
    <s v="California"/>
    <s v="Kings County"/>
    <x v="1"/>
    <n v="3"/>
    <e v="#NAME?"/>
  </r>
  <r>
    <s v="TX500400"/>
    <s v="T-Shirts"/>
    <n v="8"/>
    <n v="28.6"/>
    <n v="228.8"/>
    <d v="2025-01-18T00:00:00"/>
    <d v="2025-01-19T00:00:00"/>
    <s v="M"/>
    <s v="App"/>
    <n v="4"/>
    <s v="California"/>
    <s v="Los Angeles County"/>
    <x v="3"/>
    <n v="3"/>
    <e v="#NAME?"/>
  </r>
  <r>
    <s v="TX500401"/>
    <s v="T-Shirts"/>
    <n v="6"/>
    <n v="18.8"/>
    <n v="112.80000000000001"/>
    <d v="2025-01-18T00:00:00"/>
    <d v="2025-01-21T00:00:00"/>
    <s v="M"/>
    <s v="Instagram"/>
    <n v="5"/>
    <s v="California"/>
    <s v="Los Angeles County"/>
    <x v="2"/>
    <n v="3"/>
    <e v="#NAME?"/>
  </r>
  <r>
    <s v="TX500402"/>
    <s v="Bikinis"/>
    <n v="4"/>
    <n v="35.1"/>
    <n v="140.4"/>
    <d v="2025-01-18T00:00:00"/>
    <d v="2025-01-18T00:00:00"/>
    <s v="F"/>
    <s v="Website"/>
    <n v="3"/>
    <s v="California"/>
    <s v="Los Angeles County"/>
    <x v="7"/>
    <n v="3"/>
    <e v="#NAME?"/>
  </r>
  <r>
    <s v="TX500403"/>
    <s v="Shorts"/>
    <n v="2"/>
    <n v="12.7"/>
    <n v="25.4"/>
    <d v="2025-01-18T00:00:00"/>
    <d v="2025-01-20T00:00:00"/>
    <s v="F"/>
    <s v="Website"/>
    <n v="5"/>
    <s v="California"/>
    <s v="Los Angeles County"/>
    <x v="1"/>
    <n v="3"/>
    <e v="#NAME?"/>
  </r>
  <r>
    <s v="TX500404"/>
    <s v="T-Shirts"/>
    <n v="5"/>
    <n v="27.4"/>
    <n v="137"/>
    <d v="2025-01-18T00:00:00"/>
    <d v="2025-01-20T00:00:00"/>
    <s v="O"/>
    <s v="App"/>
    <n v="4"/>
    <s v="California"/>
    <s v="Los Angeles County"/>
    <x v="1"/>
    <n v="3"/>
    <e v="#NAME?"/>
  </r>
  <r>
    <s v="TX500405"/>
    <s v="Bikinis"/>
    <n v="2"/>
    <n v="61.3"/>
    <n v="122.6"/>
    <d v="2025-01-18T00:00:00"/>
    <d v="2025-01-19T00:00:00"/>
    <s v="F"/>
    <s v="Website"/>
    <n v="4"/>
    <s v="California"/>
    <s v="Sacramento County"/>
    <x v="3"/>
    <n v="3"/>
    <e v="#NAME?"/>
  </r>
  <r>
    <s v="TX500406"/>
    <s v="T-Shirts"/>
    <n v="2"/>
    <n v="64.7"/>
    <n v="129.4"/>
    <d v="2025-01-18T00:00:00"/>
    <d v="2025-01-20T00:00:00"/>
    <s v="F"/>
    <s v="Instagram"/>
    <n v="5"/>
    <s v="California"/>
    <s v="Sacramento County"/>
    <x v="1"/>
    <n v="3"/>
    <e v="#NAME?"/>
  </r>
  <r>
    <s v="TX500407"/>
    <s v="Hoodies &amp; Sweatshirts"/>
    <n v="4"/>
    <n v="91.4"/>
    <n v="365.6"/>
    <d v="2025-01-18T00:00:00"/>
    <d v="2025-01-20T00:00:00"/>
    <s v="F"/>
    <s v="App"/>
    <n v="4"/>
    <s v="California"/>
    <s v="San Diego County"/>
    <x v="1"/>
    <n v="3"/>
    <e v="#NAME?"/>
  </r>
  <r>
    <s v="TX500408"/>
    <s v="Shorts"/>
    <n v="2"/>
    <n v="33.1"/>
    <n v="66.2"/>
    <d v="2025-01-19T00:00:00"/>
    <d v="2025-01-20T00:00:00"/>
    <s v="M"/>
    <s v="App"/>
    <n v="5"/>
    <s v="California"/>
    <s v="San Diego County"/>
    <x v="3"/>
    <n v="4"/>
    <e v="#NAME?"/>
  </r>
  <r>
    <s v="TX500409"/>
    <s v="Workout Tops"/>
    <n v="2"/>
    <n v="105.6"/>
    <n v="211.2"/>
    <d v="2025-01-19T00:00:00"/>
    <d v="2025-01-20T00:00:00"/>
    <s v="M"/>
    <s v="Target.com"/>
    <n v="3"/>
    <s v="California"/>
    <s v="San Diego County"/>
    <x v="3"/>
    <n v="4"/>
    <e v="#NAME?"/>
  </r>
  <r>
    <s v="TX500410"/>
    <s v="Bikinis"/>
    <n v="3"/>
    <n v="46.4"/>
    <n v="139.19999999999999"/>
    <d v="2025-01-19T00:00:00"/>
    <d v="2025-01-20T00:00:00"/>
    <s v="M"/>
    <s v="Target.com"/>
    <n v="4"/>
    <s v="California"/>
    <s v="San Mateo County"/>
    <x v="3"/>
    <n v="4"/>
    <e v="#NAME?"/>
  </r>
  <r>
    <s v="TX500411"/>
    <s v="Sundresses"/>
    <n v="14"/>
    <n v="35.299999999999997"/>
    <n v="494.19999999999993"/>
    <d v="2025-01-19T00:00:00"/>
    <d v="2025-01-22T00:00:00"/>
    <s v="F"/>
    <s v="Partner App"/>
    <n v="3"/>
    <s v="California"/>
    <s v="Santa Clara County"/>
    <x v="2"/>
    <n v="4"/>
    <e v="#NAME?"/>
  </r>
  <r>
    <s v="TX500412"/>
    <s v="Shorts"/>
    <n v="2"/>
    <n v="16.100000000000001"/>
    <n v="32.200000000000003"/>
    <d v="2025-01-19T00:00:00"/>
    <d v="2025-01-21T00:00:00"/>
    <s v="M"/>
    <s v="Instagram"/>
    <n v="5"/>
    <s v="California"/>
    <s v="Santa Cruz County"/>
    <x v="1"/>
    <n v="4"/>
    <e v="#NAME?"/>
  </r>
  <r>
    <s v="TX500413"/>
    <s v="Graphic Tees"/>
    <n v="2"/>
    <n v="27.9"/>
    <n v="55.8"/>
    <d v="2025-01-19T00:00:00"/>
    <d v="2025-01-22T00:00:00"/>
    <s v="M"/>
    <s v="App"/>
    <n v="4"/>
    <s v="California"/>
    <s v="Ventura County"/>
    <x v="2"/>
    <n v="4"/>
    <e v="#NAME?"/>
  </r>
  <r>
    <s v="TX500414"/>
    <s v="T-Shirts"/>
    <n v="1"/>
    <n v="47.1"/>
    <n v="47.1"/>
    <d v="2025-01-19T00:00:00"/>
    <d v="2025-01-27T00:00:00"/>
    <s v="F"/>
    <s v="Website"/>
    <n v="4"/>
    <s v="California"/>
    <s v="Fresno County"/>
    <x v="9"/>
    <n v="4"/>
    <e v="#NAME?"/>
  </r>
  <r>
    <s v="TX500415"/>
    <s v="Jeans"/>
    <n v="2"/>
    <n v="85"/>
    <n v="170"/>
    <d v="2025-01-19T00:00:00"/>
    <d v="2025-01-22T00:00:00"/>
    <s v=""/>
    <s v="Target.com"/>
    <n v="5"/>
    <s v="California"/>
    <s v="Kern County"/>
    <x v="2"/>
    <n v="4"/>
    <e v="#NAME?"/>
  </r>
  <r>
    <s v="TX500416"/>
    <s v="Leggings"/>
    <n v="2"/>
    <n v="89"/>
    <n v="178"/>
    <d v="2025-01-19T00:00:00"/>
    <d v="2025-01-21T00:00:00"/>
    <s v="F"/>
    <s v="App"/>
    <n v="4"/>
    <s v="California"/>
    <s v="Los Angeles County"/>
    <x v="1"/>
    <n v="4"/>
    <e v="#NAME?"/>
  </r>
  <r>
    <s v="TX500417"/>
    <s v="Sunglasses"/>
    <n v="3"/>
    <n v="36.6"/>
    <n v="109.80000000000001"/>
    <d v="2025-01-19T00:00:00"/>
    <d v="2025-01-20T00:00:00"/>
    <s v="O"/>
    <s v="Instagram"/>
    <n v="5"/>
    <s v="California"/>
    <s v="Los Angeles County"/>
    <x v="3"/>
    <n v="4"/>
    <e v="#NAME?"/>
  </r>
  <r>
    <s v="TX500418"/>
    <s v="Jeans"/>
    <n v="7"/>
    <n v="43.5"/>
    <n v="304.5"/>
    <d v="2025-01-19T00:00:00"/>
    <d v="2025-01-20T00:00:00"/>
    <s v="M"/>
    <s v="Website"/>
    <n v="5"/>
    <s v="California"/>
    <s v="Los Angeles County"/>
    <x v="3"/>
    <n v="4"/>
    <e v="#NAME?"/>
  </r>
  <r>
    <s v="TX500419"/>
    <s v="Sundresses"/>
    <n v="19"/>
    <n v="30.5"/>
    <n v="579.5"/>
    <d v="2025-01-19T00:00:00"/>
    <d v="2025-01-19T00:00:00"/>
    <s v="F"/>
    <s v="Instagram"/>
    <n v="4"/>
    <s v="California"/>
    <s v="Los Angeles County"/>
    <x v="7"/>
    <n v="4"/>
    <e v="#NAME?"/>
  </r>
  <r>
    <s v="TX500420"/>
    <s v="Tank Tops"/>
    <n v="2"/>
    <n v="107.7"/>
    <n v="215.4"/>
    <d v="2025-01-19T00:00:00"/>
    <d v="2025-01-23T00:00:00"/>
    <s v="M"/>
    <s v="Instagram"/>
    <n v="2"/>
    <s v="California"/>
    <s v="Los Angeles County"/>
    <x v="5"/>
    <n v="4"/>
    <e v="#NAME?"/>
  </r>
  <r>
    <s v="TX500421"/>
    <s v="Pajama Sets"/>
    <n v="26"/>
    <n v="57.1"/>
    <n v="1484.6000000000001"/>
    <d v="2025-01-19T00:00:00"/>
    <d v="2025-01-20T00:00:00"/>
    <s v="M"/>
    <s v="Website"/>
    <n v="4"/>
    <s v="California"/>
    <s v="Los Angeles County"/>
    <x v="3"/>
    <n v="4"/>
    <e v="#NAME?"/>
  </r>
  <r>
    <s v="TX500422"/>
    <s v="Sneakers"/>
    <n v="10"/>
    <n v="111.7"/>
    <n v="1117"/>
    <d v="2025-01-19T00:00:00"/>
    <d v="2025-01-20T00:00:00"/>
    <s v="F"/>
    <s v="Partner App"/>
    <n v="5"/>
    <s v="California"/>
    <s v="Los Angeles County"/>
    <x v="3"/>
    <n v="4"/>
    <e v="#NAME?"/>
  </r>
  <r>
    <s v="TX500423"/>
    <s v="Leggings"/>
    <n v="7"/>
    <n v="44.3"/>
    <n v="310.09999999999997"/>
    <d v="2025-01-19T00:00:00"/>
    <d v="2025-01-22T00:00:00"/>
    <s v="M"/>
    <s v="Instagram"/>
    <n v="5"/>
    <s v="California"/>
    <s v="Los Angeles County"/>
    <x v="2"/>
    <n v="4"/>
    <e v="#NAME?"/>
  </r>
  <r>
    <s v="TX500424"/>
    <s v="Sneakers"/>
    <n v="8"/>
    <n v="95.8"/>
    <n v="766.4"/>
    <d v="2025-01-19T00:00:00"/>
    <d v="2025-01-25T00:00:00"/>
    <s v="O"/>
    <s v="App"/>
    <n v="4"/>
    <s v="California"/>
    <s v="Los Angeles County"/>
    <x v="4"/>
    <n v="4"/>
    <e v="#NAME?"/>
  </r>
  <r>
    <s v="TX500425"/>
    <s v="Bikinis"/>
    <n v="7"/>
    <n v="22.6"/>
    <n v="158.20000000000002"/>
    <d v="2025-01-19T00:00:00"/>
    <d v="2025-01-22T00:00:00"/>
    <s v="F"/>
    <s v="Instagram"/>
    <n v="3"/>
    <s v="California"/>
    <s v="Los Angeles County"/>
    <x v="2"/>
    <n v="4"/>
    <e v="#NAME?"/>
  </r>
  <r>
    <s v="TX500426"/>
    <s v="T-Shirts"/>
    <n v="8"/>
    <n v="25.6"/>
    <n v="204.8"/>
    <d v="2025-01-19T00:00:00"/>
    <d v="2025-01-21T00:00:00"/>
    <s v="F"/>
    <s v="Partner App"/>
    <n v="4"/>
    <s v="California"/>
    <s v="Los Angeles County"/>
    <x v="1"/>
    <n v="4"/>
    <e v="#NAME?"/>
  </r>
  <r>
    <s v="TX500427"/>
    <s v="Jeans"/>
    <n v="16"/>
    <n v="54.3"/>
    <n v="868.8"/>
    <d v="2025-01-19T00:00:00"/>
    <d v="2025-01-22T00:00:00"/>
    <s v="F"/>
    <s v="Partner App"/>
    <n v="4"/>
    <s v="California"/>
    <s v="Los Angeles County"/>
    <x v="2"/>
    <n v="4"/>
    <e v="#NAME?"/>
  </r>
  <r>
    <s v="TX500428"/>
    <s v="Leggings"/>
    <n v="13"/>
    <n v="51.3"/>
    <n v="666.9"/>
    <d v="2025-01-19T00:00:00"/>
    <d v="2025-01-21T00:00:00"/>
    <s v="M"/>
    <s v="App"/>
    <n v="5"/>
    <s v="California"/>
    <s v="Los Angeles County"/>
    <x v="1"/>
    <n v="4"/>
    <e v="#NAME?"/>
  </r>
  <r>
    <s v="TX500429"/>
    <s v="Shorts"/>
    <n v="8"/>
    <n v="25.6"/>
    <n v="204.8"/>
    <d v="2025-01-19T00:00:00"/>
    <d v="2025-01-20T00:00:00"/>
    <s v="F"/>
    <s v="Website"/>
    <n v="3"/>
    <s v="California"/>
    <s v="Los Angeles County"/>
    <x v="3"/>
    <n v="4"/>
    <e v="#NAME?"/>
  </r>
  <r>
    <s v="TX500430"/>
    <s v="Shorts"/>
    <n v="2"/>
    <n v="15.6"/>
    <n v="31.2"/>
    <d v="2025-01-19T00:00:00"/>
    <d v="2025-01-20T00:00:00"/>
    <s v="F"/>
    <s v="Target.com"/>
    <n v="5"/>
    <s v="California"/>
    <s v="Los Angeles County"/>
    <x v="3"/>
    <n v="4"/>
    <e v="#NAME?"/>
  </r>
  <r>
    <s v="TX500431"/>
    <s v="T-Shirts"/>
    <n v="3"/>
    <n v="30.3"/>
    <n v="90.9"/>
    <d v="2025-01-19T00:00:00"/>
    <d v="2025-01-23T00:00:00"/>
    <s v="F"/>
    <s v="App"/>
    <n v="3"/>
    <s v="California"/>
    <s v="Los Angeles County"/>
    <x v="5"/>
    <n v="4"/>
    <e v="#NAME?"/>
  </r>
  <r>
    <s v="TX500432"/>
    <s v="Casual Dresses"/>
    <n v="2"/>
    <n v="30.3"/>
    <n v="60.6"/>
    <d v="2025-01-19T00:00:00"/>
    <d v="2025-01-24T00:00:00"/>
    <s v="F"/>
    <s v="App"/>
    <n v="5"/>
    <s v="California"/>
    <s v="Madera County"/>
    <x v="0"/>
    <n v="4"/>
    <e v="#NAME?"/>
  </r>
  <r>
    <s v="TX500433"/>
    <s v="Bikinis"/>
    <n v="3"/>
    <n v="53"/>
    <n v="159"/>
    <d v="2025-01-19T00:00:00"/>
    <d v="2025-01-26T00:00:00"/>
    <s v="F"/>
    <s v="Target.com"/>
    <n v="4"/>
    <s v="California"/>
    <s v="Merced County"/>
    <x v="6"/>
    <n v="4"/>
    <e v="#NAME?"/>
  </r>
  <r>
    <s v="TX500434"/>
    <s v="Sandals"/>
    <n v="18"/>
    <n v="59.9"/>
    <n v="1078.2"/>
    <d v="2025-01-19T00:00:00"/>
    <d v="2025-01-22T00:00:00"/>
    <s v="M"/>
    <s v="Target.com"/>
    <n v="2"/>
    <s v="California"/>
    <s v="Orange County"/>
    <x v="2"/>
    <n v="4"/>
    <e v="#NAME?"/>
  </r>
  <r>
    <s v="TX500435"/>
    <s v="Sundresses"/>
    <n v="2"/>
    <n v="45.7"/>
    <n v="91.4"/>
    <d v="2025-01-19T00:00:00"/>
    <d v="2025-01-20T00:00:00"/>
    <s v="F"/>
    <s v="Website"/>
    <n v="5"/>
    <s v="California"/>
    <s v="Sacramento County"/>
    <x v="3"/>
    <n v="4"/>
    <e v="#NAME?"/>
  </r>
  <r>
    <s v="TX500436"/>
    <s v="T-Shirts"/>
    <n v="4"/>
    <n v="46.1"/>
    <n v="184.4"/>
    <d v="2025-01-19T00:00:00"/>
    <d v="2025-01-20T00:00:00"/>
    <s v="M"/>
    <s v="App"/>
    <n v="4"/>
    <s v="California"/>
    <s v="Sacramento County"/>
    <x v="3"/>
    <n v="4"/>
    <e v="#NAME?"/>
  </r>
  <r>
    <s v="TX500437"/>
    <s v="T-Shirts"/>
    <n v="3"/>
    <n v="17.5"/>
    <n v="52.5"/>
    <d v="2025-01-19T00:00:00"/>
    <d v="2025-01-20T00:00:00"/>
    <s v="F"/>
    <s v="App"/>
    <n v="5"/>
    <s v="California"/>
    <s v="San Diego County"/>
    <x v="3"/>
    <n v="4"/>
    <e v="#NAME?"/>
  </r>
  <r>
    <s v="TX500438"/>
    <s v="Bikinis"/>
    <n v="3"/>
    <n v="36.5"/>
    <n v="109.5"/>
    <d v="2025-01-19T00:00:00"/>
    <d v="2025-01-30T00:00:00"/>
    <s v="M"/>
    <s v="Target.com"/>
    <n v="4"/>
    <s v="California"/>
    <s v="San Diego County"/>
    <x v="11"/>
    <n v="4"/>
    <e v="#NAME?"/>
  </r>
  <r>
    <s v="TX500439"/>
    <s v="T-Shirts"/>
    <n v="2"/>
    <n v="47.5"/>
    <n v="95"/>
    <d v="2025-01-20T00:00:00"/>
    <d v="2025-01-22T00:00:00"/>
    <s v="F"/>
    <s v="Website"/>
    <n v="4"/>
    <s v="California"/>
    <s v="San Diego County"/>
    <x v="1"/>
    <n v="4"/>
    <e v="#NAME?"/>
  </r>
  <r>
    <s v="TX500440"/>
    <s v="Jeans"/>
    <n v="5"/>
    <n v="45.6"/>
    <n v="228"/>
    <d v="2025-01-20T00:00:00"/>
    <d v="2025-01-22T00:00:00"/>
    <s v="F"/>
    <s v="App"/>
    <n v="5"/>
    <s v="California"/>
    <s v="San Diego County"/>
    <x v="1"/>
    <n v="4"/>
    <e v="#NAME?"/>
  </r>
  <r>
    <s v="TX500441"/>
    <s v="Sundresses"/>
    <n v="2"/>
    <n v="50.5"/>
    <n v="101"/>
    <d v="2025-01-20T00:00:00"/>
    <d v="2025-01-22T00:00:00"/>
    <s v="M"/>
    <s v="App"/>
    <n v="3"/>
    <s v="California"/>
    <s v="San Francisco"/>
    <x v="1"/>
    <n v="4"/>
    <e v="#NAME?"/>
  </r>
  <r>
    <s v="TX500442"/>
    <s v="Sneakers"/>
    <n v="10"/>
    <n v="99.8"/>
    <n v="998"/>
    <d v="2025-01-20T00:00:00"/>
    <d v="2025-01-23T00:00:00"/>
    <s v="F"/>
    <s v="Target.com"/>
    <n v="3"/>
    <s v="California"/>
    <s v="San Francisco"/>
    <x v="2"/>
    <n v="4"/>
    <e v="#NAME?"/>
  </r>
  <r>
    <s v="TX500443"/>
    <s v="T-Shirts"/>
    <n v="15"/>
    <n v="19.2"/>
    <n v="288"/>
    <d v="2025-01-20T00:00:00"/>
    <d v="2025-01-22T00:00:00"/>
    <s v="O"/>
    <s v="Partner App"/>
    <n v="3"/>
    <s v="California"/>
    <s v="San Joaquin County"/>
    <x v="1"/>
    <n v="4"/>
    <e v="#NAME?"/>
  </r>
  <r>
    <s v="TX500444"/>
    <s v="Pajama Sets"/>
    <n v="3"/>
    <n v="22.6"/>
    <n v="67.800000000000011"/>
    <d v="2025-01-20T00:00:00"/>
    <d v="2025-01-21T00:00:00"/>
    <s v="M"/>
    <s v="Website"/>
    <n v="4"/>
    <s v="California"/>
    <s v="Santa Clara County"/>
    <x v="3"/>
    <n v="4"/>
    <e v="#NAME?"/>
  </r>
  <r>
    <s v="TX500445"/>
    <s v="Tank Tops"/>
    <n v="15"/>
    <n v="126.9"/>
    <n v="1903.5"/>
    <d v="2025-01-20T00:00:00"/>
    <d v="2025-01-22T00:00:00"/>
    <s v="F"/>
    <s v="App"/>
    <n v="5"/>
    <s v="California"/>
    <s v="Santa Clara County"/>
    <x v="1"/>
    <n v="4"/>
    <e v="#NAME?"/>
  </r>
  <r>
    <s v="TX500446"/>
    <s v="Sneakers"/>
    <n v="2"/>
    <n v="100.3"/>
    <n v="200.6"/>
    <d v="2025-01-20T00:00:00"/>
    <d v="2025-01-21T00:00:00"/>
    <s v="F"/>
    <s v="App"/>
    <n v="3"/>
    <s v="California"/>
    <s v="Santa Clara County"/>
    <x v="3"/>
    <n v="4"/>
    <e v="#NAME?"/>
  </r>
  <r>
    <s v="TX500447"/>
    <s v="Graphic Tees"/>
    <n v="18"/>
    <n v="24.6"/>
    <n v="442.8"/>
    <d v="2025-01-20T00:00:00"/>
    <d v="2025-01-21T00:00:00"/>
    <s v="F"/>
    <s v="Partner App"/>
    <n v="4"/>
    <s v="California"/>
    <s v="Ventura County"/>
    <x v="3"/>
    <n v="4"/>
    <e v="#NAME?"/>
  </r>
  <r>
    <s v="TX500448"/>
    <s v="Jeans"/>
    <n v="2"/>
    <n v="47.3"/>
    <n v="94.6"/>
    <d v="2025-01-20T00:00:00"/>
    <d v="2025-01-21T00:00:00"/>
    <s v="M"/>
    <s v="Website"/>
    <n v="5"/>
    <s v="California"/>
    <s v="Ventura County"/>
    <x v="3"/>
    <n v="4"/>
    <e v="#NAME?"/>
  </r>
  <r>
    <s v="TX500449"/>
    <s v="Jeans"/>
    <n v="7"/>
    <n v="40.799999999999997"/>
    <n v="285.59999999999997"/>
    <d v="2025-01-20T00:00:00"/>
    <d v="2025-01-23T00:00:00"/>
    <s v="F"/>
    <s v="Target.com"/>
    <n v="5"/>
    <s v="California"/>
    <s v="Alameda County"/>
    <x v="2"/>
    <n v="4"/>
    <e v="#NAME?"/>
  </r>
  <r>
    <s v="TX500450"/>
    <s v="T-Shirts"/>
    <n v="8"/>
    <n v="49.2"/>
    <n v="393.6"/>
    <d v="2025-01-20T00:00:00"/>
    <d v="2025-01-22T00:00:00"/>
    <s v="F"/>
    <s v="App"/>
    <n v="4"/>
    <s v="California"/>
    <s v="Contra Costa County"/>
    <x v="1"/>
    <n v="4"/>
    <e v="#NAME?"/>
  </r>
  <r>
    <s v="TX500451"/>
    <s v="T-Shirts"/>
    <n v="1"/>
    <n v="28.5"/>
    <n v="28.5"/>
    <d v="2025-01-20T00:00:00"/>
    <d v="2025-01-22T00:00:00"/>
    <s v=""/>
    <s v="Target.com"/>
    <n v="3"/>
    <s v="California"/>
    <s v="Los Angeles County"/>
    <x v="1"/>
    <n v="4"/>
    <e v="#NAME?"/>
  </r>
  <r>
    <s v="TX500452"/>
    <s v="Leggings"/>
    <n v="2"/>
    <n v="36.799999999999997"/>
    <n v="73.599999999999994"/>
    <d v="2025-01-20T00:00:00"/>
    <d v="2025-01-26T00:00:00"/>
    <s v="F"/>
    <s v="App"/>
    <n v="5"/>
    <s v="California"/>
    <s v="Los Angeles County"/>
    <x v="4"/>
    <n v="4"/>
    <e v="#NAME?"/>
  </r>
  <r>
    <s v="TX500453"/>
    <s v="Hoodies &amp; Sweatshirts"/>
    <n v="3"/>
    <n v="33.5"/>
    <n v="100.5"/>
    <d v="2025-01-20T00:00:00"/>
    <d v="2025-01-21T00:00:00"/>
    <s v="F"/>
    <s v="App"/>
    <n v="3"/>
    <s v="California"/>
    <s v="Los Angeles County"/>
    <x v="3"/>
    <n v="4"/>
    <e v="#NAME?"/>
  </r>
  <r>
    <s v="TX500454"/>
    <s v="Jeans"/>
    <n v="6"/>
    <n v="62.5"/>
    <n v="375"/>
    <d v="2025-01-20T00:00:00"/>
    <d v="2025-01-22T00:00:00"/>
    <s v="F"/>
    <s v="App"/>
    <n v="4"/>
    <s v="California"/>
    <s v="Los Angeles County"/>
    <x v="1"/>
    <n v="4"/>
    <e v="#NAME?"/>
  </r>
  <r>
    <s v="TX500455"/>
    <s v="T-Shirts"/>
    <n v="40"/>
    <n v="47.9"/>
    <n v="1916"/>
    <d v="2025-01-20T00:00:00"/>
    <d v="2025-01-21T00:00:00"/>
    <s v="F"/>
    <s v="Instagram"/>
    <n v="4"/>
    <s v="California"/>
    <s v="Los Angeles County"/>
    <x v="3"/>
    <n v="4"/>
    <e v="#NAME?"/>
  </r>
  <r>
    <s v="TX500456"/>
    <s v="Jeans"/>
    <n v="6"/>
    <n v="92.9"/>
    <n v="557.40000000000009"/>
    <d v="2025-01-20T00:00:00"/>
    <d v="2025-01-31T00:00:00"/>
    <s v="F"/>
    <s v="App"/>
    <n v="2"/>
    <s v="California"/>
    <s v="Los Angeles County"/>
    <x v="11"/>
    <n v="4"/>
    <e v="#NAME?"/>
  </r>
  <r>
    <s v="TX500457"/>
    <s v="Casual Dresses"/>
    <n v="3"/>
    <n v="44.1"/>
    <n v="132.30000000000001"/>
    <d v="2025-01-20T00:00:00"/>
    <d v="2025-01-20T00:00:00"/>
    <s v="F"/>
    <s v="Website"/>
    <n v="3"/>
    <s v="California"/>
    <s v="Marin County"/>
    <x v="7"/>
    <n v="4"/>
    <e v="#NAME?"/>
  </r>
  <r>
    <s v="TX500458"/>
    <s v="Shorts"/>
    <n v="1"/>
    <n v="11.4"/>
    <n v="11.4"/>
    <d v="2025-01-21T00:00:00"/>
    <d v="2025-01-23T00:00:00"/>
    <s v="F"/>
    <s v="Target.com"/>
    <n v="4"/>
    <s v="California"/>
    <s v="Placer County"/>
    <x v="1"/>
    <n v="4"/>
    <e v="#NAME?"/>
  </r>
  <r>
    <s v="TX500459"/>
    <s v="Jeans"/>
    <n v="1"/>
    <n v="83.7"/>
    <n v="83.7"/>
    <d v="2025-01-21T00:00:00"/>
    <d v="2025-01-23T00:00:00"/>
    <s v="F"/>
    <s v="App"/>
    <n v="5"/>
    <s v="California"/>
    <s v="Sacramento County"/>
    <x v="1"/>
    <n v="4"/>
    <e v="#NAME?"/>
  </r>
  <r>
    <s v="TX500460"/>
    <s v="Bikinis"/>
    <n v="2"/>
    <n v="23.2"/>
    <n v="46.4"/>
    <d v="2025-01-21T00:00:00"/>
    <d v="2025-01-22T00:00:00"/>
    <s v="M"/>
    <s v="Target.com"/>
    <n v="4"/>
    <s v="California"/>
    <s v="San Diego County"/>
    <x v="3"/>
    <n v="4"/>
    <e v="#NAME?"/>
  </r>
  <r>
    <s v="TX500461"/>
    <s v="Sneakers"/>
    <n v="1"/>
    <n v="162.1"/>
    <n v="162.1"/>
    <d v="2025-01-21T00:00:00"/>
    <d v="2025-01-24T00:00:00"/>
    <s v="F"/>
    <s v="App"/>
    <n v="5"/>
    <s v="California"/>
    <s v="San Mateo County"/>
    <x v="2"/>
    <n v="4"/>
    <e v="#NAME?"/>
  </r>
  <r>
    <s v="TX500462"/>
    <s v="Jeans"/>
    <n v="4"/>
    <n v="49.2"/>
    <n v="196.8"/>
    <d v="2025-01-21T00:00:00"/>
    <d v="2025-01-25T00:00:00"/>
    <s v="M"/>
    <s v="Website"/>
    <n v="4"/>
    <s v="California"/>
    <s v="San Mateo County"/>
    <x v="5"/>
    <n v="4"/>
    <e v="#NAME?"/>
  </r>
  <r>
    <s v="TX500463"/>
    <s v="Tank Tops"/>
    <n v="2"/>
    <n v="61"/>
    <n v="122"/>
    <d v="2025-01-21T00:00:00"/>
    <d v="2025-01-22T00:00:00"/>
    <s v="M"/>
    <s v="Instagram"/>
    <n v="4"/>
    <s v="California"/>
    <s v="Santa Barbara County"/>
    <x v="3"/>
    <n v="4"/>
    <e v="#NAME?"/>
  </r>
  <r>
    <s v="TX500464"/>
    <s v="Sneakers"/>
    <n v="10"/>
    <n v="53.1"/>
    <n v="531"/>
    <d v="2025-01-21T00:00:00"/>
    <d v="2025-01-23T00:00:00"/>
    <s v="M"/>
    <s v="App"/>
    <n v="4"/>
    <s v="California"/>
    <s v="Santa Clara County"/>
    <x v="1"/>
    <n v="4"/>
    <e v="#NAME?"/>
  </r>
  <r>
    <s v="TX500465"/>
    <s v="Graphic Tees"/>
    <n v="2"/>
    <n v="22.4"/>
    <n v="44.8"/>
    <d v="2025-01-21T00:00:00"/>
    <d v="2025-01-23T00:00:00"/>
    <s v=""/>
    <s v="Website"/>
    <n v="5"/>
    <s v="California"/>
    <s v="Ventura County"/>
    <x v="1"/>
    <n v="4"/>
    <e v="#NAME?"/>
  </r>
  <r>
    <s v="TX500466"/>
    <s v="Tank Tops"/>
    <n v="5"/>
    <n v="75.3"/>
    <n v="376.5"/>
    <d v="2025-01-21T00:00:00"/>
    <d v="2025-01-22T00:00:00"/>
    <s v="M"/>
    <s v="App"/>
    <n v="4"/>
    <s v="California"/>
    <s v="Alameda County"/>
    <x v="3"/>
    <n v="4"/>
    <e v="#NAME?"/>
  </r>
  <r>
    <s v="TX500467"/>
    <s v="Jeans"/>
    <n v="1"/>
    <n v="48.5"/>
    <n v="48.5"/>
    <d v="2025-01-21T00:00:00"/>
    <d v="2025-01-22T00:00:00"/>
    <s v="F"/>
    <s v="App"/>
    <n v="3"/>
    <s v="California"/>
    <s v="Alameda County"/>
    <x v="3"/>
    <n v="4"/>
    <e v="#NAME?"/>
  </r>
  <r>
    <s v="TX500468"/>
    <s v="Jeans"/>
    <n v="1"/>
    <n v="42.6"/>
    <n v="42.6"/>
    <d v="2025-01-21T00:00:00"/>
    <d v="2025-01-25T00:00:00"/>
    <s v="F"/>
    <s v="Instagram"/>
    <n v="4"/>
    <s v="California"/>
    <s v="Contra Costa County"/>
    <x v="5"/>
    <n v="4"/>
    <e v="#NAME?"/>
  </r>
  <r>
    <s v="TX500469"/>
    <s v="Sandals"/>
    <n v="5"/>
    <n v="49"/>
    <n v="245"/>
    <d v="2025-01-21T00:00:00"/>
    <d v="2025-01-22T00:00:00"/>
    <s v="M"/>
    <s v="App"/>
    <n v="4"/>
    <s v="California"/>
    <s v="Kern County"/>
    <x v="3"/>
    <n v="4"/>
    <e v="#NAME?"/>
  </r>
  <r>
    <s v="TX500470"/>
    <s v="T-Shirts"/>
    <n v="3"/>
    <n v="31.3"/>
    <n v="93.9"/>
    <d v="2025-01-21T00:00:00"/>
    <d v="2025-01-22T00:00:00"/>
    <s v="M"/>
    <s v="Target.com"/>
    <n v="3"/>
    <s v="California"/>
    <s v="Los Angeles County"/>
    <x v="3"/>
    <n v="4"/>
    <e v="#NAME?"/>
  </r>
  <r>
    <s v="TX500471"/>
    <s v="Sneakers"/>
    <n v="2"/>
    <n v="85.4"/>
    <n v="170.8"/>
    <d v="2025-01-21T00:00:00"/>
    <d v="2025-01-22T00:00:00"/>
    <s v="F"/>
    <s v="Target.com"/>
    <n v="4"/>
    <s v="California"/>
    <s v="Los Angeles County"/>
    <x v="3"/>
    <n v="4"/>
    <e v="#NAME?"/>
  </r>
  <r>
    <s v="TX500472"/>
    <s v="T-Shirts"/>
    <n v="4"/>
    <n v="40"/>
    <n v="160"/>
    <d v="2025-01-21T00:00:00"/>
    <d v="2025-01-22T00:00:00"/>
    <s v="O"/>
    <s v="App"/>
    <n v="5"/>
    <s v="California"/>
    <s v="Los Angeles County"/>
    <x v="3"/>
    <n v="4"/>
    <e v="#NAME?"/>
  </r>
  <r>
    <s v="TX500473"/>
    <s v="Sandals"/>
    <n v="2"/>
    <n v="38.5"/>
    <n v="77"/>
    <d v="2025-01-21T00:00:00"/>
    <d v="2025-01-24T00:00:00"/>
    <s v="M"/>
    <s v="Website"/>
    <n v="5"/>
    <s v="California"/>
    <s v="Los Angeles County"/>
    <x v="2"/>
    <n v="4"/>
    <e v="#NAME?"/>
  </r>
  <r>
    <s v="TX500474"/>
    <s v="Sneakers"/>
    <n v="2"/>
    <n v="57.8"/>
    <n v="115.6"/>
    <d v="2025-01-21T00:00:00"/>
    <d v="2025-01-22T00:00:00"/>
    <s v=""/>
    <s v="App"/>
    <n v="4"/>
    <s v="California"/>
    <s v="Los Angeles County"/>
    <x v="3"/>
    <n v="4"/>
    <e v="#NAME?"/>
  </r>
  <r>
    <s v="TX500475"/>
    <s v="T-Shirts"/>
    <n v="1"/>
    <n v="19.2"/>
    <n v="19.2"/>
    <d v="2025-01-21T00:00:00"/>
    <d v="2025-01-22T00:00:00"/>
    <s v="F"/>
    <s v="App"/>
    <n v="2"/>
    <s v="California"/>
    <s v="Los Angeles County"/>
    <x v="3"/>
    <n v="4"/>
    <e v="#NAME?"/>
  </r>
  <r>
    <s v="TX500476"/>
    <s v="Jeans"/>
    <n v="6"/>
    <n v="114.8"/>
    <n v="688.8"/>
    <d v="2025-01-21T00:00:00"/>
    <d v="2025-01-24T00:00:00"/>
    <s v="M"/>
    <s v="Website"/>
    <n v="3"/>
    <s v="California"/>
    <s v="Los Angeles County"/>
    <x v="2"/>
    <n v="4"/>
    <e v="#NAME?"/>
  </r>
  <r>
    <s v="TX500477"/>
    <s v="Bikinis"/>
    <n v="7"/>
    <n v="48.4"/>
    <n v="338.8"/>
    <d v="2025-01-21T00:00:00"/>
    <d v="2025-01-24T00:00:00"/>
    <s v="F"/>
    <s v="Instagram"/>
    <n v="3"/>
    <s v="California"/>
    <s v="Los Angeles County"/>
    <x v="2"/>
    <n v="4"/>
    <e v="#NAME?"/>
  </r>
  <r>
    <s v="TX500478"/>
    <s v="Sundresses"/>
    <n v="5"/>
    <n v="73.2"/>
    <n v="366"/>
    <d v="2025-01-21T00:00:00"/>
    <d v="2025-01-22T00:00:00"/>
    <s v="F"/>
    <s v="Website"/>
    <n v="2"/>
    <s v="California"/>
    <s v="Los Angeles County"/>
    <x v="3"/>
    <n v="4"/>
    <e v="#NAME?"/>
  </r>
  <r>
    <s v="TX500479"/>
    <s v="Crop Tops"/>
    <n v="2"/>
    <n v="48.6"/>
    <n v="97.2"/>
    <d v="2025-01-21T00:00:00"/>
    <d v="2025-01-25T00:00:00"/>
    <s v="F"/>
    <s v="Instagram"/>
    <n v="4"/>
    <s v="California"/>
    <s v="Los Angeles County"/>
    <x v="5"/>
    <n v="4"/>
    <e v="#NAME?"/>
  </r>
  <r>
    <s v="TX500480"/>
    <s v="Shorts"/>
    <n v="6"/>
    <n v="48.7"/>
    <n v="292.20000000000005"/>
    <d v="2025-01-21T00:00:00"/>
    <d v="2025-01-22T00:00:00"/>
    <s v="M"/>
    <s v="App"/>
    <n v="4"/>
    <s v="California"/>
    <s v="Los Angeles County"/>
    <x v="3"/>
    <n v="4"/>
    <e v="#NAME?"/>
  </r>
  <r>
    <s v="TX500481"/>
    <s v="Graphic Tees"/>
    <n v="2"/>
    <n v="32.200000000000003"/>
    <n v="64.400000000000006"/>
    <d v="2025-01-21T00:00:00"/>
    <d v="2025-01-24T00:00:00"/>
    <s v="M"/>
    <s v="Target.com"/>
    <n v="5"/>
    <s v="California"/>
    <s v="Los Angeles County"/>
    <x v="2"/>
    <n v="4"/>
    <e v="#NAME?"/>
  </r>
  <r>
    <s v="TX500482"/>
    <s v="Crop Tops"/>
    <n v="8"/>
    <n v="25.8"/>
    <n v="206.4"/>
    <d v="2025-01-21T00:00:00"/>
    <d v="2025-01-22T00:00:00"/>
    <s v="M"/>
    <s v="App"/>
    <n v="4"/>
    <s v="California"/>
    <s v="Madera County"/>
    <x v="3"/>
    <n v="4"/>
    <e v="#NAME?"/>
  </r>
  <r>
    <s v="TX500483"/>
    <s v="Jeans"/>
    <n v="2"/>
    <n v="94.8"/>
    <n v="189.6"/>
    <d v="2025-01-22T00:00:00"/>
    <d v="2025-01-25T00:00:00"/>
    <s v="F"/>
    <s v="Website"/>
    <n v="3"/>
    <s v="California"/>
    <s v="Orange County"/>
    <x v="2"/>
    <n v="4"/>
    <e v="#NAME?"/>
  </r>
  <r>
    <s v="TX500484"/>
    <s v="Crop Tops"/>
    <n v="25"/>
    <n v="56.8"/>
    <n v="1420"/>
    <d v="2025-01-22T00:00:00"/>
    <d v="2025-01-25T00:00:00"/>
    <s v="M"/>
    <s v="App"/>
    <n v="4"/>
    <s v="California"/>
    <s v="Orange County"/>
    <x v="2"/>
    <n v="4"/>
    <e v="#NAME?"/>
  </r>
  <r>
    <s v="TX500485"/>
    <s v="T-Shirts"/>
    <n v="16"/>
    <n v="18.3"/>
    <n v="292.8"/>
    <d v="2025-01-22T00:00:00"/>
    <d v="2025-01-29T00:00:00"/>
    <s v="F"/>
    <s v="Target.com"/>
    <n v="5"/>
    <s v="California"/>
    <s v="Riverside County"/>
    <x v="6"/>
    <n v="4"/>
    <e v="#NAME?"/>
  </r>
  <r>
    <s v="TX500486"/>
    <s v="Shorts"/>
    <n v="3"/>
    <n v="16.8"/>
    <n v="50.400000000000006"/>
    <d v="2025-01-22T00:00:00"/>
    <d v="2025-01-27T00:00:00"/>
    <s v="F"/>
    <s v="Target.com"/>
    <n v="5"/>
    <s v="California"/>
    <s v="San Diego County"/>
    <x v="0"/>
    <n v="4"/>
    <e v="#NAME?"/>
  </r>
  <r>
    <s v="TX500487"/>
    <s v="Sandals"/>
    <n v="11"/>
    <n v="35.799999999999997"/>
    <n v="393.79999999999995"/>
    <d v="2025-01-22T00:00:00"/>
    <d v="2025-01-23T00:00:00"/>
    <s v="M"/>
    <s v="Website"/>
    <n v="4"/>
    <s v="California"/>
    <s v="San Francisco"/>
    <x v="3"/>
    <n v="4"/>
    <e v="#NAME?"/>
  </r>
  <r>
    <s v="TX500488"/>
    <s v="Leggings"/>
    <n v="1"/>
    <n v="64.900000000000006"/>
    <n v="64.900000000000006"/>
    <d v="2025-01-22T00:00:00"/>
    <d v="2025-01-23T00:00:00"/>
    <s v="M"/>
    <s v="App"/>
    <n v="3"/>
    <s v="California"/>
    <s v="San Francisco"/>
    <x v="3"/>
    <n v="4"/>
    <e v="#NAME?"/>
  </r>
  <r>
    <s v="TX500489"/>
    <s v="Leggings"/>
    <n v="1"/>
    <n v="28.5"/>
    <n v="28.5"/>
    <d v="2025-01-22T00:00:00"/>
    <d v="2025-01-24T00:00:00"/>
    <s v=""/>
    <s v="Website"/>
    <n v="4"/>
    <s v="California"/>
    <s v="San Mateo County"/>
    <x v="1"/>
    <n v="4"/>
    <e v="#NAME?"/>
  </r>
  <r>
    <s v="TX500490"/>
    <s v="Leggings"/>
    <n v="2"/>
    <n v="103.5"/>
    <n v="207"/>
    <d v="2025-01-22T00:00:00"/>
    <d v="2025-01-24T00:00:00"/>
    <s v="F"/>
    <s v="Website"/>
    <n v="4"/>
    <s v="California"/>
    <s v="Santa Barbara County"/>
    <x v="1"/>
    <n v="4"/>
    <e v="#NAME?"/>
  </r>
  <r>
    <s v="TX500491"/>
    <s v="Graphic Tees"/>
    <n v="2"/>
    <n v="41.2"/>
    <n v="82.4"/>
    <d v="2025-01-22T00:00:00"/>
    <d v="2025-01-23T00:00:00"/>
    <s v="F"/>
    <s v="Website"/>
    <n v="4"/>
    <s v="California"/>
    <s v="Santa Barbara County"/>
    <x v="3"/>
    <n v="4"/>
    <e v="#NAME?"/>
  </r>
  <r>
    <s v="TX500492"/>
    <s v="Sundresses"/>
    <n v="1"/>
    <n v="37.799999999999997"/>
    <n v="37.799999999999997"/>
    <d v="2025-01-22T00:00:00"/>
    <d v="2025-01-24T00:00:00"/>
    <s v="F"/>
    <s v="Instagram"/>
    <n v="1"/>
    <s v="California"/>
    <s v="Santa Clara County"/>
    <x v="1"/>
    <n v="4"/>
    <e v="#NAME?"/>
  </r>
  <r>
    <s v="TX500493"/>
    <s v="T-Shirts"/>
    <n v="2"/>
    <n v="42.6"/>
    <n v="85.2"/>
    <d v="2025-01-22T00:00:00"/>
    <d v="2025-01-24T00:00:00"/>
    <s v="F"/>
    <s v="Partner App"/>
    <n v="4"/>
    <s v="California"/>
    <s v="Santa Clara County"/>
    <x v="1"/>
    <n v="4"/>
    <e v="#NAME?"/>
  </r>
  <r>
    <s v="TX500494"/>
    <s v="T-Shirts"/>
    <n v="10"/>
    <n v="15.2"/>
    <n v="152"/>
    <d v="2025-01-22T00:00:00"/>
    <d v="2025-01-24T00:00:00"/>
    <s v="F"/>
    <s v="Target.com"/>
    <n v="4"/>
    <s v="California"/>
    <s v="Santa Clara County"/>
    <x v="1"/>
    <n v="4"/>
    <e v="#NAME?"/>
  </r>
  <r>
    <s v="TX500495"/>
    <s v="Hoodies &amp; Sweatshirts"/>
    <n v="4"/>
    <n v="83.4"/>
    <n v="333.6"/>
    <d v="2025-01-22T00:00:00"/>
    <d v="2025-01-23T00:00:00"/>
    <s v="F"/>
    <s v="Target.com"/>
    <n v="3"/>
    <s v="California"/>
    <s v="Sonoma County"/>
    <x v="3"/>
    <n v="4"/>
    <e v="#NAME?"/>
  </r>
  <r>
    <s v="TX500496"/>
    <s v="Jewelry"/>
    <n v="2"/>
    <n v="27.7"/>
    <n v="55.4"/>
    <d v="2025-01-22T00:00:00"/>
    <d v="2025-01-23T00:00:00"/>
    <s v="F"/>
    <s v="App"/>
    <n v="3"/>
    <s v="California"/>
    <s v="Ventura County"/>
    <x v="3"/>
    <n v="4"/>
    <e v="#NAME?"/>
  </r>
  <r>
    <s v="TX500497"/>
    <s v="Bikinis"/>
    <n v="12"/>
    <n v="20.8"/>
    <n v="249.60000000000002"/>
    <d v="2025-01-22T00:00:00"/>
    <d v="2025-01-23T00:00:00"/>
    <s v="M"/>
    <s v="Instagram"/>
    <n v="4"/>
    <s v="California"/>
    <s v="Ventura County"/>
    <x v="3"/>
    <n v="4"/>
    <e v="#NAME?"/>
  </r>
  <r>
    <s v="TX500498"/>
    <s v="Maxi Dresses"/>
    <n v="2"/>
    <n v="72.7"/>
    <n v="145.4"/>
    <d v="2025-01-22T00:00:00"/>
    <d v="2025-01-26T00:00:00"/>
    <s v="F"/>
    <s v="Partner App"/>
    <n v="5"/>
    <s v="California"/>
    <s v="Humboldt County"/>
    <x v="5"/>
    <n v="4"/>
    <e v="#NAME?"/>
  </r>
  <r>
    <s v="TX500499"/>
    <s v="Bikinis"/>
    <n v="4"/>
    <n v="38.6"/>
    <n v="154.4"/>
    <d v="2025-01-22T00:00:00"/>
    <d v="2025-01-23T00:00:00"/>
    <s v="M"/>
    <s v="App"/>
    <n v="5"/>
    <s v="California"/>
    <s v="Kern County"/>
    <x v="3"/>
    <n v="4"/>
    <e v="#NAME?"/>
  </r>
  <r>
    <s v="TX500500"/>
    <s v="T-Shirts"/>
    <n v="7"/>
    <n v="33.1"/>
    <n v="231.70000000000002"/>
    <d v="2025-01-22T00:00:00"/>
    <d v="2025-01-23T00:00:00"/>
    <s v="O"/>
    <s v="Partner App"/>
    <n v="1"/>
    <s v="California"/>
    <s v="Los Angeles County"/>
    <x v="3"/>
    <n v="4"/>
    <e v="#NAME?"/>
  </r>
  <r>
    <s v="TX500501"/>
    <s v="Bikinis"/>
    <n v="2"/>
    <n v="30.5"/>
    <n v="61"/>
    <d v="2025-01-22T00:00:00"/>
    <d v="2025-01-22T00:00:00"/>
    <s v=""/>
    <s v="Website"/>
    <n v="3"/>
    <s v="California"/>
    <s v="Los Angeles County"/>
    <x v="7"/>
    <n v="4"/>
    <e v="#NAME?"/>
  </r>
  <r>
    <s v="TX500502"/>
    <s v="Sundresses"/>
    <n v="2"/>
    <n v="69.599999999999994"/>
    <n v="139.19999999999999"/>
    <d v="2025-01-22T00:00:00"/>
    <d v="2025-01-23T00:00:00"/>
    <s v="M"/>
    <s v="App"/>
    <n v="3"/>
    <s v="California"/>
    <s v="Los Angeles County"/>
    <x v="3"/>
    <n v="4"/>
    <e v="#NAME?"/>
  </r>
  <r>
    <s v="TX500503"/>
    <s v="Maxi Dresses"/>
    <n v="1"/>
    <n v="42.4"/>
    <n v="42.4"/>
    <d v="2025-01-22T00:00:00"/>
    <d v="2025-01-26T00:00:00"/>
    <s v="F"/>
    <s v="Website"/>
    <n v="4"/>
    <s v="California"/>
    <s v="Los Angeles County"/>
    <x v="5"/>
    <n v="4"/>
    <e v="#NAME?"/>
  </r>
  <r>
    <s v="TX500504"/>
    <s v="Pajama Sets"/>
    <n v="1"/>
    <n v="32.200000000000003"/>
    <n v="32.200000000000003"/>
    <d v="2025-01-22T00:00:00"/>
    <d v="2025-01-25T00:00:00"/>
    <s v="F"/>
    <s v="Target.com"/>
    <n v="3"/>
    <s v="California"/>
    <s v="Los Angeles County"/>
    <x v="2"/>
    <n v="4"/>
    <e v="#NAME?"/>
  </r>
  <r>
    <s v="TX500505"/>
    <s v="Jeans"/>
    <n v="2"/>
    <n v="41.5"/>
    <n v="83"/>
    <d v="2025-01-22T00:00:00"/>
    <d v="2025-01-25T00:00:00"/>
    <s v="F"/>
    <s v="App"/>
    <n v="5"/>
    <s v="California"/>
    <s v="Los Angeles County"/>
    <x v="2"/>
    <n v="4"/>
    <e v="#NAME?"/>
  </r>
  <r>
    <s v="TX500506"/>
    <s v="Sunglasses"/>
    <n v="9"/>
    <n v="58.9"/>
    <n v="530.1"/>
    <d v="2025-01-22T00:00:00"/>
    <d v="2025-01-26T00:00:00"/>
    <s v="F"/>
    <s v="Instagram"/>
    <n v="4"/>
    <s v="California"/>
    <s v="Los Angeles County"/>
    <x v="5"/>
    <n v="4"/>
    <e v="#NAME?"/>
  </r>
  <r>
    <s v="TX500507"/>
    <s v="Sneakers"/>
    <n v="1"/>
    <n v="57.1"/>
    <n v="57.1"/>
    <d v="2025-01-22T00:00:00"/>
    <d v="2025-01-25T00:00:00"/>
    <s v="F"/>
    <s v="Website"/>
    <n v="4"/>
    <s v="California"/>
    <s v="Los Angeles County"/>
    <x v="2"/>
    <n v="4"/>
    <e v="#NAME?"/>
  </r>
  <r>
    <s v="TX500508"/>
    <s v="Jeans"/>
    <n v="1"/>
    <n v="57.2"/>
    <n v="57.2"/>
    <d v="2025-01-22T00:00:00"/>
    <d v="2025-01-24T00:00:00"/>
    <s v="M"/>
    <s v="Website"/>
    <n v="4"/>
    <s v="California"/>
    <s v="Los Angeles County"/>
    <x v="1"/>
    <n v="4"/>
    <e v="#NAME?"/>
  </r>
  <r>
    <s v="TX500509"/>
    <s v="T-Shirts"/>
    <n v="2"/>
    <n v="35.1"/>
    <n v="70.2"/>
    <d v="2025-01-22T00:00:00"/>
    <d v="2025-01-23T00:00:00"/>
    <s v="M"/>
    <s v="Website"/>
    <n v="4"/>
    <s v="California"/>
    <s v="Sacramento County"/>
    <x v="3"/>
    <n v="4"/>
    <e v="#NAME?"/>
  </r>
  <r>
    <s v="TX500510"/>
    <s v="Tank Tops"/>
    <n v="1"/>
    <n v="52.1"/>
    <n v="52.1"/>
    <d v="2025-01-22T00:00:00"/>
    <d v="2025-01-24T00:00:00"/>
    <s v="F"/>
    <s v="Partner App"/>
    <n v="3"/>
    <s v="California"/>
    <s v="San Diego County"/>
    <x v="1"/>
    <n v="4"/>
    <e v="#NAME?"/>
  </r>
  <r>
    <s v="TX500511"/>
    <s v="Tote Bags"/>
    <n v="3"/>
    <n v="59.8"/>
    <n v="179.39999999999998"/>
    <d v="2025-01-22T00:00:00"/>
    <d v="2025-01-24T00:00:00"/>
    <s v="F"/>
    <s v="Partner App"/>
    <n v="3"/>
    <s v="California"/>
    <s v="San Diego County"/>
    <x v="1"/>
    <n v="4"/>
    <e v="#NAME?"/>
  </r>
  <r>
    <s v="TX500512"/>
    <s v="Workout Tops"/>
    <n v="4"/>
    <n v="83.3"/>
    <n v="333.2"/>
    <d v="2025-01-22T00:00:00"/>
    <d v="2025-01-22T00:00:00"/>
    <s v=""/>
    <s v="Target.com"/>
    <n v="4"/>
    <s v="California"/>
    <s v="San Diego County"/>
    <x v="7"/>
    <n v="4"/>
    <e v="#NAME?"/>
  </r>
  <r>
    <s v="TX500513"/>
    <s v="Crop Tops"/>
    <n v="12"/>
    <n v="41.3"/>
    <n v="495.59999999999997"/>
    <d v="2025-01-22T00:00:00"/>
    <d v="2025-01-23T00:00:00"/>
    <s v="F"/>
    <s v="Website"/>
    <n v="4"/>
    <s v="California"/>
    <s v="San Diego County"/>
    <x v="3"/>
    <n v="4"/>
    <e v="#NAME?"/>
  </r>
  <r>
    <s v="TX500514"/>
    <s v="T-Shirts"/>
    <n v="5"/>
    <n v="16"/>
    <n v="80"/>
    <d v="2025-01-22T00:00:00"/>
    <d v="2025-01-24T00:00:00"/>
    <s v="M"/>
    <s v="Partner App"/>
    <n v="3"/>
    <s v="California"/>
    <s v="San Mateo County"/>
    <x v="1"/>
    <n v="4"/>
    <e v="#NAME?"/>
  </r>
  <r>
    <s v="TX500515"/>
    <s v="Bikinis"/>
    <n v="2"/>
    <n v="20.8"/>
    <n v="41.6"/>
    <d v="2025-01-23T00:00:00"/>
    <d v="2025-01-25T00:00:00"/>
    <s v="M"/>
    <s v="App"/>
    <n v="5"/>
    <s v="California"/>
    <s v="Santa Clara County"/>
    <x v="1"/>
    <n v="4"/>
    <e v="#NAME?"/>
  </r>
  <r>
    <s v="TX500516"/>
    <s v="T-Shirts"/>
    <n v="28"/>
    <n v="27.1"/>
    <n v="758.80000000000007"/>
    <d v="2025-01-23T00:00:00"/>
    <d v="2025-01-24T00:00:00"/>
    <s v=""/>
    <s v="Instagram"/>
    <n v="5"/>
    <s v="California"/>
    <s v="Santa Clara County"/>
    <x v="3"/>
    <n v="4"/>
    <e v="#NAME?"/>
  </r>
  <r>
    <s v="TX500517"/>
    <s v="Bikinis"/>
    <n v="2"/>
    <n v="38.9"/>
    <n v="77.8"/>
    <d v="2025-01-23T00:00:00"/>
    <d v="2025-01-25T00:00:00"/>
    <s v="F"/>
    <s v="App"/>
    <n v="4"/>
    <s v="California"/>
    <s v="Sonoma County"/>
    <x v="1"/>
    <n v="4"/>
    <e v="#NAME?"/>
  </r>
  <r>
    <s v="TX500518"/>
    <s v="Shorts"/>
    <n v="2"/>
    <n v="10.8"/>
    <n v="21.6"/>
    <d v="2025-01-23T00:00:00"/>
    <d v="2025-01-26T00:00:00"/>
    <s v="F"/>
    <s v="Website"/>
    <n v="5"/>
    <s v="California"/>
    <s v="Trinity County"/>
    <x v="2"/>
    <n v="4"/>
    <e v="#NAME?"/>
  </r>
  <r>
    <s v="TX500519"/>
    <s v="Graphic Tees"/>
    <n v="13"/>
    <n v="48.4"/>
    <n v="629.19999999999993"/>
    <d v="2025-01-23T00:00:00"/>
    <d v="2025-01-27T00:00:00"/>
    <s v="F"/>
    <s v="App"/>
    <n v="4"/>
    <s v="California"/>
    <s v="Alameda County"/>
    <x v="5"/>
    <n v="4"/>
    <e v="#NAME?"/>
  </r>
  <r>
    <s v="TX500520"/>
    <s v="Graphic Tees"/>
    <n v="3"/>
    <n v="29.2"/>
    <n v="87.6"/>
    <d v="2025-01-23T00:00:00"/>
    <d v="2025-01-26T00:00:00"/>
    <s v="F"/>
    <s v="Website"/>
    <n v="3"/>
    <s v="California"/>
    <s v="Fresno County"/>
    <x v="2"/>
    <n v="4"/>
    <e v="#NAME?"/>
  </r>
  <r>
    <s v="TX500521"/>
    <s v="Graphic Tees"/>
    <n v="2"/>
    <n v="25.1"/>
    <n v="50.2"/>
    <d v="2025-01-23T00:00:00"/>
    <d v="2025-01-24T00:00:00"/>
    <s v="M"/>
    <s v="App"/>
    <n v="3"/>
    <s v="California"/>
    <s v="Fresno County"/>
    <x v="3"/>
    <n v="4"/>
    <e v="#NAME?"/>
  </r>
  <r>
    <s v="TX500522"/>
    <s v="Hoodies &amp; Sweatshirts"/>
    <n v="3"/>
    <n v="65.599999999999994"/>
    <n v="196.79999999999998"/>
    <d v="2025-01-23T00:00:00"/>
    <d v="2025-01-23T00:00:00"/>
    <s v="F"/>
    <s v="Target.com"/>
    <n v="3"/>
    <s v="California"/>
    <s v="Los Angeles County"/>
    <x v="7"/>
    <n v="4"/>
    <e v="#NAME?"/>
  </r>
  <r>
    <s v="TX500523"/>
    <s v="Sneakers"/>
    <n v="2"/>
    <n v="57.3"/>
    <n v="114.6"/>
    <d v="2025-01-23T00:00:00"/>
    <d v="2025-01-23T00:00:00"/>
    <s v=""/>
    <s v="App"/>
    <n v="4"/>
    <s v="California"/>
    <s v="Los Angeles County"/>
    <x v="7"/>
    <n v="4"/>
    <e v="#NAME?"/>
  </r>
  <r>
    <s v="TX500524"/>
    <s v="Sundresses"/>
    <n v="4"/>
    <n v="22.4"/>
    <n v="89.6"/>
    <d v="2025-01-23T00:00:00"/>
    <d v="2025-01-24T00:00:00"/>
    <s v="F"/>
    <s v="Target.com"/>
    <n v="5"/>
    <s v="California"/>
    <s v="Los Angeles County"/>
    <x v="3"/>
    <n v="4"/>
    <e v="#NAME?"/>
  </r>
  <r>
    <s v="TX500525"/>
    <s v="Casual Dresses"/>
    <n v="9"/>
    <n v="45.7"/>
    <n v="411.3"/>
    <d v="2025-01-23T00:00:00"/>
    <d v="2025-01-24T00:00:00"/>
    <s v="F"/>
    <s v="App"/>
    <n v="4"/>
    <s v="California"/>
    <s v="Los Angeles County"/>
    <x v="3"/>
    <n v="4"/>
    <e v="#NAME?"/>
  </r>
  <r>
    <s v="TX500526"/>
    <s v="T-Shirts"/>
    <n v="2"/>
    <n v="29.3"/>
    <n v="58.6"/>
    <d v="2025-01-23T00:00:00"/>
    <d v="2025-01-24T00:00:00"/>
    <s v="M"/>
    <s v="Website"/>
    <n v="4"/>
    <s v="California"/>
    <s v="Los Angeles County"/>
    <x v="3"/>
    <n v="4"/>
    <e v="#NAME?"/>
  </r>
  <r>
    <s v="TX500527"/>
    <s v="Leggings"/>
    <n v="22"/>
    <n v="74"/>
    <n v="1628"/>
    <d v="2025-01-23T00:00:00"/>
    <d v="2025-01-24T00:00:00"/>
    <s v="M"/>
    <s v="App"/>
    <n v="5"/>
    <s v="California"/>
    <s v="Los Angeles County"/>
    <x v="3"/>
    <n v="4"/>
    <e v="#NAME?"/>
  </r>
  <r>
    <s v="TX500528"/>
    <s v="Baseball Caps"/>
    <n v="2"/>
    <n v="39.200000000000003"/>
    <n v="78.400000000000006"/>
    <d v="2025-01-23T00:00:00"/>
    <d v="2025-01-25T00:00:00"/>
    <s v="F"/>
    <s v="Website"/>
    <n v="4"/>
    <s v="California"/>
    <s v="Los Angeles County"/>
    <x v="1"/>
    <n v="4"/>
    <e v="#NAME?"/>
  </r>
  <r>
    <s v="TX500529"/>
    <s v="Graphic Tees"/>
    <n v="17"/>
    <n v="62.7"/>
    <n v="1065.9000000000001"/>
    <d v="2025-01-23T00:00:00"/>
    <d v="2025-01-24T00:00:00"/>
    <s v="F"/>
    <s v="Target.com"/>
    <n v="3"/>
    <s v="California"/>
    <s v="Los Angeles County"/>
    <x v="3"/>
    <n v="4"/>
    <e v="#NAME?"/>
  </r>
  <r>
    <s v="TX500530"/>
    <s v="Bikinis"/>
    <n v="2"/>
    <n v="60.1"/>
    <n v="120.2"/>
    <d v="2025-01-23T00:00:00"/>
    <d v="2025-01-24T00:00:00"/>
    <s v="F"/>
    <s v="Instagram"/>
    <n v="4"/>
    <s v="California"/>
    <s v="Los Angeles County"/>
    <x v="3"/>
    <n v="4"/>
    <e v="#NAME?"/>
  </r>
  <r>
    <s v="TX500531"/>
    <s v="Shorts"/>
    <n v="4"/>
    <n v="11.2"/>
    <n v="44.8"/>
    <d v="2025-01-23T00:00:00"/>
    <d v="2025-01-24T00:00:00"/>
    <s v="F"/>
    <s v="Instagram"/>
    <n v="3"/>
    <s v="California"/>
    <s v="Los Angeles County"/>
    <x v="3"/>
    <n v="4"/>
    <e v="#NAME?"/>
  </r>
  <r>
    <s v="TX500532"/>
    <s v="T-Shirts"/>
    <n v="2"/>
    <n v="22.9"/>
    <n v="45.8"/>
    <d v="2025-01-23T00:00:00"/>
    <d v="2025-01-24T00:00:00"/>
    <s v="F"/>
    <s v="App"/>
    <n v="4"/>
    <s v="California"/>
    <s v="Sacramento County"/>
    <x v="3"/>
    <n v="4"/>
    <e v="#NAME?"/>
  </r>
  <r>
    <s v="TX500533"/>
    <s v="Tank Tops"/>
    <n v="2"/>
    <n v="37.6"/>
    <n v="75.2"/>
    <d v="2025-01-23T00:00:00"/>
    <d v="2025-01-26T00:00:00"/>
    <s v="F"/>
    <s v="App"/>
    <n v="4"/>
    <s v="California"/>
    <s v="Sacramento County"/>
    <x v="2"/>
    <n v="4"/>
    <e v="#NAME?"/>
  </r>
  <r>
    <s v="TX500534"/>
    <s v="Jeans"/>
    <n v="1"/>
    <n v="42.4"/>
    <n v="42.4"/>
    <d v="2025-01-23T00:00:00"/>
    <d v="2025-01-24T00:00:00"/>
    <s v="F"/>
    <s v="Instagram"/>
    <n v="5"/>
    <s v="California"/>
    <s v="Sacramento County"/>
    <x v="3"/>
    <n v="4"/>
    <e v="#NAME?"/>
  </r>
  <r>
    <s v="TX500535"/>
    <s v="T-Shirts"/>
    <n v="2"/>
    <n v="19.600000000000001"/>
    <n v="39.200000000000003"/>
    <d v="2025-01-23T00:00:00"/>
    <d v="2025-01-27T00:00:00"/>
    <s v="F"/>
    <s v="Target.com"/>
    <n v="4"/>
    <s v="California"/>
    <s v="San Bernardino County"/>
    <x v="5"/>
    <n v="4"/>
    <e v="#NAME?"/>
  </r>
  <r>
    <s v="TX500536"/>
    <s v="Sundresses"/>
    <n v="1"/>
    <n v="90.5"/>
    <n v="90.5"/>
    <d v="2025-01-23T00:00:00"/>
    <d v="2025-01-26T00:00:00"/>
    <s v="F"/>
    <s v="Target.com"/>
    <n v="4"/>
    <s v="California"/>
    <s v="San Bernardino County"/>
    <x v="2"/>
    <n v="4"/>
    <e v="#NAME?"/>
  </r>
  <r>
    <s v="TX500537"/>
    <s v="Sunglasses"/>
    <n v="11"/>
    <n v="33.9"/>
    <n v="372.9"/>
    <d v="2025-01-23T00:00:00"/>
    <d v="2025-01-24T00:00:00"/>
    <s v="M"/>
    <s v="Target.com"/>
    <n v="3"/>
    <s v="California"/>
    <s v="San Bernardino County"/>
    <x v="3"/>
    <n v="4"/>
    <e v="#NAME?"/>
  </r>
  <r>
    <s v="TX500538"/>
    <s v="Shorts"/>
    <n v="2"/>
    <n v="32.799999999999997"/>
    <n v="65.599999999999994"/>
    <d v="2025-01-23T00:00:00"/>
    <d v="2025-01-25T00:00:00"/>
    <s v="F"/>
    <s v="Partner App"/>
    <n v="2"/>
    <s v="California"/>
    <s v="San Diego County"/>
    <x v="1"/>
    <n v="4"/>
    <e v="#NAME?"/>
  </r>
  <r>
    <s v="TX500539"/>
    <s v="Crop Tops"/>
    <n v="1"/>
    <n v="49.9"/>
    <n v="49.9"/>
    <d v="2025-01-23T00:00:00"/>
    <d v="2025-01-24T00:00:00"/>
    <s v="M"/>
    <s v="Instagram"/>
    <n v="3"/>
    <s v="California"/>
    <s v="San Diego County"/>
    <x v="3"/>
    <n v="4"/>
    <e v="#NAME?"/>
  </r>
  <r>
    <s v="TX500540"/>
    <s v="Hoodies &amp; Sweatshirts"/>
    <n v="5"/>
    <n v="79.2"/>
    <n v="396"/>
    <d v="2025-01-23T00:00:00"/>
    <d v="2025-01-24T00:00:00"/>
    <s v="F"/>
    <s v="Partner App"/>
    <n v="4"/>
    <s v="California"/>
    <s v="San Diego County"/>
    <x v="3"/>
    <n v="4"/>
    <e v="#NAME?"/>
  </r>
  <r>
    <s v="TX500541"/>
    <s v="T-Shirts"/>
    <n v="16"/>
    <n v="19.5"/>
    <n v="312"/>
    <d v="2025-01-23T00:00:00"/>
    <d v="2025-01-25T00:00:00"/>
    <s v="M"/>
    <s v="Instagram"/>
    <n v="5"/>
    <s v="California"/>
    <s v="San Diego County"/>
    <x v="1"/>
    <n v="4"/>
    <e v="#NAME?"/>
  </r>
  <r>
    <s v="TX500542"/>
    <s v="T-Shirts"/>
    <n v="4"/>
    <n v="18"/>
    <n v="72"/>
    <d v="2025-01-23T00:00:00"/>
    <d v="2025-01-24T00:00:00"/>
    <s v="M"/>
    <s v="Website"/>
    <n v="4"/>
    <s v="California"/>
    <s v="Santa Barbara County"/>
    <x v="3"/>
    <n v="4"/>
    <e v="#NAME?"/>
  </r>
  <r>
    <s v="TX500543"/>
    <s v="Sundresses"/>
    <n v="3"/>
    <n v="45.9"/>
    <n v="137.69999999999999"/>
    <d v="2025-01-23T00:00:00"/>
    <d v="2025-01-25T00:00:00"/>
    <s v="F"/>
    <s v="Website"/>
    <n v="3"/>
    <s v="California"/>
    <s v="Santa Barbara County"/>
    <x v="1"/>
    <n v="4"/>
    <e v="#NAME?"/>
  </r>
  <r>
    <s v="TX500544"/>
    <s v="Maxi Dresses"/>
    <n v="1"/>
    <n v="41.2"/>
    <n v="41.2"/>
    <d v="2025-01-23T00:00:00"/>
    <d v="2025-01-25T00:00:00"/>
    <s v="F"/>
    <s v="Website"/>
    <n v="5"/>
    <s v="California"/>
    <s v="Santa Clara County"/>
    <x v="1"/>
    <n v="4"/>
    <e v="#NAME?"/>
  </r>
  <r>
    <s v="TX500545"/>
    <s v="Sneakers"/>
    <n v="10"/>
    <n v="167.2"/>
    <n v="1672"/>
    <d v="2025-01-23T00:00:00"/>
    <d v="2025-01-25T00:00:00"/>
    <s v="F"/>
    <s v="Target.com"/>
    <n v="5"/>
    <s v="California"/>
    <s v="Santa Cruz County"/>
    <x v="1"/>
    <n v="4"/>
    <e v="#NAME?"/>
  </r>
  <r>
    <s v="TX500546"/>
    <s v="Jeans"/>
    <n v="30"/>
    <n v="74.5"/>
    <n v="2235"/>
    <d v="2025-01-24T00:00:00"/>
    <d v="2025-01-27T00:00:00"/>
    <s v="F"/>
    <s v="Website"/>
    <n v="5"/>
    <s v="California"/>
    <s v="Solano County"/>
    <x v="2"/>
    <n v="4"/>
    <e v="#NAME?"/>
  </r>
  <r>
    <s v="TX500547"/>
    <s v="Hoodies &amp; Sweatshirts"/>
    <n v="4"/>
    <n v="39.299999999999997"/>
    <n v="157.19999999999999"/>
    <d v="2025-01-24T00:00:00"/>
    <d v="2025-01-25T00:00:00"/>
    <s v=""/>
    <s v="Target.com"/>
    <n v="4"/>
    <s v="California"/>
    <s v="Stanislaus County"/>
    <x v="3"/>
    <n v="4"/>
    <e v="#NAME?"/>
  </r>
  <r>
    <s v="TX500548"/>
    <s v="Sundresses"/>
    <n v="1"/>
    <n v="68.5"/>
    <n v="68.5"/>
    <d v="2025-01-24T00:00:00"/>
    <d v="2025-01-27T00:00:00"/>
    <s v="M"/>
    <s v="Website"/>
    <n v="5"/>
    <s v="California"/>
    <s v="Tehama County"/>
    <x v="2"/>
    <n v="4"/>
    <e v="#NAME?"/>
  </r>
  <r>
    <s v="TX500549"/>
    <s v="Shorts"/>
    <n v="3"/>
    <n v="22.5"/>
    <n v="67.5"/>
    <d v="2025-01-24T00:00:00"/>
    <d v="2025-01-24T00:00:00"/>
    <s v="F"/>
    <s v="Partner App"/>
    <n v="4"/>
    <s v="California"/>
    <s v="Ventura County"/>
    <x v="7"/>
    <n v="4"/>
    <e v="#NAME?"/>
  </r>
  <r>
    <s v="TX500550"/>
    <s v="Tank Tops"/>
    <n v="1"/>
    <n v="48"/>
    <n v="48"/>
    <d v="2025-01-24T00:00:00"/>
    <d v="2025-01-25T00:00:00"/>
    <s v="O"/>
    <s v="Partner App"/>
    <n v="3"/>
    <s v="California"/>
    <s v="Amador County"/>
    <x v="3"/>
    <n v="4"/>
    <e v="#NAME?"/>
  </r>
  <r>
    <s v="TX500551"/>
    <s v="Jeans"/>
    <n v="1"/>
    <n v="94"/>
    <n v="94"/>
    <d v="2025-01-24T00:00:00"/>
    <d v="2025-01-25T00:00:00"/>
    <s v="M"/>
    <s v="Instagram"/>
    <n v="3"/>
    <s v="California"/>
    <s v="Contra Costa County"/>
    <x v="3"/>
    <n v="4"/>
    <e v="#NAME?"/>
  </r>
  <r>
    <s v="TX500552"/>
    <s v="T-Shirts"/>
    <n v="3"/>
    <n v="21.9"/>
    <n v="65.699999999999989"/>
    <d v="2025-01-24T00:00:00"/>
    <d v="2025-01-25T00:00:00"/>
    <s v="F"/>
    <s v="App"/>
    <n v="4"/>
    <s v="California"/>
    <s v="Humboldt County"/>
    <x v="3"/>
    <n v="4"/>
    <e v="#NAME?"/>
  </r>
  <r>
    <s v="TX500553"/>
    <s v="Jeans"/>
    <n v="7"/>
    <n v="64.900000000000006"/>
    <n v="454.30000000000007"/>
    <d v="2025-01-24T00:00:00"/>
    <d v="2025-01-25T00:00:00"/>
    <s v="F"/>
    <s v="App"/>
    <n v="4"/>
    <s v="California"/>
    <s v="Los Angeles County"/>
    <x v="3"/>
    <n v="4"/>
    <e v="#NAME?"/>
  </r>
  <r>
    <s v="TX500554"/>
    <s v="Casual Dresses"/>
    <n v="1"/>
    <n v="52.9"/>
    <n v="52.9"/>
    <d v="2025-01-24T00:00:00"/>
    <d v="2025-01-24T00:00:00"/>
    <s v="F"/>
    <s v="Website"/>
    <n v="3"/>
    <s v="California"/>
    <s v="Los Angeles County"/>
    <x v="7"/>
    <n v="4"/>
    <e v="#NAME?"/>
  </r>
  <r>
    <s v="TX500555"/>
    <s v="T-Shirts"/>
    <n v="3"/>
    <n v="25.5"/>
    <n v="76.5"/>
    <d v="2025-01-24T00:00:00"/>
    <d v="2025-01-25T00:00:00"/>
    <s v="F"/>
    <s v="Website"/>
    <n v="5"/>
    <s v="California"/>
    <s v="Los Angeles County"/>
    <x v="3"/>
    <n v="4"/>
    <e v="#NAME?"/>
  </r>
  <r>
    <s v="TX500556"/>
    <s v="Jeans"/>
    <n v="3"/>
    <n v="51.9"/>
    <n v="155.69999999999999"/>
    <d v="2025-01-24T00:00:00"/>
    <d v="2025-01-25T00:00:00"/>
    <s v="F"/>
    <s v="Instagram"/>
    <n v="4"/>
    <s v="California"/>
    <s v="Los Angeles County"/>
    <x v="3"/>
    <n v="4"/>
    <e v="#NAME?"/>
  </r>
  <r>
    <s v="TX500557"/>
    <s v="Sandals"/>
    <n v="1"/>
    <n v="46.3"/>
    <n v="46.3"/>
    <d v="2025-01-24T00:00:00"/>
    <d v="2025-01-27T00:00:00"/>
    <s v="F"/>
    <s v="Partner App"/>
    <n v="4"/>
    <s v="California"/>
    <s v="Los Angeles County"/>
    <x v="2"/>
    <n v="4"/>
    <e v="#NAME?"/>
  </r>
  <r>
    <s v="TX500558"/>
    <s v="Jeans"/>
    <n v="2"/>
    <n v="68.2"/>
    <n v="136.4"/>
    <d v="2025-01-24T00:00:00"/>
    <d v="2025-01-26T00:00:00"/>
    <s v="F"/>
    <s v="Instagram"/>
    <n v="4"/>
    <s v="California"/>
    <s v="Los Angeles County"/>
    <x v="1"/>
    <n v="4"/>
    <e v="#NAME?"/>
  </r>
  <r>
    <s v="TX500559"/>
    <s v="Tank Tops"/>
    <n v="1"/>
    <n v="40.299999999999997"/>
    <n v="40.299999999999997"/>
    <d v="2025-01-24T00:00:00"/>
    <d v="2025-01-25T00:00:00"/>
    <s v="M"/>
    <s v="App"/>
    <n v="3"/>
    <s v="California"/>
    <s v="Los Angeles County"/>
    <x v="3"/>
    <n v="4"/>
    <e v="#NAME?"/>
  </r>
  <r>
    <s v="TX500560"/>
    <s v="Sneakers"/>
    <n v="3"/>
    <n v="91.3"/>
    <n v="273.89999999999998"/>
    <d v="2025-01-24T00:00:00"/>
    <d v="2025-01-29T00:00:00"/>
    <s v="M"/>
    <s v="App"/>
    <n v="5"/>
    <s v="California"/>
    <s v="Sacramento County"/>
    <x v="0"/>
    <n v="4"/>
    <e v="#NAME?"/>
  </r>
  <r>
    <s v="TX500561"/>
    <s v="Shorts"/>
    <n v="3"/>
    <n v="11.9"/>
    <n v="35.700000000000003"/>
    <d v="2025-01-24T00:00:00"/>
    <d v="2025-01-25T00:00:00"/>
    <s v="F"/>
    <s v="App"/>
    <n v="3"/>
    <s v="California"/>
    <s v="Sacramento County"/>
    <x v="3"/>
    <n v="4"/>
    <e v="#NAME?"/>
  </r>
  <r>
    <s v="TX500562"/>
    <s v="Sneakers"/>
    <n v="2"/>
    <n v="63.5"/>
    <n v="127"/>
    <d v="2025-01-24T00:00:00"/>
    <d v="2025-01-26T00:00:00"/>
    <s v="M"/>
    <s v="Website"/>
    <n v="4"/>
    <s v="California"/>
    <s v="Sacramento County"/>
    <x v="1"/>
    <n v="4"/>
    <e v="#NAME?"/>
  </r>
  <r>
    <s v="TX500563"/>
    <s v="Graphic Tees"/>
    <n v="2"/>
    <n v="27.1"/>
    <n v="54.2"/>
    <d v="2025-01-24T00:00:00"/>
    <d v="2025-01-27T00:00:00"/>
    <s v="M"/>
    <s v="Target.com"/>
    <n v="5"/>
    <s v="California"/>
    <s v="Sacramento County"/>
    <x v="2"/>
    <n v="4"/>
    <e v="#NAME?"/>
  </r>
  <r>
    <s v="TX500564"/>
    <s v="Tank Tops"/>
    <n v="2"/>
    <n v="82.1"/>
    <n v="164.2"/>
    <d v="2025-01-25T00:00:00"/>
    <d v="2025-01-28T00:00:00"/>
    <s v="M"/>
    <s v="Website"/>
    <n v="3"/>
    <s v="California"/>
    <s v="San Bernardino County"/>
    <x v="2"/>
    <n v="4"/>
    <e v="#NAME?"/>
  </r>
  <r>
    <s v="TX500565"/>
    <s v="Workout Tops"/>
    <n v="5"/>
    <n v="42.9"/>
    <n v="214.5"/>
    <d v="2025-01-25T00:00:00"/>
    <d v="2025-01-27T00:00:00"/>
    <s v="F"/>
    <s v="Website"/>
    <n v="4"/>
    <s v="California"/>
    <s v="San Diego County"/>
    <x v="1"/>
    <n v="4"/>
    <e v="#NAME?"/>
  </r>
  <r>
    <s v="TX500566"/>
    <s v="T-Shirts"/>
    <n v="11"/>
    <n v="37.9"/>
    <n v="416.9"/>
    <d v="2025-01-25T00:00:00"/>
    <d v="2025-02-01T00:00:00"/>
    <s v="M"/>
    <s v="App"/>
    <n v="4"/>
    <s v="California"/>
    <s v="San Diego County"/>
    <x v="6"/>
    <n v="4"/>
    <e v="#NAME?"/>
  </r>
  <r>
    <s v="TX500567"/>
    <s v="Shorts"/>
    <n v="1"/>
    <n v="22.4"/>
    <n v="22.4"/>
    <d v="2025-01-25T00:00:00"/>
    <d v="2025-01-26T00:00:00"/>
    <s v="F"/>
    <s v="App"/>
    <n v="3"/>
    <s v="California"/>
    <s v="San Francisco"/>
    <x v="3"/>
    <n v="4"/>
    <e v="#NAME?"/>
  </r>
  <r>
    <s v="TX500568"/>
    <s v="Sneakers"/>
    <n v="13"/>
    <n v="79.900000000000006"/>
    <n v="1038.7"/>
    <d v="2025-01-25T00:00:00"/>
    <d v="2025-02-07T00:00:00"/>
    <s v="F"/>
    <s v="Instagram"/>
    <n v="3"/>
    <s v="California"/>
    <s v="Santa Clara County"/>
    <x v="10"/>
    <n v="4"/>
    <e v="#NAME?"/>
  </r>
  <r>
    <s v="TX500569"/>
    <s v="Tank Tops"/>
    <n v="1"/>
    <n v="70.599999999999994"/>
    <n v="70.599999999999994"/>
    <d v="2025-01-25T00:00:00"/>
    <d v="2025-01-28T00:00:00"/>
    <s v="F"/>
    <s v="App"/>
    <n v="3"/>
    <s v="California"/>
    <s v="Santa Clara County"/>
    <x v="2"/>
    <n v="4"/>
    <e v="#NAME?"/>
  </r>
  <r>
    <s v="TX500570"/>
    <s v="Jeans"/>
    <n v="1"/>
    <n v="49.5"/>
    <n v="49.5"/>
    <d v="2025-01-25T00:00:00"/>
    <d v="2025-01-27T00:00:00"/>
    <s v="M"/>
    <s v="App"/>
    <n v="4"/>
    <s v="California"/>
    <s v="Ventura County"/>
    <x v="1"/>
    <n v="4"/>
    <e v="#NAME?"/>
  </r>
  <r>
    <s v="TX500571"/>
    <s v="Sneakers"/>
    <n v="2"/>
    <n v="96.6"/>
    <n v="193.2"/>
    <d v="2025-01-25T00:00:00"/>
    <d v="2025-01-27T00:00:00"/>
    <s v="M"/>
    <s v="App"/>
    <n v="4"/>
    <s v="California"/>
    <s v="Alameda County"/>
    <x v="1"/>
    <n v="4"/>
    <e v="#NAME?"/>
  </r>
  <r>
    <s v="TX500572"/>
    <s v="Jeans"/>
    <n v="2"/>
    <n v="52.8"/>
    <n v="105.6"/>
    <d v="2025-01-25T00:00:00"/>
    <d v="2025-01-26T00:00:00"/>
    <s v="F"/>
    <s v="Website"/>
    <n v="3"/>
    <s v="California"/>
    <s v="Alameda County"/>
    <x v="3"/>
    <n v="4"/>
    <e v="#NAME?"/>
  </r>
  <r>
    <s v="TX500573"/>
    <s v="Sneakers"/>
    <n v="1"/>
    <n v="101.7"/>
    <n v="101.7"/>
    <d v="2025-01-25T00:00:00"/>
    <d v="2025-01-26T00:00:00"/>
    <s v="M"/>
    <s v="App"/>
    <n v="4"/>
    <s v="California"/>
    <s v="Contra Costa County"/>
    <x v="3"/>
    <n v="4"/>
    <e v="#NAME?"/>
  </r>
  <r>
    <s v="TX500574"/>
    <s v="Graphic Tees"/>
    <n v="5"/>
    <n v="26.9"/>
    <n v="134.5"/>
    <d v="2025-01-25T00:00:00"/>
    <d v="2025-01-30T00:00:00"/>
    <s v="F"/>
    <s v="Website"/>
    <n v="3"/>
    <s v="California"/>
    <s v="Kern County"/>
    <x v="0"/>
    <n v="4"/>
    <e v="#NAME?"/>
  </r>
  <r>
    <s v="TX500575"/>
    <s v="Sneakers"/>
    <n v="4"/>
    <n v="211"/>
    <n v="844"/>
    <d v="2025-01-25T00:00:00"/>
    <d v="2025-01-25T00:00:00"/>
    <s v="F"/>
    <s v="Website"/>
    <n v="3"/>
    <s v="California"/>
    <s v="Los Angeles County"/>
    <x v="7"/>
    <n v="4"/>
    <e v="#NAME?"/>
  </r>
  <r>
    <s v="TX500576"/>
    <s v="Shorts"/>
    <n v="4"/>
    <n v="21.1"/>
    <n v="84.4"/>
    <d v="2025-01-25T00:00:00"/>
    <d v="2025-01-28T00:00:00"/>
    <s v="M"/>
    <s v="Partner App"/>
    <n v="4"/>
    <s v="California"/>
    <s v="Los Angeles County"/>
    <x v="2"/>
    <n v="4"/>
    <e v="#NAME?"/>
  </r>
  <r>
    <s v="TX500577"/>
    <s v="Bikinis"/>
    <n v="1"/>
    <n v="26.6"/>
    <n v="26.6"/>
    <d v="2025-01-25T00:00:00"/>
    <d v="2025-01-27T00:00:00"/>
    <s v="M"/>
    <s v="App"/>
    <n v="2"/>
    <s v="California"/>
    <s v="Los Angeles County"/>
    <x v="1"/>
    <n v="4"/>
    <e v="#NAME?"/>
  </r>
  <r>
    <s v="TX500578"/>
    <s v="Casual Dresses"/>
    <n v="4"/>
    <n v="51.2"/>
    <n v="204.8"/>
    <d v="2025-01-25T00:00:00"/>
    <d v="2025-01-26T00:00:00"/>
    <s v="F"/>
    <s v="Instagram"/>
    <n v="4"/>
    <s v="California"/>
    <s v="Mono County"/>
    <x v="3"/>
    <n v="4"/>
    <e v="#NAME?"/>
  </r>
  <r>
    <s v="TX500579"/>
    <s v="Shorts"/>
    <n v="5"/>
    <n v="10.6"/>
    <n v="53"/>
    <d v="2025-01-25T00:00:00"/>
    <d v="2025-01-29T00:00:00"/>
    <s v="F"/>
    <s v="App"/>
    <n v="4"/>
    <s v="California"/>
    <s v="San Diego County"/>
    <x v="5"/>
    <n v="4"/>
    <e v="#NAME?"/>
  </r>
  <r>
    <s v="TX500580"/>
    <s v="Jeans"/>
    <n v="3"/>
    <n v="43.4"/>
    <n v="130.19999999999999"/>
    <d v="2025-01-25T00:00:00"/>
    <d v="2025-01-28T00:00:00"/>
    <s v="F"/>
    <s v="Partner App"/>
    <n v="4"/>
    <s v="California"/>
    <s v="San Diego County"/>
    <x v="2"/>
    <n v="4"/>
    <e v="#NAME?"/>
  </r>
  <r>
    <s v="TX500581"/>
    <s v="Casual Dresses"/>
    <n v="1"/>
    <n v="80"/>
    <n v="80"/>
    <d v="2025-01-25T00:00:00"/>
    <d v="2025-01-25T00:00:00"/>
    <s v="F"/>
    <s v="App"/>
    <n v="5"/>
    <s v="California"/>
    <s v="San Diego County"/>
    <x v="7"/>
    <n v="4"/>
    <e v="#NAME?"/>
  </r>
  <r>
    <s v="TX500582"/>
    <s v="Bikinis"/>
    <n v="4"/>
    <n v="64.7"/>
    <n v="258.8"/>
    <d v="2025-01-25T00:00:00"/>
    <d v="2025-01-27T00:00:00"/>
    <s v="F"/>
    <s v="Website"/>
    <n v="2"/>
    <s v="California"/>
    <s v="San Diego County"/>
    <x v="1"/>
    <n v="4"/>
    <e v="#NAME?"/>
  </r>
  <r>
    <s v="TX500583"/>
    <s v="T-Shirts"/>
    <n v="11"/>
    <n v="26.3"/>
    <n v="289.3"/>
    <d v="2025-01-26T00:00:00"/>
    <d v="2025-01-26T00:00:00"/>
    <s v="F"/>
    <s v="Partner App"/>
    <n v="3"/>
    <s v="California"/>
    <s v="San Joaquin County"/>
    <x v="7"/>
    <n v="5"/>
    <e v="#NAME?"/>
  </r>
  <r>
    <s v="TX500584"/>
    <s v="Bikinis"/>
    <n v="1"/>
    <n v="28.5"/>
    <n v="28.5"/>
    <d v="2025-01-26T00:00:00"/>
    <d v="2025-01-26T00:00:00"/>
    <s v="M"/>
    <s v="App"/>
    <n v="3"/>
    <s v="California"/>
    <s v="San Mateo County"/>
    <x v="7"/>
    <n v="5"/>
    <e v="#NAME?"/>
  </r>
  <r>
    <s v="TX500585"/>
    <s v="Pajama Sets"/>
    <n v="1"/>
    <n v="47.8"/>
    <n v="47.8"/>
    <d v="2025-01-26T00:00:00"/>
    <d v="2025-01-28T00:00:00"/>
    <s v="F"/>
    <s v="App"/>
    <n v="3"/>
    <s v="California"/>
    <s v="San Mateo County"/>
    <x v="1"/>
    <n v="5"/>
    <e v="#NAME?"/>
  </r>
  <r>
    <s v="TX500586"/>
    <s v="Bikinis"/>
    <n v="3"/>
    <n v="42.8"/>
    <n v="128.39999999999998"/>
    <d v="2025-01-26T00:00:00"/>
    <d v="2025-01-29T00:00:00"/>
    <s v="F"/>
    <s v="Partner App"/>
    <n v="3"/>
    <s v="California"/>
    <s v="Santa Clara County"/>
    <x v="2"/>
    <n v="5"/>
    <e v="#NAME?"/>
  </r>
  <r>
    <s v="TX500587"/>
    <s v="Jeans"/>
    <n v="5"/>
    <n v="46.8"/>
    <n v="234"/>
    <d v="2025-01-26T00:00:00"/>
    <d v="2025-01-31T00:00:00"/>
    <s v="F"/>
    <s v="Website"/>
    <n v="5"/>
    <s v="California"/>
    <s v="Santa Clara County"/>
    <x v="0"/>
    <n v="5"/>
    <e v="#NAME?"/>
  </r>
  <r>
    <s v="TX500588"/>
    <s v="Tank Tops"/>
    <n v="10"/>
    <n v="64.099999999999994"/>
    <n v="641"/>
    <d v="2025-01-26T00:00:00"/>
    <d v="2025-01-27T00:00:00"/>
    <s v="M"/>
    <s v="Website"/>
    <n v="4"/>
    <s v="California"/>
    <s v="Santa Clara County"/>
    <x v="3"/>
    <n v="5"/>
    <e v="#NAME?"/>
  </r>
  <r>
    <s v="TX500589"/>
    <s v="Sneakers"/>
    <n v="1"/>
    <n v="89.1"/>
    <n v="89.1"/>
    <d v="2025-01-26T00:00:00"/>
    <d v="2025-01-27T00:00:00"/>
    <s v="F"/>
    <s v="App"/>
    <n v="3"/>
    <s v="California"/>
    <s v="Tulare County"/>
    <x v="3"/>
    <n v="5"/>
    <e v="#NAME?"/>
  </r>
  <r>
    <s v="TX500590"/>
    <s v="Sneakers"/>
    <n v="3"/>
    <n v="83.1"/>
    <n v="249.29999999999998"/>
    <d v="2025-01-26T00:00:00"/>
    <d v="2025-01-27T00:00:00"/>
    <s v="F"/>
    <s v="Target.com"/>
    <n v="3"/>
    <s v="California"/>
    <s v="Ventura County"/>
    <x v="3"/>
    <n v="5"/>
    <e v="#NAME?"/>
  </r>
  <r>
    <s v="TX500591"/>
    <s v="T-Shirts"/>
    <n v="3"/>
    <n v="40.9"/>
    <n v="122.69999999999999"/>
    <d v="2025-01-26T00:00:00"/>
    <d v="2025-01-27T00:00:00"/>
    <s v="M"/>
    <s v="App"/>
    <n v="4"/>
    <s v="California"/>
    <s v="Contra Costa County"/>
    <x v="3"/>
    <n v="5"/>
    <e v="#NAME?"/>
  </r>
  <r>
    <s v="TX500592"/>
    <s v="Sneakers"/>
    <n v="2"/>
    <n v="125.7"/>
    <n v="251.4"/>
    <d v="2025-01-26T00:00:00"/>
    <d v="2025-01-27T00:00:00"/>
    <s v="F"/>
    <s v="Instagram"/>
    <n v="4"/>
    <s v="California"/>
    <s v="Fresno County"/>
    <x v="3"/>
    <n v="5"/>
    <e v="#NAME?"/>
  </r>
  <r>
    <s v="TX500593"/>
    <s v="Workout Tops"/>
    <n v="2"/>
    <n v="30.9"/>
    <n v="61.8"/>
    <d v="2025-01-26T00:00:00"/>
    <d v="2025-01-26T00:00:00"/>
    <s v="F"/>
    <s v="Target.com"/>
    <n v="5"/>
    <s v="California"/>
    <s v="Kern County"/>
    <x v="7"/>
    <n v="5"/>
    <e v="#NAME?"/>
  </r>
  <r>
    <s v="TX500594"/>
    <s v="T-Shirts"/>
    <n v="2"/>
    <n v="18.3"/>
    <n v="36.6"/>
    <d v="2025-01-26T00:00:00"/>
    <d v="2025-01-27T00:00:00"/>
    <s v="F"/>
    <s v="Website"/>
    <n v="4"/>
    <s v="California"/>
    <s v="Los Angeles County"/>
    <x v="3"/>
    <n v="5"/>
    <e v="#NAME?"/>
  </r>
  <r>
    <s v="TX500595"/>
    <s v="Graphic Tees"/>
    <n v="2"/>
    <n v="56.5"/>
    <n v="113"/>
    <d v="2025-01-26T00:00:00"/>
    <d v="2025-01-30T00:00:00"/>
    <s v="M"/>
    <s v="Target.com"/>
    <n v="5"/>
    <s v="California"/>
    <s v="Los Angeles County"/>
    <x v="5"/>
    <n v="5"/>
    <e v="#NAME?"/>
  </r>
  <r>
    <s v="TX500596"/>
    <s v="Bikinis"/>
    <n v="7"/>
    <n v="29.9"/>
    <n v="209.29999999999998"/>
    <d v="2025-01-26T00:00:00"/>
    <d v="2025-01-28T00:00:00"/>
    <s v="M"/>
    <s v="Partner App"/>
    <n v="5"/>
    <s v="California"/>
    <s v="Los Angeles County"/>
    <x v="1"/>
    <n v="5"/>
    <e v="#NAME?"/>
  </r>
  <r>
    <s v="TX500597"/>
    <s v="Sandals"/>
    <n v="2"/>
    <n v="50.4"/>
    <n v="100.8"/>
    <d v="2025-01-26T00:00:00"/>
    <d v="2025-01-27T00:00:00"/>
    <s v="F"/>
    <s v="Target.com"/>
    <n v="4"/>
    <s v="California"/>
    <s v="Los Angeles County"/>
    <x v="3"/>
    <n v="5"/>
    <e v="#NAME?"/>
  </r>
  <r>
    <s v="TX500598"/>
    <s v="Sneakers"/>
    <n v="1"/>
    <n v="85.8"/>
    <n v="85.8"/>
    <d v="2025-01-26T00:00:00"/>
    <d v="2025-01-26T00:00:00"/>
    <s v="F"/>
    <s v="Target.com"/>
    <n v="5"/>
    <s v="California"/>
    <s v="Los Angeles County"/>
    <x v="7"/>
    <n v="5"/>
    <e v="#NAME?"/>
  </r>
  <r>
    <s v="TX500599"/>
    <s v="Graphic Tees"/>
    <n v="16"/>
    <n v="66.599999999999994"/>
    <n v="1065.5999999999999"/>
    <d v="2025-01-26T00:00:00"/>
    <d v="2025-01-28T00:00:00"/>
    <s v="M"/>
    <s v="Website"/>
    <n v="4"/>
    <s v="California"/>
    <s v="Los Angeles County"/>
    <x v="1"/>
    <n v="5"/>
    <e v="#NAME?"/>
  </r>
  <r>
    <s v="TX500600"/>
    <s v="Jeans"/>
    <n v="4"/>
    <n v="70.3"/>
    <n v="281.2"/>
    <d v="2025-01-26T00:00:00"/>
    <d v="2025-01-27T00:00:00"/>
    <s v="F"/>
    <s v="App"/>
    <n v="3"/>
    <s v="California"/>
    <s v="Los Angeles County"/>
    <x v="3"/>
    <n v="5"/>
    <e v="#NAME?"/>
  </r>
  <r>
    <s v="TX500601"/>
    <s v="T-Shirts"/>
    <n v="4"/>
    <n v="31"/>
    <n v="124"/>
    <d v="2025-01-26T00:00:00"/>
    <d v="2025-01-29T00:00:00"/>
    <s v="M"/>
    <s v="App"/>
    <n v="5"/>
    <s v="California"/>
    <s v="Los Angeles County"/>
    <x v="2"/>
    <n v="5"/>
    <e v="#NAME?"/>
  </r>
  <r>
    <s v="TX500602"/>
    <s v="Hoodies &amp; Sweatshirts"/>
    <n v="6"/>
    <n v="81.599999999999994"/>
    <n v="489.59999999999997"/>
    <d v="2025-01-26T00:00:00"/>
    <d v="2025-01-27T00:00:00"/>
    <s v="F"/>
    <s v="Website"/>
    <n v="3"/>
    <s v="California"/>
    <s v="Madera County"/>
    <x v="3"/>
    <n v="5"/>
    <e v="#NAME?"/>
  </r>
  <r>
    <s v="TX500603"/>
    <s v="Tank Tops"/>
    <n v="25"/>
    <n v="58.3"/>
    <n v="1457.5"/>
    <d v="2025-01-26T00:00:00"/>
    <d v="2025-01-27T00:00:00"/>
    <s v="F"/>
    <s v="App"/>
    <n v="4"/>
    <s v="California"/>
    <s v="Napa County"/>
    <x v="3"/>
    <n v="5"/>
    <e v="#NAME?"/>
  </r>
  <r>
    <s v="TX500604"/>
    <s v="Tank Tops"/>
    <n v="4"/>
    <n v="35.1"/>
    <n v="140.4"/>
    <d v="2025-01-26T00:00:00"/>
    <d v="2025-01-28T00:00:00"/>
    <s v="M"/>
    <s v="App"/>
    <n v="5"/>
    <s v="California"/>
    <s v="San Diego County"/>
    <x v="1"/>
    <n v="5"/>
    <e v="#NAME?"/>
  </r>
  <r>
    <s v="TX500605"/>
    <s v="Sneakers"/>
    <n v="1"/>
    <n v="80.2"/>
    <n v="80.2"/>
    <d v="2025-01-26T00:00:00"/>
    <d v="2025-01-27T00:00:00"/>
    <s v="M"/>
    <s v="Instagram"/>
    <n v="5"/>
    <s v="California"/>
    <s v="San Diego County"/>
    <x v="3"/>
    <n v="5"/>
    <e v="#NAME?"/>
  </r>
  <r>
    <s v="TX500606"/>
    <s v="Baseball Caps"/>
    <n v="3"/>
    <n v="39.200000000000003"/>
    <n v="117.60000000000001"/>
    <d v="2025-01-26T00:00:00"/>
    <d v="2025-01-28T00:00:00"/>
    <s v="F"/>
    <s v="Website"/>
    <n v="4"/>
    <s v="California"/>
    <s v="San Mateo County"/>
    <x v="1"/>
    <n v="5"/>
    <e v="#NAME?"/>
  </r>
  <r>
    <s v="TX500607"/>
    <s v="Shorts"/>
    <n v="2"/>
    <n v="15.4"/>
    <n v="30.8"/>
    <d v="2025-01-26T00:00:00"/>
    <d v="2025-01-26T00:00:00"/>
    <s v="F"/>
    <s v="Instagram"/>
    <n v="4"/>
    <s v="California"/>
    <s v="Sierra County"/>
    <x v="7"/>
    <n v="5"/>
    <e v="#NAME?"/>
  </r>
  <r>
    <s v="TX500608"/>
    <s v="Workout Tops"/>
    <n v="3"/>
    <n v="65.400000000000006"/>
    <n v="196.20000000000002"/>
    <d v="2025-01-26T00:00:00"/>
    <d v="2025-01-29T00:00:00"/>
    <s v="M"/>
    <s v="Instagram"/>
    <n v="4"/>
    <s v="California"/>
    <s v="Sonoma County"/>
    <x v="2"/>
    <n v="5"/>
    <e v="#NAME?"/>
  </r>
  <r>
    <s v="TX500609"/>
    <s v="Tank Tops"/>
    <n v="8"/>
    <n v="63.2"/>
    <n v="505.6"/>
    <d v="2025-01-26T00:00:00"/>
    <d v="2025-01-28T00:00:00"/>
    <s v="F"/>
    <s v="Website"/>
    <n v="4"/>
    <s v="California"/>
    <s v="Stanislaus County"/>
    <x v="1"/>
    <n v="5"/>
    <e v="#NAME?"/>
  </r>
  <r>
    <s v="TX500610"/>
    <s v="Tank Tops"/>
    <n v="6"/>
    <n v="35.700000000000003"/>
    <n v="214.20000000000002"/>
    <d v="2025-01-26T00:00:00"/>
    <d v="2025-01-30T00:00:00"/>
    <s v="F"/>
    <s v="Partner App"/>
    <n v="3"/>
    <s v="California"/>
    <s v="Stanislaus County"/>
    <x v="5"/>
    <n v="5"/>
    <e v="#NAME?"/>
  </r>
  <r>
    <s v="TX500611"/>
    <s v="Shorts"/>
    <n v="20"/>
    <n v="26.2"/>
    <n v="524"/>
    <d v="2025-01-26T00:00:00"/>
    <d v="2025-01-27T00:00:00"/>
    <s v="F"/>
    <s v="Instagram"/>
    <n v="4"/>
    <s v="California"/>
    <s v="Alameda County"/>
    <x v="3"/>
    <n v="5"/>
    <e v="#NAME?"/>
  </r>
  <r>
    <s v="TX500612"/>
    <s v="Hoodies &amp; Sweatshirts"/>
    <n v="2"/>
    <n v="31"/>
    <n v="62"/>
    <d v="2025-01-26T00:00:00"/>
    <d v="2025-01-27T00:00:00"/>
    <s v="F"/>
    <s v="App"/>
    <n v="5"/>
    <s v="California"/>
    <s v="Contra Costa County"/>
    <x v="3"/>
    <n v="5"/>
    <e v="#NAME?"/>
  </r>
  <r>
    <s v="TX500613"/>
    <s v="T-Shirts"/>
    <n v="4"/>
    <n v="37.700000000000003"/>
    <n v="150.80000000000001"/>
    <d v="2025-01-26T00:00:00"/>
    <d v="2025-01-27T00:00:00"/>
    <s v="F"/>
    <s v="Website"/>
    <n v="4"/>
    <s v="California"/>
    <s v="Kern County"/>
    <x v="3"/>
    <n v="5"/>
    <e v="#NAME?"/>
  </r>
  <r>
    <s v="TX500614"/>
    <s v="Bikinis"/>
    <n v="34"/>
    <n v="43.6"/>
    <n v="1482.4"/>
    <d v="2025-01-26T00:00:00"/>
    <d v="2025-01-28T00:00:00"/>
    <s v="F"/>
    <s v="Partner App"/>
    <n v="3"/>
    <s v="California"/>
    <s v="Los Angeles County"/>
    <x v="1"/>
    <n v="5"/>
    <e v="#NAME?"/>
  </r>
  <r>
    <s v="TX500615"/>
    <s v="Sundresses"/>
    <n v="4"/>
    <n v="26.5"/>
    <n v="106"/>
    <d v="2025-01-26T00:00:00"/>
    <d v="2025-01-28T00:00:00"/>
    <s v="M"/>
    <s v="App"/>
    <n v="2"/>
    <s v="California"/>
    <s v="Los Angeles County"/>
    <x v="1"/>
    <n v="5"/>
    <e v="#NAME?"/>
  </r>
  <r>
    <s v="TX500616"/>
    <s v="Shorts"/>
    <n v="2"/>
    <n v="34.6"/>
    <n v="69.2"/>
    <d v="2025-01-26T00:00:00"/>
    <d v="2025-01-27T00:00:00"/>
    <s v="M"/>
    <s v="Partner App"/>
    <n v="3"/>
    <s v="California"/>
    <s v="Los Angeles County"/>
    <x v="3"/>
    <n v="5"/>
    <e v="#NAME?"/>
  </r>
  <r>
    <s v="TX500617"/>
    <s v="T-Shirts"/>
    <n v="2"/>
    <n v="58.2"/>
    <n v="116.4"/>
    <d v="2025-01-26T00:00:00"/>
    <d v="2025-01-27T00:00:00"/>
    <s v="M"/>
    <s v="Target.com"/>
    <n v="5"/>
    <s v="California"/>
    <s v="Los Angeles County"/>
    <x v="3"/>
    <n v="5"/>
    <e v="#NAME?"/>
  </r>
  <r>
    <s v="TX500618"/>
    <s v="Hoodies &amp; Sweatshirts"/>
    <n v="1"/>
    <n v="30.2"/>
    <n v="30.2"/>
    <d v="2025-01-27T00:00:00"/>
    <d v="2025-01-28T00:00:00"/>
    <s v="F"/>
    <s v="Target.com"/>
    <n v="3"/>
    <s v="California"/>
    <s v="Los Angeles County"/>
    <x v="3"/>
    <n v="5"/>
    <e v="#NAME?"/>
  </r>
  <r>
    <s v="TX500619"/>
    <s v="Tank Tops"/>
    <n v="10"/>
    <n v="53.2"/>
    <n v="532"/>
    <d v="2025-01-27T00:00:00"/>
    <d v="2025-01-28T00:00:00"/>
    <s v="M"/>
    <s v="App"/>
    <n v="5"/>
    <s v="California"/>
    <s v="Placer County"/>
    <x v="3"/>
    <n v="5"/>
    <e v="#NAME?"/>
  </r>
  <r>
    <s v="TX500620"/>
    <s v="Casual Dresses"/>
    <n v="6"/>
    <n v="51.1"/>
    <n v="306.60000000000002"/>
    <d v="2025-01-27T00:00:00"/>
    <d v="2025-01-27T00:00:00"/>
    <s v="M"/>
    <s v="Website"/>
    <n v="5"/>
    <s v="California"/>
    <s v="Placer County"/>
    <x v="7"/>
    <n v="5"/>
    <e v="#NAME?"/>
  </r>
  <r>
    <s v="TX500621"/>
    <s v="Tank Tops"/>
    <n v="1"/>
    <n v="105.4"/>
    <n v="105.4"/>
    <d v="2025-01-27T00:00:00"/>
    <d v="2025-01-31T00:00:00"/>
    <s v="F"/>
    <s v="Website"/>
    <n v="5"/>
    <s v="California"/>
    <s v="Riverside County"/>
    <x v="5"/>
    <n v="5"/>
    <e v="#NAME?"/>
  </r>
  <r>
    <s v="TX500622"/>
    <s v="Hoodies &amp; Sweatshirts"/>
    <n v="1"/>
    <n v="57.7"/>
    <n v="57.7"/>
    <d v="2025-01-27T00:00:00"/>
    <d v="2025-01-27T00:00:00"/>
    <s v="M"/>
    <s v="App"/>
    <n v="2"/>
    <s v="California"/>
    <s v="San Diego County"/>
    <x v="7"/>
    <n v="5"/>
    <e v="#NAME?"/>
  </r>
  <r>
    <s v="TX500623"/>
    <s v="Crop Tops"/>
    <n v="2"/>
    <n v="72.400000000000006"/>
    <n v="144.80000000000001"/>
    <d v="2025-01-27T00:00:00"/>
    <d v="2025-02-01T00:00:00"/>
    <s v="F"/>
    <s v="App"/>
    <n v="4"/>
    <s v="California"/>
    <s v="San Francisco"/>
    <x v="0"/>
    <n v="5"/>
    <e v="#NAME?"/>
  </r>
  <r>
    <s v="TX500624"/>
    <s v="Jeans"/>
    <n v="2"/>
    <n v="62.5"/>
    <n v="125"/>
    <d v="2025-01-27T00:00:00"/>
    <d v="2025-01-28T00:00:00"/>
    <s v=""/>
    <s v="App"/>
    <n v="5"/>
    <s v="California"/>
    <s v="Santa Clara County"/>
    <x v="3"/>
    <n v="5"/>
    <e v="#NAME?"/>
  </r>
  <r>
    <s v="TX500625"/>
    <s v="Shorts"/>
    <n v="22"/>
    <n v="11.6"/>
    <n v="255.2"/>
    <d v="2025-01-27T00:00:00"/>
    <d v="2025-01-29T00:00:00"/>
    <s v="F"/>
    <s v="Instagram"/>
    <n v="5"/>
    <s v="California"/>
    <s v="Sonoma County"/>
    <x v="1"/>
    <n v="5"/>
    <e v="#NAME?"/>
  </r>
  <r>
    <s v="TX500626"/>
    <s v="Bikinis"/>
    <n v="10"/>
    <n v="39.6"/>
    <n v="396"/>
    <d v="2025-01-27T00:00:00"/>
    <d v="2025-01-29T00:00:00"/>
    <s v="F"/>
    <s v="Target.com"/>
    <n v="5"/>
    <s v="California"/>
    <s v="Sonoma County"/>
    <x v="1"/>
    <n v="5"/>
    <e v="#NAME?"/>
  </r>
  <r>
    <s v="TX500627"/>
    <s v="T-Shirts"/>
    <n v="2"/>
    <n v="40.1"/>
    <n v="80.2"/>
    <d v="2025-01-27T00:00:00"/>
    <d v="2025-01-28T00:00:00"/>
    <s v="F"/>
    <s v="Target.com"/>
    <n v="4"/>
    <s v="California"/>
    <s v="Sonoma County"/>
    <x v="3"/>
    <n v="5"/>
    <e v="#NAME?"/>
  </r>
  <r>
    <s v="TX500628"/>
    <s v="T-Shirts"/>
    <n v="3"/>
    <n v="18.600000000000001"/>
    <n v="55.800000000000004"/>
    <d v="2025-01-27T00:00:00"/>
    <d v="2025-01-28T00:00:00"/>
    <s v="F"/>
    <s v="Target.com"/>
    <n v="4"/>
    <s v="California"/>
    <s v="Alameda County"/>
    <x v="3"/>
    <n v="5"/>
    <e v="#NAME?"/>
  </r>
  <r>
    <s v="TX500629"/>
    <s v="Graphic Tees"/>
    <n v="1"/>
    <n v="58.8"/>
    <n v="58.8"/>
    <d v="2025-01-27T00:00:00"/>
    <d v="2025-01-29T00:00:00"/>
    <s v="F"/>
    <s v="App"/>
    <n v="3"/>
    <s v="California"/>
    <s v="Alameda County"/>
    <x v="1"/>
    <n v="5"/>
    <e v="#NAME?"/>
  </r>
  <r>
    <s v="TX500630"/>
    <s v="T-Shirts"/>
    <n v="2"/>
    <n v="22.1"/>
    <n v="44.2"/>
    <d v="2025-01-27T00:00:00"/>
    <d v="2025-01-30T00:00:00"/>
    <s v="M"/>
    <s v="Website"/>
    <n v="5"/>
    <s v="California"/>
    <s v="Alameda County"/>
    <x v="2"/>
    <n v="5"/>
    <e v="#NAME?"/>
  </r>
  <r>
    <s v="TX500631"/>
    <s v="Sneakers"/>
    <n v="1"/>
    <n v="114.9"/>
    <n v="114.9"/>
    <d v="2025-01-28T00:00:00"/>
    <d v="2025-01-29T00:00:00"/>
    <s v="F"/>
    <s v="Website"/>
    <n v="3"/>
    <s v="California"/>
    <s v="Kern County"/>
    <x v="3"/>
    <n v="5"/>
    <e v="#NAME?"/>
  </r>
  <r>
    <s v="TX500632"/>
    <s v="Sundresses"/>
    <n v="5"/>
    <n v="75.8"/>
    <n v="379"/>
    <d v="2025-01-28T00:00:00"/>
    <d v="2025-01-29T00:00:00"/>
    <s v="M"/>
    <s v="App"/>
    <n v="5"/>
    <s v="California"/>
    <s v="Los Angeles County"/>
    <x v="3"/>
    <n v="5"/>
    <e v="#NAME?"/>
  </r>
  <r>
    <s v="TX500633"/>
    <s v="Baseball Caps"/>
    <n v="5"/>
    <n v="20.6"/>
    <n v="103"/>
    <d v="2025-01-28T00:00:00"/>
    <d v="2025-01-29T00:00:00"/>
    <s v="M"/>
    <s v="Target.com"/>
    <n v="5"/>
    <s v="California"/>
    <s v="Los Angeles County"/>
    <x v="3"/>
    <n v="5"/>
    <e v="#NAME?"/>
  </r>
  <r>
    <s v="TX500634"/>
    <s v="Pajama Sets"/>
    <n v="3"/>
    <n v="67.900000000000006"/>
    <n v="203.70000000000002"/>
    <d v="2025-01-28T00:00:00"/>
    <d v="2025-01-29T00:00:00"/>
    <s v="F"/>
    <s v="Website"/>
    <n v="3"/>
    <s v="California"/>
    <s v="Los Angeles County"/>
    <x v="3"/>
    <n v="5"/>
    <e v="#NAME?"/>
  </r>
  <r>
    <s v="TX500635"/>
    <s v="Shorts"/>
    <n v="5"/>
    <n v="27"/>
    <n v="135"/>
    <d v="2025-01-28T00:00:00"/>
    <d v="2025-02-04T00:00:00"/>
    <s v="F"/>
    <s v="App"/>
    <n v="5"/>
    <s v="California"/>
    <s v="Los Angeles County"/>
    <x v="6"/>
    <n v="5"/>
    <e v="#NAME?"/>
  </r>
  <r>
    <s v="TX500636"/>
    <s v="Tote Bags"/>
    <n v="1"/>
    <n v="50.6"/>
    <n v="50.6"/>
    <d v="2025-01-28T00:00:00"/>
    <d v="2025-01-28T00:00:00"/>
    <s v="M"/>
    <s v="App"/>
    <n v="3"/>
    <s v="California"/>
    <s v="Los Angeles County"/>
    <x v="7"/>
    <n v="5"/>
    <e v="#NAME?"/>
  </r>
  <r>
    <s v="TX500637"/>
    <s v="Graphic Tees"/>
    <n v="5"/>
    <n v="22.1"/>
    <n v="110.5"/>
    <d v="2025-01-28T00:00:00"/>
    <d v="2025-02-02T00:00:00"/>
    <s v="M"/>
    <s v="App"/>
    <n v="4"/>
    <s v="California"/>
    <s v="Los Angeles County"/>
    <x v="0"/>
    <n v="5"/>
    <e v="#NAME?"/>
  </r>
  <r>
    <s v="TX500638"/>
    <s v="T-Shirts"/>
    <n v="3"/>
    <n v="42.9"/>
    <n v="128.69999999999999"/>
    <d v="2025-01-28T00:00:00"/>
    <d v="2025-01-30T00:00:00"/>
    <s v="F"/>
    <s v="App"/>
    <n v="4"/>
    <s v="California"/>
    <s v="Los Angeles County"/>
    <x v="1"/>
    <n v="5"/>
    <e v="#NAME?"/>
  </r>
  <r>
    <s v="TX500639"/>
    <s v="Tank Tops"/>
    <n v="11"/>
    <n v="62.4"/>
    <n v="686.4"/>
    <d v="2025-01-28T00:00:00"/>
    <d v="2025-01-30T00:00:00"/>
    <s v="F"/>
    <s v="Target.com"/>
    <n v="4"/>
    <s v="California"/>
    <s v="Los Angeles County"/>
    <x v="1"/>
    <n v="5"/>
    <e v="#NAME?"/>
  </r>
  <r>
    <s v="TX500640"/>
    <s v="Tote Bags"/>
    <n v="9"/>
    <n v="36.4"/>
    <n v="327.59999999999997"/>
    <d v="2025-01-28T00:00:00"/>
    <d v="2025-01-30T00:00:00"/>
    <s v="F"/>
    <s v="App"/>
    <n v="5"/>
    <s v="California"/>
    <s v="Los Angeles County"/>
    <x v="1"/>
    <n v="5"/>
    <e v="#NAME?"/>
  </r>
  <r>
    <s v="TX500641"/>
    <s v="Shorts"/>
    <n v="2"/>
    <n v="22.5"/>
    <n v="45"/>
    <d v="2025-01-28T00:00:00"/>
    <d v="2025-01-31T00:00:00"/>
    <s v="M"/>
    <s v="App"/>
    <n v="4"/>
    <s v="California"/>
    <s v="Los Angeles County"/>
    <x v="2"/>
    <n v="5"/>
    <e v="#NAME?"/>
  </r>
  <r>
    <s v="TX500642"/>
    <s v="Jeans"/>
    <n v="4"/>
    <n v="70.8"/>
    <n v="283.2"/>
    <d v="2025-01-28T00:00:00"/>
    <d v="2025-01-30T00:00:00"/>
    <s v="F"/>
    <s v="Partner App"/>
    <n v="4"/>
    <s v="California"/>
    <s v="Los Angeles County"/>
    <x v="1"/>
    <n v="5"/>
    <e v="#NAME?"/>
  </r>
  <r>
    <s v="TX500643"/>
    <s v="Jeans"/>
    <n v="5"/>
    <n v="56.6"/>
    <n v="283"/>
    <d v="2025-01-28T00:00:00"/>
    <d v="2025-01-30T00:00:00"/>
    <s v="M"/>
    <s v="App"/>
    <n v="3"/>
    <s v="California"/>
    <s v="Nevada County"/>
    <x v="1"/>
    <n v="5"/>
    <e v="#NAME?"/>
  </r>
  <r>
    <s v="TX500644"/>
    <s v="Jeans"/>
    <n v="2"/>
    <n v="47.9"/>
    <n v="95.8"/>
    <d v="2025-01-28T00:00:00"/>
    <d v="2025-01-29T00:00:00"/>
    <s v="F"/>
    <s v="App"/>
    <n v="4"/>
    <s v="California"/>
    <s v="Sacramento County"/>
    <x v="3"/>
    <n v="5"/>
    <e v="#NAME?"/>
  </r>
  <r>
    <s v="TX500645"/>
    <s v="Jeans"/>
    <n v="8"/>
    <n v="78.400000000000006"/>
    <n v="627.20000000000005"/>
    <d v="2025-01-28T00:00:00"/>
    <d v="2025-01-30T00:00:00"/>
    <s v="F"/>
    <s v="Website"/>
    <n v="4"/>
    <s v="California"/>
    <s v="Sacramento County"/>
    <x v="1"/>
    <n v="5"/>
    <e v="#NAME?"/>
  </r>
  <r>
    <s v="TX500646"/>
    <s v="Sneakers"/>
    <n v="14"/>
    <n v="122.1"/>
    <n v="1709.3999999999999"/>
    <d v="2025-01-28T00:00:00"/>
    <d v="2025-02-02T00:00:00"/>
    <s v="F"/>
    <s v="App"/>
    <n v="5"/>
    <s v="California"/>
    <s v="Sacramento County"/>
    <x v="0"/>
    <n v="5"/>
    <e v="#NAME?"/>
  </r>
  <r>
    <s v="TX500647"/>
    <s v="Sneakers"/>
    <n v="2"/>
    <n v="83.7"/>
    <n v="167.4"/>
    <d v="2025-01-29T00:00:00"/>
    <d v="2025-01-29T00:00:00"/>
    <s v=""/>
    <s v="Website"/>
    <n v="5"/>
    <s v="California"/>
    <s v="San Bernardino County"/>
    <x v="7"/>
    <n v="5"/>
    <e v="#NAME?"/>
  </r>
  <r>
    <s v="TX500648"/>
    <s v="Workout Tops"/>
    <n v="4"/>
    <n v="97.9"/>
    <n v="391.6"/>
    <d v="2025-01-29T00:00:00"/>
    <d v="2025-02-02T00:00:00"/>
    <s v="F"/>
    <s v="Instagram"/>
    <n v="5"/>
    <s v="California"/>
    <s v="San Bernardino County"/>
    <x v="5"/>
    <n v="5"/>
    <e v="#NAME?"/>
  </r>
  <r>
    <s v="TX500649"/>
    <s v="Baseball Caps"/>
    <n v="1"/>
    <n v="15"/>
    <n v="15"/>
    <d v="2025-01-29T00:00:00"/>
    <d v="2025-02-03T00:00:00"/>
    <s v="F"/>
    <s v="Instagram"/>
    <n v="4"/>
    <s v="California"/>
    <s v="San Diego County"/>
    <x v="0"/>
    <n v="5"/>
    <e v="#NAME?"/>
  </r>
  <r>
    <s v="TX500650"/>
    <s v="Casual Dresses"/>
    <n v="3"/>
    <n v="94.6"/>
    <n v="283.79999999999995"/>
    <d v="2025-01-29T00:00:00"/>
    <d v="2025-01-30T00:00:00"/>
    <s v="M"/>
    <s v="Target.com"/>
    <n v="3"/>
    <s v="California"/>
    <s v="San Diego County"/>
    <x v="3"/>
    <n v="5"/>
    <e v="#NAME?"/>
  </r>
  <r>
    <s v="TX500651"/>
    <s v="Shorts"/>
    <n v="6"/>
    <n v="19.7"/>
    <n v="118.19999999999999"/>
    <d v="2025-01-29T00:00:00"/>
    <d v="2025-02-09T00:00:00"/>
    <s v="F"/>
    <s v="App"/>
    <n v="5"/>
    <s v="California"/>
    <s v="San Diego County"/>
    <x v="11"/>
    <n v="5"/>
    <e v="#NAME?"/>
  </r>
  <r>
    <s v="TX500652"/>
    <s v="Hoodies &amp; Sweatshirts"/>
    <n v="1"/>
    <n v="46.7"/>
    <n v="46.7"/>
    <d v="2025-01-29T00:00:00"/>
    <d v="2025-02-01T00:00:00"/>
    <s v="F"/>
    <s v="Target.com"/>
    <n v="4"/>
    <s v="California"/>
    <s v="San Francisco"/>
    <x v="2"/>
    <n v="5"/>
    <e v="#NAME?"/>
  </r>
  <r>
    <s v="TX500653"/>
    <s v="Tank Tops"/>
    <n v="4"/>
    <n v="43"/>
    <n v="172"/>
    <d v="2025-01-29T00:00:00"/>
    <d v="2025-01-30T00:00:00"/>
    <s v="M"/>
    <s v="Target.com"/>
    <n v="5"/>
    <s v="California"/>
    <s v="San Francisco"/>
    <x v="3"/>
    <n v="5"/>
    <e v="#NAME?"/>
  </r>
  <r>
    <s v="TX500654"/>
    <s v="Jeans"/>
    <n v="3"/>
    <n v="68.2"/>
    <n v="204.60000000000002"/>
    <d v="2025-01-29T00:00:00"/>
    <d v="2025-02-04T00:00:00"/>
    <s v="F"/>
    <s v="App"/>
    <n v="4"/>
    <s v="California"/>
    <s v="San Mateo County"/>
    <x v="4"/>
    <n v="5"/>
    <e v="#NAME?"/>
  </r>
  <r>
    <s v="TX500655"/>
    <s v="Bikinis"/>
    <n v="10"/>
    <n v="24.3"/>
    <n v="243"/>
    <d v="2025-01-29T00:00:00"/>
    <d v="2025-01-30T00:00:00"/>
    <s v="M"/>
    <s v="App"/>
    <n v="5"/>
    <s v="California"/>
    <s v="Santa Barbara County"/>
    <x v="3"/>
    <n v="5"/>
    <e v="#NAME?"/>
  </r>
  <r>
    <s v="TX500656"/>
    <s v="Hoodies &amp; Sweatshirts"/>
    <n v="2"/>
    <n v="86.8"/>
    <n v="173.6"/>
    <d v="2025-01-29T00:00:00"/>
    <d v="2025-02-02T00:00:00"/>
    <s v="F"/>
    <s v="Partner App"/>
    <n v="5"/>
    <s v="California"/>
    <s v="Santa Clara County"/>
    <x v="5"/>
    <n v="5"/>
    <e v="#NAME?"/>
  </r>
  <r>
    <s v="TX500657"/>
    <s v="Shorts"/>
    <n v="2"/>
    <n v="15.8"/>
    <n v="31.6"/>
    <d v="2025-01-29T00:00:00"/>
    <d v="2025-01-31T00:00:00"/>
    <s v="M"/>
    <s v="Website"/>
    <n v="4"/>
    <s v="California"/>
    <s v="Santa Clara County"/>
    <x v="1"/>
    <n v="5"/>
    <e v="#NAME?"/>
  </r>
  <r>
    <s v="TX500658"/>
    <s v="Sneakers"/>
    <n v="4"/>
    <n v="61.6"/>
    <n v="246.4"/>
    <d v="2025-01-29T00:00:00"/>
    <d v="2025-01-30T00:00:00"/>
    <s v="M"/>
    <s v="Target.com"/>
    <n v="4"/>
    <s v="California"/>
    <s v="Santa Clara County"/>
    <x v="3"/>
    <n v="5"/>
    <e v="#NAME?"/>
  </r>
  <r>
    <s v="TX500659"/>
    <s v="Jeans"/>
    <n v="3"/>
    <n v="48.7"/>
    <n v="146.10000000000002"/>
    <d v="2025-01-29T00:00:00"/>
    <d v="2025-02-04T00:00:00"/>
    <s v="F"/>
    <s v="Website"/>
    <n v="5"/>
    <s v="California"/>
    <s v="Trinity County"/>
    <x v="4"/>
    <n v="5"/>
    <e v="#NAME?"/>
  </r>
  <r>
    <s v="TX500660"/>
    <s v="T-Shirts"/>
    <n v="4"/>
    <n v="24.3"/>
    <n v="97.2"/>
    <d v="2025-01-29T00:00:00"/>
    <d v="2025-01-31T00:00:00"/>
    <s v="F"/>
    <s v="Website"/>
    <n v="5"/>
    <s v="California"/>
    <s v="Alameda County"/>
    <x v="1"/>
    <n v="5"/>
    <e v="#NAME?"/>
  </r>
  <r>
    <s v="TX500661"/>
    <s v="Sneakers"/>
    <n v="2"/>
    <n v="130.69999999999999"/>
    <n v="261.39999999999998"/>
    <d v="2025-01-29T00:00:00"/>
    <d v="2025-01-30T00:00:00"/>
    <s v="F"/>
    <s v="Target.com"/>
    <n v="4"/>
    <s v="California"/>
    <s v="Humboldt County"/>
    <x v="3"/>
    <n v="5"/>
    <e v="#NAME?"/>
  </r>
  <r>
    <s v="TX500662"/>
    <s v="Bikinis"/>
    <n v="1"/>
    <n v="26"/>
    <n v="26"/>
    <d v="2025-01-29T00:00:00"/>
    <d v="2025-01-31T00:00:00"/>
    <s v="M"/>
    <s v="App"/>
    <n v="4"/>
    <s v="California"/>
    <s v="Los Angeles County"/>
    <x v="1"/>
    <n v="5"/>
    <e v="#NAME?"/>
  </r>
  <r>
    <s v="TX500663"/>
    <s v="Sneakers"/>
    <n v="5"/>
    <n v="94.4"/>
    <n v="472"/>
    <d v="2025-01-29T00:00:00"/>
    <d v="2025-01-30T00:00:00"/>
    <s v="F"/>
    <s v="App"/>
    <n v="4"/>
    <s v="California"/>
    <s v="Los Angeles County"/>
    <x v="3"/>
    <n v="5"/>
    <e v="#NAME?"/>
  </r>
  <r>
    <s v="TX500664"/>
    <s v="Shorts"/>
    <n v="6"/>
    <n v="23.7"/>
    <n v="142.19999999999999"/>
    <d v="2025-01-29T00:00:00"/>
    <d v="2025-01-31T00:00:00"/>
    <s v="M"/>
    <s v="Target.com"/>
    <n v="5"/>
    <s v="California"/>
    <s v="Los Angeles County"/>
    <x v="1"/>
    <n v="5"/>
    <e v="#NAME?"/>
  </r>
  <r>
    <s v="TX500665"/>
    <s v="Sundresses"/>
    <n v="12"/>
    <n v="37.4"/>
    <n v="448.79999999999995"/>
    <d v="2025-01-29T00:00:00"/>
    <d v="2025-01-31T00:00:00"/>
    <s v="M"/>
    <s v="Target.com"/>
    <n v="4"/>
    <s v="California"/>
    <s v="Los Angeles County"/>
    <x v="1"/>
    <n v="5"/>
    <e v="#NAME?"/>
  </r>
  <r>
    <s v="TX500666"/>
    <s v="Tank Tops"/>
    <n v="36"/>
    <n v="55.2"/>
    <n v="1987.2"/>
    <d v="2025-01-29T00:00:00"/>
    <d v="2025-01-29T00:00:00"/>
    <s v="F"/>
    <s v="Instagram"/>
    <n v="3"/>
    <s v="California"/>
    <s v="Los Angeles County"/>
    <x v="7"/>
    <n v="5"/>
    <e v="#NAME?"/>
  </r>
  <r>
    <s v="TX500667"/>
    <s v="Sneakers"/>
    <n v="9"/>
    <n v="57.1"/>
    <n v="513.9"/>
    <d v="2025-01-29T00:00:00"/>
    <d v="2025-01-31T00:00:00"/>
    <s v="M"/>
    <s v="App"/>
    <n v="5"/>
    <s v="California"/>
    <s v="Los Angeles County"/>
    <x v="1"/>
    <n v="5"/>
    <e v="#NAME?"/>
  </r>
  <r>
    <s v="TX500668"/>
    <s v="Casual Dresses"/>
    <n v="1"/>
    <n v="55.3"/>
    <n v="55.3"/>
    <d v="2025-01-29T00:00:00"/>
    <d v="2025-01-30T00:00:00"/>
    <s v="F"/>
    <s v="Target.com"/>
    <n v="5"/>
    <s v="California"/>
    <s v="Los Angeles County"/>
    <x v="3"/>
    <n v="5"/>
    <e v="#NAME?"/>
  </r>
  <r>
    <s v="TX500669"/>
    <s v="Crop Tops"/>
    <n v="7"/>
    <n v="23.9"/>
    <n v="167.29999999999998"/>
    <d v="2025-01-29T00:00:00"/>
    <d v="2025-01-30T00:00:00"/>
    <s v="F"/>
    <s v="Partner App"/>
    <n v="3"/>
    <s v="California"/>
    <s v="Los Angeles County"/>
    <x v="3"/>
    <n v="5"/>
    <e v="#NAME?"/>
  </r>
  <r>
    <s v="TX500670"/>
    <s v="Shorts"/>
    <n v="1"/>
    <n v="34.1"/>
    <n v="34.1"/>
    <d v="2025-01-29T00:00:00"/>
    <d v="2025-02-05T00:00:00"/>
    <s v="F"/>
    <s v="Target.com"/>
    <n v="4"/>
    <s v="California"/>
    <s v="Los Angeles County"/>
    <x v="6"/>
    <n v="5"/>
    <e v="#NAME?"/>
  </r>
  <r>
    <s v="TX500671"/>
    <s v="Casual Dresses"/>
    <n v="4"/>
    <n v="38.5"/>
    <n v="154"/>
    <d v="2025-01-29T00:00:00"/>
    <d v="2025-02-09T00:00:00"/>
    <s v="F"/>
    <s v="App"/>
    <n v="4"/>
    <s v="California"/>
    <s v="Los Angeles County"/>
    <x v="11"/>
    <n v="5"/>
    <e v="#NAME?"/>
  </r>
  <r>
    <s v="TX500672"/>
    <s v="Hoodies &amp; Sweatshirts"/>
    <n v="2"/>
    <n v="105"/>
    <n v="210"/>
    <d v="2025-01-29T00:00:00"/>
    <d v="2025-02-04T00:00:00"/>
    <s v="F"/>
    <s v="App"/>
    <n v="5"/>
    <s v="California"/>
    <s v="Los Angeles County"/>
    <x v="4"/>
    <n v="5"/>
    <e v="#NAME?"/>
  </r>
  <r>
    <s v="TX500673"/>
    <s v="T-Shirts"/>
    <n v="5"/>
    <n v="45.2"/>
    <n v="226"/>
    <d v="2025-01-29T00:00:00"/>
    <d v="2025-01-31T00:00:00"/>
    <s v="F"/>
    <s v="App"/>
    <n v="5"/>
    <s v="California"/>
    <s v="Los Angeles County"/>
    <x v="1"/>
    <n v="5"/>
    <e v="#NAME?"/>
  </r>
  <r>
    <s v="TX500674"/>
    <s v="Pajama Sets"/>
    <n v="3"/>
    <n v="24.8"/>
    <n v="74.400000000000006"/>
    <d v="2025-01-29T00:00:00"/>
    <d v="2025-01-29T00:00:00"/>
    <s v=""/>
    <s v="App"/>
    <n v="3"/>
    <s v="California"/>
    <s v="Los Angeles County"/>
    <x v="7"/>
    <n v="5"/>
    <e v="#NAME?"/>
  </r>
  <r>
    <s v="TX500675"/>
    <s v="Maxi Dresses"/>
    <n v="4"/>
    <n v="43.8"/>
    <n v="175.2"/>
    <d v="2025-01-29T00:00:00"/>
    <d v="2025-02-05T00:00:00"/>
    <s v="F"/>
    <s v="Website"/>
    <n v="5"/>
    <s v="California"/>
    <s v="Sacramento County"/>
    <x v="6"/>
    <n v="5"/>
    <e v="#NAME?"/>
  </r>
  <r>
    <s v="TX500676"/>
    <s v="Tank Tops"/>
    <n v="1"/>
    <n v="75"/>
    <n v="75"/>
    <d v="2025-01-29T00:00:00"/>
    <d v="2025-01-31T00:00:00"/>
    <s v="F"/>
    <s v="Partner App"/>
    <n v="3"/>
    <s v="California"/>
    <s v="Sacramento County"/>
    <x v="1"/>
    <n v="5"/>
    <e v="#NAME?"/>
  </r>
  <r>
    <s v="TX500677"/>
    <s v="Sneakers"/>
    <n v="1"/>
    <n v="169.9"/>
    <n v="169.9"/>
    <d v="2025-01-29T00:00:00"/>
    <d v="2025-01-30T00:00:00"/>
    <s v="M"/>
    <s v="Target.com"/>
    <n v="4"/>
    <s v="California"/>
    <s v="Sacramento County"/>
    <x v="3"/>
    <n v="5"/>
    <e v="#NAME?"/>
  </r>
  <r>
    <s v="TX500678"/>
    <s v="Sundresses"/>
    <n v="2"/>
    <n v="72.2"/>
    <n v="144.4"/>
    <d v="2025-01-29T00:00:00"/>
    <d v="2025-01-31T00:00:00"/>
    <s v="F"/>
    <s v="Partner App"/>
    <n v="3"/>
    <s v="California"/>
    <s v="Sacramento County"/>
    <x v="1"/>
    <n v="5"/>
    <e v="#NAME?"/>
  </r>
  <r>
    <s v="TX500679"/>
    <s v="Shorts"/>
    <n v="1"/>
    <n v="20"/>
    <n v="20"/>
    <d v="2025-01-30T00:00:00"/>
    <d v="2025-02-02T00:00:00"/>
    <s v="F"/>
    <s v="Target.com"/>
    <n v="3"/>
    <s v="California"/>
    <s v="San Bernardino County"/>
    <x v="2"/>
    <n v="5"/>
    <e v="#NAME?"/>
  </r>
  <r>
    <s v="TX500680"/>
    <s v="Sundresses"/>
    <n v="2"/>
    <n v="40.799999999999997"/>
    <n v="81.599999999999994"/>
    <d v="2025-01-30T00:00:00"/>
    <d v="2025-02-01T00:00:00"/>
    <s v="F"/>
    <s v="Instagram"/>
    <n v="5"/>
    <s v="California"/>
    <s v="San Diego County"/>
    <x v="1"/>
    <n v="5"/>
    <e v="#NAME?"/>
  </r>
  <r>
    <s v="TX500681"/>
    <s v="Bikinis"/>
    <n v="4"/>
    <n v="58"/>
    <n v="232"/>
    <d v="2025-01-30T00:00:00"/>
    <d v="2025-02-03T00:00:00"/>
    <s v="F"/>
    <s v="App"/>
    <n v="4"/>
    <s v="California"/>
    <s v="San Diego County"/>
    <x v="5"/>
    <n v="5"/>
    <e v="#NAME?"/>
  </r>
  <r>
    <s v="TX500682"/>
    <s v="Casual Dresses"/>
    <n v="2"/>
    <n v="43.1"/>
    <n v="86.2"/>
    <d v="2025-01-30T00:00:00"/>
    <d v="2025-01-31T00:00:00"/>
    <s v="F"/>
    <s v="Website"/>
    <n v="5"/>
    <s v="California"/>
    <s v="San Diego County"/>
    <x v="3"/>
    <n v="5"/>
    <e v="#NAME?"/>
  </r>
  <r>
    <s v="TX500683"/>
    <s v="Jeans"/>
    <n v="9"/>
    <n v="74.7"/>
    <n v="672.30000000000007"/>
    <d v="2025-01-30T00:00:00"/>
    <d v="2025-02-01T00:00:00"/>
    <s v="M"/>
    <s v="App"/>
    <n v="5"/>
    <s v="California"/>
    <s v="San Diego County"/>
    <x v="1"/>
    <n v="5"/>
    <e v="#NAME?"/>
  </r>
  <r>
    <s v="TX500684"/>
    <s v="Jeans"/>
    <n v="1"/>
    <n v="128.19999999999999"/>
    <n v="128.19999999999999"/>
    <d v="2025-01-30T00:00:00"/>
    <d v="2025-01-30T00:00:00"/>
    <s v="M"/>
    <s v="Website"/>
    <n v="4"/>
    <s v="California"/>
    <s v="San Diego County"/>
    <x v="7"/>
    <n v="5"/>
    <e v="#NAME?"/>
  </r>
  <r>
    <s v="TX500685"/>
    <s v="Baseball Caps"/>
    <n v="4"/>
    <n v="26.7"/>
    <n v="106.8"/>
    <d v="2025-01-30T00:00:00"/>
    <d v="2025-01-31T00:00:00"/>
    <s v="M"/>
    <s v="Website"/>
    <n v="4"/>
    <s v="California"/>
    <s v="San Diego County"/>
    <x v="3"/>
    <n v="5"/>
    <e v="#NAME?"/>
  </r>
  <r>
    <s v="TX500686"/>
    <s v="Pajama Sets"/>
    <n v="6"/>
    <n v="31.5"/>
    <n v="189"/>
    <d v="2025-01-30T00:00:00"/>
    <d v="2025-01-31T00:00:00"/>
    <s v="F"/>
    <s v="Target.com"/>
    <n v="4"/>
    <s v="California"/>
    <s v="San Francisco"/>
    <x v="3"/>
    <n v="5"/>
    <e v="#NAME?"/>
  </r>
  <r>
    <s v="TX500687"/>
    <s v="Workout Tops"/>
    <n v="7"/>
    <n v="64.7"/>
    <n v="452.90000000000003"/>
    <d v="2025-01-30T00:00:00"/>
    <d v="2025-01-31T00:00:00"/>
    <s v="F"/>
    <s v="App"/>
    <n v="5"/>
    <s v="California"/>
    <s v="San Mateo County"/>
    <x v="3"/>
    <n v="5"/>
    <e v="#NAME?"/>
  </r>
  <r>
    <s v="TX500688"/>
    <s v="Sandals"/>
    <n v="2"/>
    <n v="55.6"/>
    <n v="111.2"/>
    <d v="2025-01-30T00:00:00"/>
    <d v="2025-02-02T00:00:00"/>
    <s v="F"/>
    <s v="Instagram"/>
    <n v="4"/>
    <s v="California"/>
    <s v="Santa Clara County"/>
    <x v="2"/>
    <n v="5"/>
    <e v="#NAME?"/>
  </r>
  <r>
    <s v="TX500689"/>
    <s v="Workout Tops"/>
    <n v="2"/>
    <n v="36.200000000000003"/>
    <n v="72.400000000000006"/>
    <d v="2025-01-30T00:00:00"/>
    <d v="2025-01-31T00:00:00"/>
    <s v="F"/>
    <s v="Instagram"/>
    <n v="4"/>
    <s v="California"/>
    <s v="Santa Clara County"/>
    <x v="3"/>
    <n v="5"/>
    <e v="#NAME?"/>
  </r>
  <r>
    <s v="TX500690"/>
    <s v="Shorts"/>
    <n v="1"/>
    <n v="26.6"/>
    <n v="26.6"/>
    <d v="2025-01-30T00:00:00"/>
    <d v="2025-01-31T00:00:00"/>
    <s v=""/>
    <s v="Website"/>
    <n v="3"/>
    <s v="California"/>
    <s v="Stanislaus County"/>
    <x v="3"/>
    <n v="5"/>
    <e v="#NAME?"/>
  </r>
  <r>
    <s v="TX500691"/>
    <s v="Bikinis"/>
    <n v="4"/>
    <n v="31.5"/>
    <n v="126"/>
    <d v="2025-01-30T00:00:00"/>
    <d v="2025-02-01T00:00:00"/>
    <s v="M"/>
    <s v="App"/>
    <n v="4"/>
    <s v="California"/>
    <s v="Sutter County"/>
    <x v="1"/>
    <n v="5"/>
    <e v="#NAME?"/>
  </r>
  <r>
    <s v="TX500692"/>
    <s v="Bikinis"/>
    <n v="1"/>
    <n v="27"/>
    <n v="27"/>
    <d v="2025-01-30T00:00:00"/>
    <d v="2025-02-01T00:00:00"/>
    <s v="F"/>
    <s v="Website"/>
    <n v="5"/>
    <s v="California"/>
    <s v="Ventura County"/>
    <x v="1"/>
    <n v="5"/>
    <e v="#NAME?"/>
  </r>
  <r>
    <s v="TX500693"/>
    <s v="Graphic Tees"/>
    <n v="1"/>
    <n v="32"/>
    <n v="32"/>
    <d v="2025-01-30T00:00:00"/>
    <d v="2025-02-02T00:00:00"/>
    <s v="M"/>
    <s v="Instagram"/>
    <n v="4"/>
    <s v="California"/>
    <s v="Alameda County"/>
    <x v="2"/>
    <n v="5"/>
    <e v="#NAME?"/>
  </r>
  <r>
    <s v="TX500694"/>
    <s v="Tank Tops"/>
    <n v="3"/>
    <n v="48.1"/>
    <n v="144.30000000000001"/>
    <d v="2025-01-30T00:00:00"/>
    <d v="2025-02-01T00:00:00"/>
    <s v="M"/>
    <s v="Target.com"/>
    <n v="3"/>
    <s v="California"/>
    <s v="Contra Costa County"/>
    <x v="1"/>
    <n v="5"/>
    <e v="#NAME?"/>
  </r>
  <r>
    <s v="TX500695"/>
    <s v="Sundresses"/>
    <n v="2"/>
    <n v="43.4"/>
    <n v="86.8"/>
    <d v="2025-01-30T00:00:00"/>
    <d v="2025-01-31T00:00:00"/>
    <s v="M"/>
    <s v="Website"/>
    <n v="3"/>
    <s v="California"/>
    <s v="Kern County"/>
    <x v="3"/>
    <n v="5"/>
    <e v="#NAME?"/>
  </r>
  <r>
    <s v="TX500696"/>
    <s v="Jeans"/>
    <n v="2"/>
    <n v="42.6"/>
    <n v="85.2"/>
    <d v="2025-01-30T00:00:00"/>
    <d v="2025-02-02T00:00:00"/>
    <s v="F"/>
    <s v="Instagram"/>
    <n v="4"/>
    <s v="California"/>
    <s v="Kern County"/>
    <x v="2"/>
    <n v="5"/>
    <e v="#NAME?"/>
  </r>
  <r>
    <s v="TX500697"/>
    <s v="T-Shirts"/>
    <n v="2"/>
    <n v="15.9"/>
    <n v="31.8"/>
    <d v="2025-01-30T00:00:00"/>
    <d v="2025-01-31T00:00:00"/>
    <s v="F"/>
    <s v="App"/>
    <n v="4"/>
    <s v="California"/>
    <s v="Kings County"/>
    <x v="3"/>
    <n v="5"/>
    <e v="#NAME?"/>
  </r>
  <r>
    <s v="TX500698"/>
    <s v="Sundresses"/>
    <n v="2"/>
    <n v="63.2"/>
    <n v="126.4"/>
    <d v="2025-01-30T00:00:00"/>
    <d v="2025-01-31T00:00:00"/>
    <s v="M"/>
    <s v="Website"/>
    <n v="4"/>
    <s v="California"/>
    <s v="Los Angeles County"/>
    <x v="3"/>
    <n v="5"/>
    <e v="#NAME?"/>
  </r>
  <r>
    <s v="TX500699"/>
    <s v="Hoodies &amp; Sweatshirts"/>
    <n v="4"/>
    <n v="64.8"/>
    <n v="259.2"/>
    <d v="2025-01-30T00:00:00"/>
    <d v="2025-02-01T00:00:00"/>
    <s v=""/>
    <s v="Partner App"/>
    <n v="3"/>
    <s v="California"/>
    <s v="Los Angeles County"/>
    <x v="1"/>
    <n v="5"/>
    <e v="#NAME?"/>
  </r>
  <r>
    <s v="TX500700"/>
    <s v="Hoodies &amp; Sweatshirts"/>
    <n v="3"/>
    <n v="79.8"/>
    <n v="239.39999999999998"/>
    <d v="2025-01-30T00:00:00"/>
    <d v="2025-01-31T00:00:00"/>
    <s v="M"/>
    <s v="App"/>
    <n v="4"/>
    <s v="California"/>
    <s v="Los Angeles County"/>
    <x v="3"/>
    <n v="5"/>
    <e v="#NAME?"/>
  </r>
  <r>
    <s v="TX500701"/>
    <s v="Sundresses"/>
    <n v="1"/>
    <n v="54.4"/>
    <n v="54.4"/>
    <d v="2025-01-30T00:00:00"/>
    <d v="2025-02-01T00:00:00"/>
    <s v="F"/>
    <s v="Partner App"/>
    <n v="5"/>
    <s v="California"/>
    <s v="Los Angeles County"/>
    <x v="1"/>
    <n v="5"/>
    <e v="#NAME?"/>
  </r>
  <r>
    <s v="TX500702"/>
    <s v="Jeans"/>
    <n v="1"/>
    <n v="87.3"/>
    <n v="87.3"/>
    <d v="2025-01-30T00:00:00"/>
    <d v="2025-01-31T00:00:00"/>
    <s v="M"/>
    <s v="Website"/>
    <n v="4"/>
    <s v="California"/>
    <s v="Los Angeles County"/>
    <x v="3"/>
    <n v="5"/>
    <e v="#NAME?"/>
  </r>
  <r>
    <s v="TX500703"/>
    <s v="T-Shirts"/>
    <n v="4"/>
    <n v="32.4"/>
    <n v="129.6"/>
    <d v="2025-01-30T00:00:00"/>
    <d v="2025-01-30T00:00:00"/>
    <s v="M"/>
    <s v="Website"/>
    <n v="4"/>
    <s v="California"/>
    <s v="Los Angeles County"/>
    <x v="7"/>
    <n v="5"/>
    <e v="#NAME?"/>
  </r>
  <r>
    <s v="TX500704"/>
    <s v="Sneakers"/>
    <n v="1"/>
    <n v="177.4"/>
    <n v="177.4"/>
    <d v="2025-01-30T00:00:00"/>
    <d v="2025-02-03T00:00:00"/>
    <s v="M"/>
    <s v="App"/>
    <n v="5"/>
    <s v="California"/>
    <s v="Los Angeles County"/>
    <x v="5"/>
    <n v="5"/>
    <e v="#NAME?"/>
  </r>
  <r>
    <s v="TX500705"/>
    <s v="Hoodies &amp; Sweatshirts"/>
    <n v="2"/>
    <n v="70.099999999999994"/>
    <n v="140.19999999999999"/>
    <d v="2025-01-30T00:00:00"/>
    <d v="2025-01-31T00:00:00"/>
    <s v="M"/>
    <s v="Instagram"/>
    <n v="3"/>
    <s v="California"/>
    <s v="Los Angeles County"/>
    <x v="3"/>
    <n v="5"/>
    <e v="#NAME?"/>
  </r>
  <r>
    <s v="TX500706"/>
    <s v="Sundresses"/>
    <n v="6"/>
    <n v="51.1"/>
    <n v="306.60000000000002"/>
    <d v="2025-01-30T00:00:00"/>
    <d v="2025-01-31T00:00:00"/>
    <s v="F"/>
    <s v="App"/>
    <n v="4"/>
    <s v="California"/>
    <s v="Los Angeles County"/>
    <x v="3"/>
    <n v="5"/>
    <e v="#NAME?"/>
  </r>
  <r>
    <s v="TX500707"/>
    <s v="Sneakers"/>
    <n v="5"/>
    <n v="79.900000000000006"/>
    <n v="399.5"/>
    <d v="2025-01-30T00:00:00"/>
    <d v="2025-02-01T00:00:00"/>
    <s v="M"/>
    <s v="Instagram"/>
    <n v="5"/>
    <s v="California"/>
    <s v="Merced County"/>
    <x v="1"/>
    <n v="5"/>
    <e v="#NAME?"/>
  </r>
  <r>
    <s v="TX500708"/>
    <s v="Jeans"/>
    <n v="1"/>
    <n v="57.6"/>
    <n v="57.6"/>
    <d v="2025-01-31T00:00:00"/>
    <d v="2025-02-05T00:00:00"/>
    <s v="M"/>
    <s v="App"/>
    <n v="5"/>
    <s v="California"/>
    <s v="Monterey County"/>
    <x v="0"/>
    <n v="5"/>
    <e v="#NAME?"/>
  </r>
  <r>
    <s v="TX500709"/>
    <s v="T-Shirts"/>
    <n v="10"/>
    <n v="59.7"/>
    <n v="597"/>
    <d v="2025-01-31T00:00:00"/>
    <d v="2025-02-04T00:00:00"/>
    <s v="M"/>
    <s v="Target.com"/>
    <n v="4"/>
    <s v="California"/>
    <s v="Orange County"/>
    <x v="5"/>
    <n v="5"/>
    <e v="#NAME?"/>
  </r>
  <r>
    <s v="TX500710"/>
    <s v="T-Shirts"/>
    <n v="5"/>
    <n v="30"/>
    <n v="150"/>
    <d v="2025-01-31T00:00:00"/>
    <d v="2025-02-02T00:00:00"/>
    <s v="M"/>
    <s v="Website"/>
    <n v="4"/>
    <s v="California"/>
    <s v="Sacramento County"/>
    <x v="1"/>
    <n v="5"/>
    <e v="#NAME?"/>
  </r>
  <r>
    <s v="TX500711"/>
    <s v="Bikinis"/>
    <n v="2"/>
    <n v="69.2"/>
    <n v="138.4"/>
    <d v="2025-01-31T00:00:00"/>
    <d v="2025-02-02T00:00:00"/>
    <s v=""/>
    <s v="Target.com"/>
    <n v="3"/>
    <s v="California"/>
    <s v="Sacramento County"/>
    <x v="1"/>
    <n v="5"/>
    <e v="#NAME?"/>
  </r>
  <r>
    <s v="TX500712"/>
    <s v="Shorts"/>
    <n v="8"/>
    <n v="10.9"/>
    <n v="87.2"/>
    <d v="2025-01-31T00:00:00"/>
    <d v="2025-02-01T00:00:00"/>
    <s v="F"/>
    <s v="App"/>
    <n v="5"/>
    <s v="California"/>
    <s v="Sacramento County"/>
    <x v="3"/>
    <n v="5"/>
    <e v="#NAME?"/>
  </r>
  <r>
    <s v="TX500713"/>
    <s v="Sunglasses"/>
    <n v="2"/>
    <n v="48.6"/>
    <n v="97.2"/>
    <d v="2025-01-31T00:00:00"/>
    <d v="2025-02-04T00:00:00"/>
    <s v="M"/>
    <s v="Website"/>
    <n v="5"/>
    <s v="California"/>
    <s v="Sacramento County"/>
    <x v="5"/>
    <n v="5"/>
    <e v="#NAME?"/>
  </r>
  <r>
    <s v="TX500714"/>
    <s v="Sneakers"/>
    <n v="2"/>
    <n v="61.1"/>
    <n v="122.2"/>
    <d v="2025-01-31T00:00:00"/>
    <d v="2025-02-03T00:00:00"/>
    <s v="F"/>
    <s v="Website"/>
    <n v="5"/>
    <s v="California"/>
    <s v="San Bernardino County"/>
    <x v="2"/>
    <n v="5"/>
    <e v="#NAME?"/>
  </r>
  <r>
    <s v="TX500715"/>
    <s v="T-Shirts"/>
    <n v="2"/>
    <n v="23.2"/>
    <n v="46.4"/>
    <d v="2025-01-31T00:00:00"/>
    <d v="2025-02-01T00:00:00"/>
    <s v="M"/>
    <s v="Instagram"/>
    <n v="5"/>
    <s v="California"/>
    <s v="San Diego County"/>
    <x v="3"/>
    <n v="5"/>
    <e v="#NAME?"/>
  </r>
  <r>
    <s v="TX500716"/>
    <s v="Casual Dresses"/>
    <n v="4"/>
    <n v="55.8"/>
    <n v="223.2"/>
    <d v="2025-01-31T00:00:00"/>
    <d v="2025-02-01T00:00:00"/>
    <s v="M"/>
    <s v="App"/>
    <n v="4"/>
    <s v="California"/>
    <s v="San Diego County"/>
    <x v="3"/>
    <n v="5"/>
    <e v="#NAME?"/>
  </r>
  <r>
    <s v="TX500717"/>
    <s v="Sundresses"/>
    <n v="4"/>
    <n v="24.8"/>
    <n v="99.2"/>
    <d v="2025-01-31T00:00:00"/>
    <d v="2025-02-01T00:00:00"/>
    <s v="F"/>
    <s v="App"/>
    <n v="5"/>
    <s v="California"/>
    <s v="San Diego County"/>
    <x v="3"/>
    <n v="5"/>
    <e v="#NAME?"/>
  </r>
  <r>
    <s v="TX500718"/>
    <s v="Bikinis"/>
    <n v="2"/>
    <n v="27.9"/>
    <n v="55.8"/>
    <d v="2025-01-31T00:00:00"/>
    <d v="2025-01-31T00:00:00"/>
    <s v="M"/>
    <s v="Target.com"/>
    <n v="5"/>
    <s v="California"/>
    <s v="San Diego County"/>
    <x v="7"/>
    <n v="5"/>
    <e v="#NAME?"/>
  </r>
  <r>
    <s v="TX500719"/>
    <s v="Bikinis"/>
    <n v="6"/>
    <n v="51.1"/>
    <n v="306.60000000000002"/>
    <d v="2025-01-31T00:00:00"/>
    <d v="2025-01-31T00:00:00"/>
    <s v="F"/>
    <s v="Instagram"/>
    <n v="4"/>
    <s v="California"/>
    <s v="San Diego County"/>
    <x v="7"/>
    <n v="5"/>
    <e v="#NAME?"/>
  </r>
  <r>
    <s v="TX500720"/>
    <s v="Pajama Sets"/>
    <n v="11"/>
    <n v="32.700000000000003"/>
    <n v="359.70000000000005"/>
    <d v="2025-01-31T00:00:00"/>
    <d v="2025-02-01T00:00:00"/>
    <s v="M"/>
    <s v="Partner App"/>
    <n v="5"/>
    <s v="California"/>
    <s v="San Francisco"/>
    <x v="3"/>
    <n v="5"/>
    <e v="#NAME?"/>
  </r>
  <r>
    <s v="TX500721"/>
    <s v="T-Shirts"/>
    <n v="4"/>
    <n v="22.5"/>
    <n v="90"/>
    <d v="2025-01-31T00:00:00"/>
    <d v="2025-01-31T00:00:00"/>
    <s v="M"/>
    <s v="App"/>
    <n v="5"/>
    <s v="California"/>
    <s v="San Joaquin County"/>
    <x v="7"/>
    <n v="5"/>
    <e v="#NAME?"/>
  </r>
  <r>
    <s v="TX500722"/>
    <s v="Shorts"/>
    <n v="7"/>
    <n v="14.6"/>
    <n v="102.2"/>
    <d v="2025-01-31T00:00:00"/>
    <d v="2025-02-01T00:00:00"/>
    <s v="F"/>
    <s v="Target.com"/>
    <n v="4"/>
    <s v="California"/>
    <s v="San Luis Obispo County"/>
    <x v="3"/>
    <n v="5"/>
    <e v="#NAME?"/>
  </r>
  <r>
    <s v="TX500723"/>
    <s v="Sandals"/>
    <n v="3"/>
    <n v="32.5"/>
    <n v="97.5"/>
    <d v="2025-01-31T00:00:00"/>
    <d v="2025-02-03T00:00:00"/>
    <s v="M"/>
    <s v="App"/>
    <n v="4"/>
    <s v="California"/>
    <s v="Santa Barbara County"/>
    <x v="2"/>
    <n v="5"/>
    <e v="#NAME?"/>
  </r>
  <r>
    <s v="TX500724"/>
    <s v="Leggings"/>
    <n v="1"/>
    <n v="78.099999999999994"/>
    <n v="78.099999999999994"/>
    <d v="2025-01-31T00:00:00"/>
    <d v="2025-02-03T00:00:00"/>
    <s v="M"/>
    <s v="App"/>
    <n v="5"/>
    <s v="California"/>
    <s v="Santa Clara County"/>
    <x v="2"/>
    <n v="5"/>
    <e v="#NAME?"/>
  </r>
  <r>
    <s v="TX500725"/>
    <s v="Casual Dresses"/>
    <n v="6"/>
    <n v="110.2"/>
    <n v="661.2"/>
    <d v="2025-01-31T00:00:00"/>
    <d v="2025-01-31T00:00:00"/>
    <s v="M"/>
    <s v="Website"/>
    <n v="2"/>
    <s v="California"/>
    <s v="Ventura County"/>
    <x v="7"/>
    <n v="5"/>
    <e v="#NAME?"/>
  </r>
  <r>
    <s v="TX500726"/>
    <s v="Jeans"/>
    <n v="3"/>
    <n v="86.3"/>
    <n v="258.89999999999998"/>
    <d v="2025-01-31T00:00:00"/>
    <d v="2025-02-02T00:00:00"/>
    <s v="F"/>
    <s v="Instagram"/>
    <n v="4"/>
    <s v="California"/>
    <s v="Alameda County"/>
    <x v="1"/>
    <n v="5"/>
    <e v="#NAME?"/>
  </r>
  <r>
    <s v="TX500727"/>
    <s v="Tank Tops"/>
    <n v="6"/>
    <n v="73.599999999999994"/>
    <n v="441.59999999999997"/>
    <d v="2025-01-31T00:00:00"/>
    <d v="2025-02-02T00:00:00"/>
    <s v="O"/>
    <s v="Instagram"/>
    <n v="2"/>
    <s v="California"/>
    <s v="Humboldt County"/>
    <x v="1"/>
    <n v="5"/>
    <e v="#NAME?"/>
  </r>
  <r>
    <s v="TX500728"/>
    <s v="Jeans"/>
    <n v="13"/>
    <n v="67.7"/>
    <n v="880.1"/>
    <d v="2025-01-31T00:00:00"/>
    <d v="2025-02-02T00:00:00"/>
    <s v="F"/>
    <s v="App"/>
    <n v="5"/>
    <s v="California"/>
    <s v="Los Angeles County"/>
    <x v="1"/>
    <n v="5"/>
    <e v="#NAME?"/>
  </r>
  <r>
    <s v="TX500729"/>
    <s v="Hoodies &amp; Sweatshirts"/>
    <n v="6"/>
    <n v="142.19999999999999"/>
    <n v="853.19999999999993"/>
    <d v="2025-01-31T00:00:00"/>
    <d v="2025-02-01T00:00:00"/>
    <s v="F"/>
    <s v="Target.com"/>
    <n v="2"/>
    <s v="California"/>
    <s v="Los Angeles County"/>
    <x v="3"/>
    <n v="5"/>
    <e v="#NAME?"/>
  </r>
  <r>
    <s v="TX500730"/>
    <s v="Tank Tops"/>
    <n v="9"/>
    <n v="45.8"/>
    <n v="412.2"/>
    <d v="2025-01-31T00:00:00"/>
    <d v="2025-02-02T00:00:00"/>
    <s v="F"/>
    <s v="Website"/>
    <n v="5"/>
    <s v="California"/>
    <s v="Los Angeles County"/>
    <x v="1"/>
    <n v="5"/>
    <e v="#NAME?"/>
  </r>
  <r>
    <s v="TX500731"/>
    <s v="Bikinis"/>
    <n v="2"/>
    <n v="24.2"/>
    <n v="48.4"/>
    <d v="2025-02-01T00:00:00"/>
    <d v="2025-02-04T00:00:00"/>
    <s v="F"/>
    <s v="Instagram"/>
    <n v="5"/>
    <s v="California"/>
    <s v="Los Angeles County"/>
    <x v="2"/>
    <n v="5"/>
    <e v="#NAME?"/>
  </r>
  <r>
    <s v="TX500732"/>
    <s v="Sneakers"/>
    <n v="3"/>
    <n v="144.9"/>
    <n v="434.70000000000005"/>
    <d v="2025-02-01T00:00:00"/>
    <d v="2025-02-02T00:00:00"/>
    <s v="O"/>
    <s v="Target.com"/>
    <n v="5"/>
    <s v="California"/>
    <s v="Los Angeles County"/>
    <x v="3"/>
    <n v="5"/>
    <e v="#NAME?"/>
  </r>
  <r>
    <s v="TX500733"/>
    <s v="Maxi Dresses"/>
    <n v="5"/>
    <n v="32.799999999999997"/>
    <n v="164"/>
    <d v="2025-02-01T00:00:00"/>
    <d v="2025-02-04T00:00:00"/>
    <s v="F"/>
    <s v="Target.com"/>
    <n v="4"/>
    <s v="California"/>
    <s v="Riverside County"/>
    <x v="2"/>
    <n v="5"/>
    <e v="#NAME?"/>
  </r>
  <r>
    <s v="TX500734"/>
    <s v="Hoodies &amp; Sweatshirts"/>
    <n v="10"/>
    <n v="35.700000000000003"/>
    <n v="357"/>
    <d v="2025-02-01T00:00:00"/>
    <d v="2025-02-01T00:00:00"/>
    <s v="F"/>
    <s v="App"/>
    <n v="3"/>
    <s v="California"/>
    <s v="Sacramento County"/>
    <x v="7"/>
    <n v="5"/>
    <e v="#NAME?"/>
  </r>
  <r>
    <s v="TX500735"/>
    <s v="Sundresses"/>
    <n v="2"/>
    <n v="54.6"/>
    <n v="109.2"/>
    <d v="2025-02-01T00:00:00"/>
    <d v="2025-02-02T00:00:00"/>
    <s v="F"/>
    <s v="Target.com"/>
    <n v="4"/>
    <s v="California"/>
    <s v="Sacramento County"/>
    <x v="3"/>
    <n v="5"/>
    <e v="#NAME?"/>
  </r>
  <r>
    <s v="TX500736"/>
    <s v="T-Shirts"/>
    <n v="2"/>
    <n v="35.700000000000003"/>
    <n v="71.400000000000006"/>
    <d v="2025-02-01T00:00:00"/>
    <d v="2025-02-04T00:00:00"/>
    <s v=""/>
    <s v="App"/>
    <n v="3"/>
    <s v="California"/>
    <s v="Sacramento County"/>
    <x v="2"/>
    <n v="5"/>
    <e v="#NAME?"/>
  </r>
  <r>
    <s v="TX500737"/>
    <s v="Bikinis"/>
    <n v="2"/>
    <n v="52.4"/>
    <n v="104.8"/>
    <d v="2025-02-01T00:00:00"/>
    <d v="2025-02-01T00:00:00"/>
    <s v="F"/>
    <s v="App"/>
    <n v="1"/>
    <s v="California"/>
    <s v="Sacramento County"/>
    <x v="7"/>
    <n v="5"/>
    <e v="#NAME?"/>
  </r>
  <r>
    <s v="TX500738"/>
    <s v="T-Shirts"/>
    <n v="14"/>
    <n v="16.2"/>
    <n v="226.79999999999998"/>
    <d v="2025-02-01T00:00:00"/>
    <d v="2025-02-02T00:00:00"/>
    <s v=""/>
    <s v="App"/>
    <n v="3"/>
    <s v="California"/>
    <s v="San Diego County"/>
    <x v="3"/>
    <n v="5"/>
    <e v="#NAME?"/>
  </r>
  <r>
    <s v="TX500739"/>
    <s v="Jeans"/>
    <n v="47"/>
    <n v="42.8"/>
    <n v="2011.6"/>
    <d v="2025-02-01T00:00:00"/>
    <d v="2025-02-02T00:00:00"/>
    <s v="F"/>
    <s v="App"/>
    <n v="4"/>
    <s v="California"/>
    <s v="San Diego County"/>
    <x v="3"/>
    <n v="5"/>
    <e v="#NAME?"/>
  </r>
  <r>
    <s v="TX500740"/>
    <s v="Jeans"/>
    <n v="9"/>
    <n v="144.4"/>
    <n v="1299.6000000000001"/>
    <d v="2025-02-01T00:00:00"/>
    <d v="2025-02-04T00:00:00"/>
    <s v="F"/>
    <s v="Partner App"/>
    <n v="4"/>
    <s v="California"/>
    <s v="San Diego County"/>
    <x v="2"/>
    <n v="5"/>
    <e v="#NAME?"/>
  </r>
  <r>
    <s v="TX500741"/>
    <s v="Workout Tops"/>
    <n v="36"/>
    <n v="30.6"/>
    <n v="1101.6000000000001"/>
    <d v="2025-02-01T00:00:00"/>
    <d v="2025-02-05T00:00:00"/>
    <s v="F"/>
    <s v="Target.com"/>
    <n v="5"/>
    <s v="California"/>
    <s v="Santa Clara County"/>
    <x v="5"/>
    <n v="5"/>
    <e v="#NAME?"/>
  </r>
  <r>
    <s v="TX500742"/>
    <s v="Sneakers"/>
    <n v="2"/>
    <n v="117.5"/>
    <n v="235"/>
    <d v="2025-02-01T00:00:00"/>
    <d v="2025-02-02T00:00:00"/>
    <s v="M"/>
    <s v="App"/>
    <n v="4"/>
    <s v="California"/>
    <s v="Stanislaus County"/>
    <x v="3"/>
    <n v="5"/>
    <e v="#NAME?"/>
  </r>
  <r>
    <s v="TX500743"/>
    <s v="Jeans"/>
    <n v="2"/>
    <n v="105.7"/>
    <n v="211.4"/>
    <d v="2025-02-01T00:00:00"/>
    <d v="2025-02-02T00:00:00"/>
    <s v="F"/>
    <s v="Target.com"/>
    <n v="5"/>
    <s v="California"/>
    <s v="Alameda County"/>
    <x v="3"/>
    <n v="5"/>
    <e v="#NAME?"/>
  </r>
  <r>
    <s v="TX500744"/>
    <s v="Workout Tops"/>
    <n v="3"/>
    <n v="133.69999999999999"/>
    <n v="401.09999999999997"/>
    <d v="2025-02-01T00:00:00"/>
    <d v="2025-02-02T00:00:00"/>
    <s v=""/>
    <s v="Partner App"/>
    <n v="5"/>
    <s v="California"/>
    <s v="Alameda County"/>
    <x v="3"/>
    <n v="5"/>
    <e v="#NAME?"/>
  </r>
  <r>
    <s v="TX500745"/>
    <s v="Graphic Tees"/>
    <n v="5"/>
    <n v="46.8"/>
    <n v="234"/>
    <d v="2025-02-02T00:00:00"/>
    <d v="2025-02-10T00:00:00"/>
    <s v="F"/>
    <s v="App"/>
    <n v="3"/>
    <s v="California"/>
    <s v="Alameda County"/>
    <x v="9"/>
    <n v="6"/>
    <e v="#NAME?"/>
  </r>
  <r>
    <s v="TX500746"/>
    <s v="Bikinis"/>
    <n v="3"/>
    <n v="58.4"/>
    <n v="175.2"/>
    <d v="2025-02-02T00:00:00"/>
    <d v="2025-02-04T00:00:00"/>
    <s v="F"/>
    <s v="App"/>
    <n v="4"/>
    <s v="California"/>
    <s v="Contra Costa County"/>
    <x v="1"/>
    <n v="6"/>
    <e v="#NAME?"/>
  </r>
  <r>
    <s v="TX500747"/>
    <s v="Jeans"/>
    <n v="9"/>
    <n v="65.099999999999994"/>
    <n v="585.9"/>
    <d v="2025-02-02T00:00:00"/>
    <d v="2025-02-06T00:00:00"/>
    <s v="M"/>
    <s v="Website"/>
    <n v="5"/>
    <s v="California"/>
    <s v="Kern County"/>
    <x v="5"/>
    <n v="6"/>
    <e v="#NAME?"/>
  </r>
  <r>
    <s v="TX500748"/>
    <s v="T-Shirts"/>
    <n v="1"/>
    <n v="18.600000000000001"/>
    <n v="18.600000000000001"/>
    <d v="2025-02-02T00:00:00"/>
    <d v="2025-02-05T00:00:00"/>
    <s v="F"/>
    <s v="App"/>
    <n v="2"/>
    <s v="California"/>
    <s v="Kern County"/>
    <x v="2"/>
    <n v="6"/>
    <e v="#NAME?"/>
  </r>
  <r>
    <s v="TX500749"/>
    <s v="Tank Tops"/>
    <n v="11"/>
    <n v="92.3"/>
    <n v="1015.3"/>
    <d v="2025-02-02T00:00:00"/>
    <d v="2025-02-04T00:00:00"/>
    <s v="M"/>
    <s v="Website"/>
    <n v="4"/>
    <s v="California"/>
    <s v="Los Angeles County"/>
    <x v="1"/>
    <n v="6"/>
    <e v="#NAME?"/>
  </r>
  <r>
    <s v="TX500750"/>
    <s v="Jeans"/>
    <n v="3"/>
    <n v="81.7"/>
    <n v="245.10000000000002"/>
    <d v="2025-02-02T00:00:00"/>
    <d v="2025-02-03T00:00:00"/>
    <s v=""/>
    <s v="Partner App"/>
    <n v="2"/>
    <s v="California"/>
    <s v="Los Angeles County"/>
    <x v="3"/>
    <n v="6"/>
    <e v="#NAME?"/>
  </r>
  <r>
    <s v="TX500751"/>
    <s v="T-Shirts"/>
    <n v="2"/>
    <n v="40.9"/>
    <n v="81.8"/>
    <d v="2025-02-02T00:00:00"/>
    <d v="2025-02-04T00:00:00"/>
    <s v="M"/>
    <s v="App"/>
    <n v="3"/>
    <s v="California"/>
    <s v="Los Angeles County"/>
    <x v="1"/>
    <n v="6"/>
    <e v="#NAME?"/>
  </r>
  <r>
    <s v="TX500752"/>
    <s v="Jeans"/>
    <n v="4"/>
    <n v="43.2"/>
    <n v="172.8"/>
    <d v="2025-02-02T00:00:00"/>
    <d v="2025-02-08T00:00:00"/>
    <s v="F"/>
    <s v="App"/>
    <n v="3"/>
    <s v="California"/>
    <s v="Los Angeles County"/>
    <x v="4"/>
    <n v="6"/>
    <e v="#NAME?"/>
  </r>
  <r>
    <s v="TX500753"/>
    <s v="T-Shirts"/>
    <n v="11"/>
    <n v="25.8"/>
    <n v="283.8"/>
    <d v="2025-02-02T00:00:00"/>
    <d v="2025-02-05T00:00:00"/>
    <s v="M"/>
    <s v="Target.com"/>
    <n v="3"/>
    <s v="California"/>
    <s v="Los Angeles County"/>
    <x v="2"/>
    <n v="6"/>
    <e v="#NAME?"/>
  </r>
  <r>
    <s v="TX500754"/>
    <s v="Crop Tops"/>
    <n v="4"/>
    <n v="36.4"/>
    <n v="145.6"/>
    <d v="2025-02-02T00:00:00"/>
    <d v="2025-02-03T00:00:00"/>
    <s v="M"/>
    <s v="App"/>
    <n v="4"/>
    <s v="California"/>
    <s v="Los Angeles County"/>
    <x v="3"/>
    <n v="6"/>
    <e v="#NAME?"/>
  </r>
  <r>
    <s v="TX500755"/>
    <s v="Bikinis"/>
    <n v="1"/>
    <n v="59.1"/>
    <n v="59.1"/>
    <d v="2025-02-02T00:00:00"/>
    <d v="2025-02-03T00:00:00"/>
    <s v="F"/>
    <s v="Target.com"/>
    <n v="4"/>
    <s v="California"/>
    <s v="San Bernardino County"/>
    <x v="3"/>
    <n v="6"/>
    <e v="#NAME?"/>
  </r>
  <r>
    <s v="TX500756"/>
    <s v="Sneakers"/>
    <n v="17"/>
    <n v="74.5"/>
    <n v="1266.5"/>
    <d v="2025-02-02T00:00:00"/>
    <d v="2025-02-04T00:00:00"/>
    <s v="M"/>
    <s v="Partner App"/>
    <n v="4"/>
    <s v="California"/>
    <s v="Sonoma County"/>
    <x v="1"/>
    <n v="6"/>
    <e v="#NAME?"/>
  </r>
  <r>
    <s v="TX500757"/>
    <s v="Sandals"/>
    <n v="1"/>
    <n v="72.8"/>
    <n v="72.8"/>
    <d v="2025-02-02T00:00:00"/>
    <d v="2025-02-03T00:00:00"/>
    <s v="F"/>
    <s v="App"/>
    <n v="3"/>
    <s v="California"/>
    <s v="Stanislaus County"/>
    <x v="3"/>
    <n v="6"/>
    <e v="#NAME?"/>
  </r>
  <r>
    <s v="TX500758"/>
    <s v="Jeans"/>
    <n v="4"/>
    <n v="137.30000000000001"/>
    <n v="549.20000000000005"/>
    <d v="2025-02-02T00:00:00"/>
    <d v="2025-02-05T00:00:00"/>
    <s v="F"/>
    <s v="App"/>
    <n v="4"/>
    <s v="California"/>
    <s v="Ventura County"/>
    <x v="2"/>
    <n v="6"/>
    <e v="#NAME?"/>
  </r>
  <r>
    <s v="TX500759"/>
    <s v="Tank Tops"/>
    <n v="3"/>
    <n v="48.7"/>
    <n v="146.10000000000002"/>
    <d v="2025-02-02T00:00:00"/>
    <d v="2025-02-07T00:00:00"/>
    <s v="F"/>
    <s v="App"/>
    <n v="3"/>
    <s v="California"/>
    <s v="Alameda County"/>
    <x v="0"/>
    <n v="6"/>
    <e v="#NAME?"/>
  </r>
  <r>
    <s v="TX500760"/>
    <s v="Jeans"/>
    <n v="4"/>
    <n v="53.7"/>
    <n v="214.8"/>
    <d v="2025-02-02T00:00:00"/>
    <d v="2025-02-06T00:00:00"/>
    <s v="M"/>
    <s v="Website"/>
    <n v="2"/>
    <s v="California"/>
    <s v="Fresno County"/>
    <x v="5"/>
    <n v="6"/>
    <e v="#NAME?"/>
  </r>
  <r>
    <s v="TX500761"/>
    <s v="Sneakers"/>
    <n v="7"/>
    <n v="100.9"/>
    <n v="706.30000000000007"/>
    <d v="2025-02-02T00:00:00"/>
    <d v="2025-02-04T00:00:00"/>
    <s v="F"/>
    <s v="App"/>
    <n v="3"/>
    <s v="California"/>
    <s v="Fresno County"/>
    <x v="1"/>
    <n v="6"/>
    <e v="#NAME?"/>
  </r>
  <r>
    <s v="TX500762"/>
    <s v="Bikinis"/>
    <n v="2"/>
    <n v="41.8"/>
    <n v="83.6"/>
    <d v="2025-02-02T00:00:00"/>
    <d v="2025-02-06T00:00:00"/>
    <s v="M"/>
    <s v="Instagram"/>
    <n v="5"/>
    <s v="California"/>
    <s v="Kern County"/>
    <x v="5"/>
    <n v="6"/>
    <e v="#NAME?"/>
  </r>
  <r>
    <s v="TX500763"/>
    <s v="Graphic Tees"/>
    <n v="8"/>
    <n v="28.5"/>
    <n v="228"/>
    <d v="2025-02-02T00:00:00"/>
    <d v="2025-02-04T00:00:00"/>
    <s v="M"/>
    <s v="Target.com"/>
    <n v="3"/>
    <s v="California"/>
    <s v="Los Angeles County"/>
    <x v="1"/>
    <n v="6"/>
    <e v="#NAME?"/>
  </r>
  <r>
    <s v="TX500764"/>
    <s v="Hoodies &amp; Sweatshirts"/>
    <n v="4"/>
    <n v="88.9"/>
    <n v="355.6"/>
    <d v="2025-02-02T00:00:00"/>
    <d v="2025-02-05T00:00:00"/>
    <s v="F"/>
    <s v="App"/>
    <n v="5"/>
    <s v="California"/>
    <s v="Los Angeles County"/>
    <x v="2"/>
    <n v="6"/>
    <e v="#NAME?"/>
  </r>
  <r>
    <s v="TX500765"/>
    <s v="Jeans"/>
    <n v="1"/>
    <n v="62.5"/>
    <n v="62.5"/>
    <d v="2025-02-02T00:00:00"/>
    <d v="2025-02-11T00:00:00"/>
    <s v="F"/>
    <s v="App"/>
    <n v="5"/>
    <s v="California"/>
    <s v="Los Angeles County"/>
    <x v="8"/>
    <n v="6"/>
    <e v="#NAME?"/>
  </r>
  <r>
    <s v="TX500766"/>
    <s v="Tank Tops"/>
    <n v="3"/>
    <n v="46.9"/>
    <n v="140.69999999999999"/>
    <d v="2025-02-02T00:00:00"/>
    <d v="2025-02-03T00:00:00"/>
    <s v="M"/>
    <s v="App"/>
    <n v="5"/>
    <s v="California"/>
    <s v="Los Angeles County"/>
    <x v="3"/>
    <n v="6"/>
    <e v="#NAME?"/>
  </r>
  <r>
    <s v="TX500767"/>
    <s v="T-Shirts"/>
    <n v="3"/>
    <n v="45"/>
    <n v="135"/>
    <d v="2025-02-02T00:00:00"/>
    <d v="2025-02-16T00:00:00"/>
    <s v="M"/>
    <s v="Website"/>
    <n v="4"/>
    <s v="California"/>
    <s v="Los Angeles County"/>
    <x v="12"/>
    <n v="6"/>
    <e v="#NAME?"/>
  </r>
  <r>
    <s v="TX500768"/>
    <s v="Jeans"/>
    <n v="3"/>
    <n v="45.2"/>
    <n v="135.60000000000002"/>
    <d v="2025-02-02T00:00:00"/>
    <d v="2025-02-04T00:00:00"/>
    <s v="M"/>
    <s v="Partner App"/>
    <n v="5"/>
    <s v="California"/>
    <s v="Los Angeles County"/>
    <x v="1"/>
    <n v="6"/>
    <e v="#NAME?"/>
  </r>
  <r>
    <s v="TX500769"/>
    <s v="Graphic Tees"/>
    <n v="2"/>
    <n v="60.1"/>
    <n v="120.2"/>
    <d v="2025-02-02T00:00:00"/>
    <d v="2025-02-03T00:00:00"/>
    <s v="F"/>
    <s v="App"/>
    <n v="5"/>
    <s v="California"/>
    <s v="Los Angeles County"/>
    <x v="3"/>
    <n v="6"/>
    <e v="#NAME?"/>
  </r>
  <r>
    <s v="TX500770"/>
    <s v="Casual Dresses"/>
    <n v="4"/>
    <n v="118.7"/>
    <n v="474.8"/>
    <d v="2025-02-02T00:00:00"/>
    <d v="2025-02-04T00:00:00"/>
    <s v="F"/>
    <s v="App"/>
    <n v="4"/>
    <s v="California"/>
    <s v="Los Angeles County"/>
    <x v="1"/>
    <n v="6"/>
    <e v="#NAME?"/>
  </r>
  <r>
    <s v="TX500771"/>
    <s v="Sundresses"/>
    <n v="1"/>
    <n v="57.8"/>
    <n v="57.8"/>
    <d v="2025-02-02T00:00:00"/>
    <d v="2025-02-11T00:00:00"/>
    <s v="F"/>
    <s v="Website"/>
    <n v="4"/>
    <s v="California"/>
    <s v="Los Angeles County"/>
    <x v="8"/>
    <n v="6"/>
    <e v="#NAME?"/>
  </r>
  <r>
    <s v="TX500772"/>
    <s v="Graphic Tees"/>
    <n v="1"/>
    <n v="19.5"/>
    <n v="19.5"/>
    <d v="2025-02-02T00:00:00"/>
    <d v="2025-02-03T00:00:00"/>
    <s v="M"/>
    <s v="Website"/>
    <n v="3"/>
    <s v="California"/>
    <s v="Los Angeles County"/>
    <x v="3"/>
    <n v="6"/>
    <e v="#NAME?"/>
  </r>
  <r>
    <s v="TX500773"/>
    <s v="Casual Dresses"/>
    <n v="1"/>
    <n v="42.6"/>
    <n v="42.6"/>
    <d v="2025-02-02T00:00:00"/>
    <d v="2025-02-03T00:00:00"/>
    <s v="M"/>
    <s v="App"/>
    <n v="3"/>
    <s v="California"/>
    <s v="Los Angeles County"/>
    <x v="3"/>
    <n v="6"/>
    <e v="#NAME?"/>
  </r>
  <r>
    <s v="TX500774"/>
    <s v="Jeans"/>
    <n v="2"/>
    <n v="74.8"/>
    <n v="149.6"/>
    <d v="2025-02-02T00:00:00"/>
    <d v="2025-02-03T00:00:00"/>
    <s v="F"/>
    <s v="Instagram"/>
    <n v="5"/>
    <s v="California"/>
    <s v="Madera County"/>
    <x v="3"/>
    <n v="6"/>
    <e v="#NAME?"/>
  </r>
  <r>
    <s v="TX500775"/>
    <s v="T-Shirts"/>
    <n v="3"/>
    <n v="32.5"/>
    <n v="97.5"/>
    <d v="2025-02-02T00:00:00"/>
    <d v="2025-02-03T00:00:00"/>
    <s v="M"/>
    <s v="Target.com"/>
    <n v="2"/>
    <s v="California"/>
    <s v="Napa County"/>
    <x v="3"/>
    <n v="6"/>
    <e v="#NAME?"/>
  </r>
  <r>
    <s v="TX500776"/>
    <s v="Sneakers"/>
    <n v="3"/>
    <n v="60.5"/>
    <n v="181.5"/>
    <d v="2025-02-02T00:00:00"/>
    <d v="2025-02-02T00:00:00"/>
    <s v="F"/>
    <s v="Website"/>
    <n v="5"/>
    <s v="California"/>
    <s v="Orange County"/>
    <x v="7"/>
    <n v="6"/>
    <e v="#NAME?"/>
  </r>
  <r>
    <s v="TX500777"/>
    <s v="Tank Tops"/>
    <n v="7"/>
    <n v="57.2"/>
    <n v="400.40000000000003"/>
    <d v="2025-02-02T00:00:00"/>
    <d v="2025-02-04T00:00:00"/>
    <s v=""/>
    <s v="Target.com"/>
    <n v="4"/>
    <s v="California"/>
    <s v="Orange County"/>
    <x v="1"/>
    <n v="6"/>
    <e v="#NAME?"/>
  </r>
  <r>
    <s v="TX500778"/>
    <s v="Sunglasses"/>
    <n v="2"/>
    <n v="112"/>
    <n v="224"/>
    <d v="2025-02-02T00:00:00"/>
    <d v="2025-02-03T00:00:00"/>
    <s v="F"/>
    <s v="Website"/>
    <n v="3"/>
    <s v="California"/>
    <s v="Placer County"/>
    <x v="3"/>
    <n v="6"/>
    <e v="#NAME?"/>
  </r>
  <r>
    <s v="TX500779"/>
    <s v="Hoodies &amp; Sweatshirts"/>
    <n v="10"/>
    <n v="49"/>
    <n v="490"/>
    <d v="2025-02-02T00:00:00"/>
    <d v="2025-02-03T00:00:00"/>
    <s v="O"/>
    <s v="Target.com"/>
    <n v="3"/>
    <s v="California"/>
    <s v="Sacramento County"/>
    <x v="3"/>
    <n v="6"/>
    <e v="#NAME?"/>
  </r>
  <r>
    <s v="TX500780"/>
    <s v="Shorts"/>
    <n v="2"/>
    <n v="33.700000000000003"/>
    <n v="67.400000000000006"/>
    <d v="2025-02-02T00:00:00"/>
    <d v="2025-02-06T00:00:00"/>
    <s v="F"/>
    <s v="Instagram"/>
    <n v="4"/>
    <s v="California"/>
    <s v="Sacramento County"/>
    <x v="5"/>
    <n v="6"/>
    <e v="#NAME?"/>
  </r>
  <r>
    <s v="TX500781"/>
    <s v="Graphic Tees"/>
    <n v="3"/>
    <n v="35.6"/>
    <n v="106.80000000000001"/>
    <d v="2025-02-02T00:00:00"/>
    <d v="2025-02-05T00:00:00"/>
    <s v="F"/>
    <s v="App"/>
    <n v="5"/>
    <s v="California"/>
    <s v="Sacramento County"/>
    <x v="2"/>
    <n v="6"/>
    <e v="#NAME?"/>
  </r>
  <r>
    <s v="TX500782"/>
    <s v="Graphic Tees"/>
    <n v="35"/>
    <n v="30.4"/>
    <n v="1064"/>
    <d v="2025-02-03T00:00:00"/>
    <d v="2025-02-03T00:00:00"/>
    <s v="F"/>
    <s v="App"/>
    <n v="3"/>
    <s v="California"/>
    <s v="San Bernardino County"/>
    <x v="7"/>
    <n v="6"/>
    <e v="#NAME?"/>
  </r>
  <r>
    <s v="TX500783"/>
    <s v="Bikinis"/>
    <n v="12"/>
    <n v="50.2"/>
    <n v="602.40000000000009"/>
    <d v="2025-02-03T00:00:00"/>
    <d v="2025-02-04T00:00:00"/>
    <s v="M"/>
    <s v="Partner App"/>
    <n v="4"/>
    <s v="California"/>
    <s v="San Diego County"/>
    <x v="3"/>
    <n v="6"/>
    <e v="#NAME?"/>
  </r>
  <r>
    <s v="TX500784"/>
    <s v="Tank Tops"/>
    <n v="2"/>
    <n v="43.7"/>
    <n v="87.4"/>
    <d v="2025-02-03T00:00:00"/>
    <d v="2025-02-05T00:00:00"/>
    <s v="F"/>
    <s v="App"/>
    <n v="4"/>
    <s v="California"/>
    <s v="San Diego County"/>
    <x v="1"/>
    <n v="6"/>
    <e v="#NAME?"/>
  </r>
  <r>
    <s v="TX500785"/>
    <s v="Bikinis"/>
    <n v="1"/>
    <n v="33.299999999999997"/>
    <n v="33.299999999999997"/>
    <d v="2025-02-03T00:00:00"/>
    <d v="2025-02-04T00:00:00"/>
    <s v="F"/>
    <s v="Target.com"/>
    <n v="3"/>
    <s v="California"/>
    <s v="San Diego County"/>
    <x v="3"/>
    <n v="6"/>
    <e v="#NAME?"/>
  </r>
  <r>
    <s v="TX500786"/>
    <s v="T-Shirts"/>
    <n v="4"/>
    <n v="15.1"/>
    <n v="60.4"/>
    <d v="2025-02-03T00:00:00"/>
    <d v="2025-02-05T00:00:00"/>
    <s v="F"/>
    <s v="Partner App"/>
    <n v="5"/>
    <s v="California"/>
    <s v="San Diego County"/>
    <x v="1"/>
    <n v="6"/>
    <e v="#NAME?"/>
  </r>
  <r>
    <s v="TX500787"/>
    <s v="Jeans"/>
    <n v="5"/>
    <n v="118.2"/>
    <n v="591"/>
    <d v="2025-02-03T00:00:00"/>
    <d v="2025-02-04T00:00:00"/>
    <s v="F"/>
    <s v="Instagram"/>
    <n v="2"/>
    <s v="California"/>
    <s v="San Diego County"/>
    <x v="3"/>
    <n v="6"/>
    <e v="#NAME?"/>
  </r>
  <r>
    <s v="TX500788"/>
    <s v="Bikinis"/>
    <n v="3"/>
    <n v="28.9"/>
    <n v="86.699999999999989"/>
    <d v="2025-02-03T00:00:00"/>
    <d v="2025-02-05T00:00:00"/>
    <s v="F"/>
    <s v="Target.com"/>
    <n v="3"/>
    <s v="California"/>
    <s v="San Diego County"/>
    <x v="1"/>
    <n v="6"/>
    <e v="#NAME?"/>
  </r>
  <r>
    <s v="TX500789"/>
    <s v="Graphic Tees"/>
    <n v="3"/>
    <n v="55.6"/>
    <n v="166.8"/>
    <d v="2025-02-03T00:00:00"/>
    <d v="2025-02-04T00:00:00"/>
    <s v="M"/>
    <s v="App"/>
    <n v="3"/>
    <s v="California"/>
    <s v="San Diego County"/>
    <x v="3"/>
    <n v="6"/>
    <e v="#NAME?"/>
  </r>
  <r>
    <s v="TX500790"/>
    <s v="Sundresses"/>
    <n v="4"/>
    <n v="25.6"/>
    <n v="102.4"/>
    <d v="2025-02-03T00:00:00"/>
    <d v="2025-02-05T00:00:00"/>
    <s v="F"/>
    <s v="App"/>
    <n v="3"/>
    <s v="California"/>
    <s v="San Diego County"/>
    <x v="1"/>
    <n v="6"/>
    <e v="#NAME?"/>
  </r>
  <r>
    <s v="TX500791"/>
    <s v="Hoodies &amp; Sweatshirts"/>
    <n v="3"/>
    <n v="31.3"/>
    <n v="93.9"/>
    <d v="2025-02-03T00:00:00"/>
    <d v="2025-02-04T00:00:00"/>
    <s v="M"/>
    <s v="App"/>
    <n v="4"/>
    <s v="California"/>
    <s v="San Francisco"/>
    <x v="3"/>
    <n v="6"/>
    <e v="#NAME?"/>
  </r>
  <r>
    <s v="TX500792"/>
    <s v="Shorts"/>
    <n v="3"/>
    <n v="22.1"/>
    <n v="66.300000000000011"/>
    <d v="2025-02-03T00:00:00"/>
    <d v="2025-02-07T00:00:00"/>
    <s v="M"/>
    <s v="App"/>
    <n v="4"/>
    <s v="California"/>
    <s v="San Francisco"/>
    <x v="5"/>
    <n v="6"/>
    <e v="#NAME?"/>
  </r>
  <r>
    <s v="TX500793"/>
    <s v="Sneakers"/>
    <n v="14"/>
    <n v="99.4"/>
    <n v="1391.6000000000001"/>
    <d v="2025-02-03T00:00:00"/>
    <d v="2025-02-04T00:00:00"/>
    <s v="M"/>
    <s v="Website"/>
    <n v="4"/>
    <s v="California"/>
    <s v="Santa Clara County"/>
    <x v="3"/>
    <n v="6"/>
    <e v="#NAME?"/>
  </r>
  <r>
    <s v="TX500794"/>
    <s v="Hoodies &amp; Sweatshirts"/>
    <n v="6"/>
    <n v="66.599999999999994"/>
    <n v="399.59999999999997"/>
    <d v="2025-02-03T00:00:00"/>
    <d v="2025-02-04T00:00:00"/>
    <s v="F"/>
    <s v="App"/>
    <n v="4"/>
    <s v="California"/>
    <s v="Santa Clara County"/>
    <x v="3"/>
    <n v="6"/>
    <e v="#NAME?"/>
  </r>
  <r>
    <s v="TX500795"/>
    <s v="T-Shirts"/>
    <n v="2"/>
    <n v="22.6"/>
    <n v="45.2"/>
    <d v="2025-02-03T00:00:00"/>
    <d v="2025-02-06T00:00:00"/>
    <s v="M"/>
    <s v="App"/>
    <n v="4"/>
    <s v="California"/>
    <s v="Santa Clara County"/>
    <x v="2"/>
    <n v="6"/>
    <e v="#NAME?"/>
  </r>
  <r>
    <s v="TX500796"/>
    <s v="Sneakers"/>
    <n v="18"/>
    <n v="66.8"/>
    <n v="1202.3999999999999"/>
    <d v="2025-02-03T00:00:00"/>
    <d v="2025-02-04T00:00:00"/>
    <s v="F"/>
    <s v="App"/>
    <n v="2"/>
    <s v="California"/>
    <s v="Ventura County"/>
    <x v="3"/>
    <n v="6"/>
    <e v="#NAME?"/>
  </r>
  <r>
    <s v="TX500797"/>
    <s v="Shorts"/>
    <n v="4"/>
    <n v="20.8"/>
    <n v="83.2"/>
    <d v="2025-02-03T00:00:00"/>
    <d v="2025-02-10T00:00:00"/>
    <s v="M"/>
    <s v="Website"/>
    <n v="2"/>
    <s v="California"/>
    <s v="Contra Costa County"/>
    <x v="6"/>
    <n v="6"/>
    <e v="#NAME?"/>
  </r>
  <r>
    <s v="TX500798"/>
    <s v="Sneakers"/>
    <n v="7"/>
    <n v="102.5"/>
    <n v="717.5"/>
    <d v="2025-02-03T00:00:00"/>
    <d v="2025-02-04T00:00:00"/>
    <s v="F"/>
    <s v="Partner App"/>
    <n v="5"/>
    <s v="California"/>
    <s v="Los Angeles County"/>
    <x v="3"/>
    <n v="6"/>
    <e v="#NAME?"/>
  </r>
  <r>
    <s v="TX500799"/>
    <s v="Shorts"/>
    <n v="18"/>
    <n v="24.8"/>
    <n v="446.40000000000003"/>
    <d v="2025-02-03T00:00:00"/>
    <d v="2025-02-07T00:00:00"/>
    <s v="F"/>
    <s v="App"/>
    <n v="4"/>
    <s v="California"/>
    <s v="Los Angeles County"/>
    <x v="5"/>
    <n v="6"/>
    <e v="#NAME?"/>
  </r>
  <r>
    <s v="TX500800"/>
    <s v="Graphic Tees"/>
    <n v="31"/>
    <n v="31.4"/>
    <n v="973.4"/>
    <d v="2025-02-03T00:00:00"/>
    <d v="2025-02-04T00:00:00"/>
    <s v="F"/>
    <s v="Instagram"/>
    <n v="4"/>
    <s v="California"/>
    <s v="Los Angeles County"/>
    <x v="3"/>
    <n v="6"/>
    <e v="#NAME?"/>
  </r>
  <r>
    <s v="TX500801"/>
    <s v="Sundresses"/>
    <n v="5"/>
    <n v="59.3"/>
    <n v="296.5"/>
    <d v="2025-02-03T00:00:00"/>
    <d v="2025-02-06T00:00:00"/>
    <s v="M"/>
    <s v="Website"/>
    <n v="5"/>
    <s v="California"/>
    <s v="Marin County"/>
    <x v="2"/>
    <n v="6"/>
    <e v="#NAME?"/>
  </r>
  <r>
    <s v="TX500802"/>
    <s v="Maxi Dresses"/>
    <n v="6"/>
    <n v="39"/>
    <n v="234"/>
    <d v="2025-02-03T00:00:00"/>
    <d v="2025-02-06T00:00:00"/>
    <s v="M"/>
    <s v="Website"/>
    <n v="4"/>
    <s v="California"/>
    <s v="Sacramento County"/>
    <x v="2"/>
    <n v="6"/>
    <e v="#NAME?"/>
  </r>
  <r>
    <s v="TX500803"/>
    <s v="Sandals"/>
    <n v="6"/>
    <n v="98.6"/>
    <n v="591.59999999999991"/>
    <d v="2025-02-03T00:00:00"/>
    <d v="2025-02-05T00:00:00"/>
    <s v="F"/>
    <s v="Website"/>
    <n v="4"/>
    <s v="California"/>
    <s v="Sacramento County"/>
    <x v="1"/>
    <n v="6"/>
    <e v="#NAME?"/>
  </r>
  <r>
    <s v="TX500804"/>
    <s v="T-Shirts"/>
    <n v="1"/>
    <n v="20"/>
    <n v="20"/>
    <d v="2025-02-04T00:00:00"/>
    <d v="2025-02-05T00:00:00"/>
    <s v="M"/>
    <s v="Instagram"/>
    <n v="5"/>
    <s v="California"/>
    <s v="San Diego County"/>
    <x v="3"/>
    <n v="6"/>
    <e v="#NAME?"/>
  </r>
  <r>
    <s v="TX500805"/>
    <s v="Tank Tops"/>
    <n v="2"/>
    <n v="42.9"/>
    <n v="85.8"/>
    <d v="2025-02-04T00:00:00"/>
    <d v="2025-02-06T00:00:00"/>
    <s v="F"/>
    <s v="App"/>
    <n v="5"/>
    <s v="California"/>
    <s v="San Diego County"/>
    <x v="1"/>
    <n v="6"/>
    <e v="#NAME?"/>
  </r>
  <r>
    <s v="TX500806"/>
    <s v="Hoodies &amp; Sweatshirts"/>
    <n v="7"/>
    <n v="55.6"/>
    <n v="389.2"/>
    <d v="2025-02-04T00:00:00"/>
    <d v="2025-02-06T00:00:00"/>
    <s v="F"/>
    <s v="Target.com"/>
    <n v="3"/>
    <s v="California"/>
    <s v="San Diego County"/>
    <x v="1"/>
    <n v="6"/>
    <e v="#NAME?"/>
  </r>
  <r>
    <s v="TX500807"/>
    <s v="T-Shirts"/>
    <n v="4"/>
    <n v="19.2"/>
    <n v="76.8"/>
    <d v="2025-02-04T00:00:00"/>
    <d v="2025-02-09T00:00:00"/>
    <s v="F"/>
    <s v="App"/>
    <n v="4"/>
    <s v="California"/>
    <s v="San Luis Obispo County"/>
    <x v="0"/>
    <n v="6"/>
    <e v="#NAME?"/>
  </r>
  <r>
    <s v="TX500808"/>
    <s v="Sandals"/>
    <n v="2"/>
    <n v="28.8"/>
    <n v="57.6"/>
    <d v="2025-02-04T00:00:00"/>
    <d v="2025-02-06T00:00:00"/>
    <s v="M"/>
    <s v="Website"/>
    <n v="4"/>
    <s v="California"/>
    <s v="Sonoma County"/>
    <x v="1"/>
    <n v="6"/>
    <e v="#NAME?"/>
  </r>
  <r>
    <s v="TX500809"/>
    <s v="Graphic Tees"/>
    <n v="1"/>
    <n v="29.7"/>
    <n v="29.7"/>
    <d v="2025-02-04T00:00:00"/>
    <d v="2025-02-06T00:00:00"/>
    <s v="F"/>
    <s v="Target.com"/>
    <n v="2"/>
    <s v="California"/>
    <s v="Tulare County"/>
    <x v="1"/>
    <n v="6"/>
    <e v="#NAME?"/>
  </r>
  <r>
    <s v="TX500810"/>
    <s v="Jeans"/>
    <n v="6"/>
    <n v="63.3"/>
    <n v="379.79999999999995"/>
    <d v="2025-02-04T00:00:00"/>
    <d v="2025-02-05T00:00:00"/>
    <s v=""/>
    <s v="App"/>
    <n v="5"/>
    <s v="California"/>
    <s v="Alameda County"/>
    <x v="3"/>
    <n v="6"/>
    <e v="#NAME?"/>
  </r>
  <r>
    <s v="TX500811"/>
    <s v="Graphic Tees"/>
    <n v="1"/>
    <n v="46"/>
    <n v="46"/>
    <d v="2025-02-04T00:00:00"/>
    <d v="2025-02-05T00:00:00"/>
    <s v="F"/>
    <s v="App"/>
    <n v="5"/>
    <s v="California"/>
    <s v="Alameda County"/>
    <x v="3"/>
    <n v="6"/>
    <e v="#NAME?"/>
  </r>
  <r>
    <s v="TX500812"/>
    <s v="Maxi Dresses"/>
    <n v="3"/>
    <n v="38"/>
    <n v="114"/>
    <d v="2025-02-04T00:00:00"/>
    <d v="2025-02-06T00:00:00"/>
    <s v="F"/>
    <s v="Website"/>
    <n v="5"/>
    <s v="California"/>
    <s v="Alameda County"/>
    <x v="1"/>
    <n v="6"/>
    <e v="#NAME?"/>
  </r>
  <r>
    <s v="TX500813"/>
    <s v="Bikinis"/>
    <n v="13"/>
    <n v="34.6"/>
    <n v="449.8"/>
    <d v="2025-02-04T00:00:00"/>
    <d v="2025-02-06T00:00:00"/>
    <s v="F"/>
    <s v="App"/>
    <n v="3"/>
    <s v="California"/>
    <s v="Alameda County"/>
    <x v="1"/>
    <n v="6"/>
    <e v="#NAME?"/>
  </r>
  <r>
    <s v="TX500814"/>
    <s v="Workout Tops"/>
    <n v="10"/>
    <n v="79.7"/>
    <n v="797"/>
    <d v="2025-02-04T00:00:00"/>
    <d v="2025-02-05T00:00:00"/>
    <s v="F"/>
    <s v="Partner App"/>
    <n v="3"/>
    <s v="California"/>
    <s v="Alameda County"/>
    <x v="3"/>
    <n v="6"/>
    <e v="#NAME?"/>
  </r>
  <r>
    <s v="TX500815"/>
    <s v="T-Shirts"/>
    <n v="8"/>
    <n v="30.5"/>
    <n v="244"/>
    <d v="2025-02-04T00:00:00"/>
    <d v="2025-02-08T00:00:00"/>
    <s v="M"/>
    <s v="Instagram"/>
    <n v="4"/>
    <s v="California"/>
    <s v="Contra Costa County"/>
    <x v="5"/>
    <n v="6"/>
    <e v="#NAME?"/>
  </r>
  <r>
    <s v="TX500816"/>
    <s v="Shorts"/>
    <n v="2"/>
    <n v="20.8"/>
    <n v="41.6"/>
    <d v="2025-02-04T00:00:00"/>
    <d v="2025-02-05T00:00:00"/>
    <s v="F"/>
    <s v="App"/>
    <n v="4"/>
    <s v="California"/>
    <s v="Fresno County"/>
    <x v="3"/>
    <n v="6"/>
    <e v="#NAME?"/>
  </r>
  <r>
    <s v="TX500817"/>
    <s v="Maxi Dresses"/>
    <n v="7"/>
    <n v="48.5"/>
    <n v="339.5"/>
    <d v="2025-02-04T00:00:00"/>
    <d v="2025-02-08T00:00:00"/>
    <s v="F"/>
    <s v="Target.com"/>
    <n v="5"/>
    <s v="California"/>
    <s v="Fresno County"/>
    <x v="5"/>
    <n v="6"/>
    <e v="#NAME?"/>
  </r>
  <r>
    <s v="TX500818"/>
    <s v="Sneakers"/>
    <n v="4"/>
    <n v="61.8"/>
    <n v="247.2"/>
    <d v="2025-02-04T00:00:00"/>
    <d v="2025-02-08T00:00:00"/>
    <s v="F"/>
    <s v="Partner App"/>
    <n v="4"/>
    <s v="California"/>
    <s v="Kern County"/>
    <x v="5"/>
    <n v="6"/>
    <e v="#NAME?"/>
  </r>
  <r>
    <s v="TX500819"/>
    <s v="Bikinis"/>
    <n v="1"/>
    <n v="46.1"/>
    <n v="46.1"/>
    <d v="2025-02-04T00:00:00"/>
    <d v="2025-02-05T00:00:00"/>
    <s v="O"/>
    <s v="Target.com"/>
    <n v="4"/>
    <s v="California"/>
    <s v="Los Angeles County"/>
    <x v="3"/>
    <n v="6"/>
    <e v="#NAME?"/>
  </r>
  <r>
    <s v="TX500820"/>
    <s v="Graphic Tees"/>
    <n v="6"/>
    <n v="44"/>
    <n v="264"/>
    <d v="2025-02-04T00:00:00"/>
    <d v="2025-02-05T00:00:00"/>
    <s v="F"/>
    <s v="App"/>
    <n v="4"/>
    <s v="California"/>
    <s v="Los Angeles County"/>
    <x v="3"/>
    <n v="6"/>
    <e v="#NAME?"/>
  </r>
  <r>
    <s v="TX500821"/>
    <s v="Leggings"/>
    <n v="2"/>
    <n v="95.7"/>
    <n v="191.4"/>
    <d v="2025-02-04T00:00:00"/>
    <d v="2025-02-10T00:00:00"/>
    <s v="F"/>
    <s v="Instagram"/>
    <n v="5"/>
    <s v="California"/>
    <s v="Los Angeles County"/>
    <x v="4"/>
    <n v="6"/>
    <e v="#NAME?"/>
  </r>
  <r>
    <s v="TX500822"/>
    <s v="Hoodies &amp; Sweatshirts"/>
    <n v="5"/>
    <n v="46.4"/>
    <n v="232"/>
    <d v="2025-02-04T00:00:00"/>
    <d v="2025-02-07T00:00:00"/>
    <s v="F"/>
    <s v="App"/>
    <n v="4"/>
    <s v="California"/>
    <s v="Los Angeles County"/>
    <x v="2"/>
    <n v="6"/>
    <e v="#NAME?"/>
  </r>
  <r>
    <s v="TX500823"/>
    <s v="Jeans"/>
    <n v="2"/>
    <n v="47.2"/>
    <n v="94.4"/>
    <d v="2025-02-04T00:00:00"/>
    <d v="2025-02-06T00:00:00"/>
    <s v="F"/>
    <s v="App"/>
    <n v="5"/>
    <s v="California"/>
    <s v="Los Angeles County"/>
    <x v="1"/>
    <n v="6"/>
    <e v="#NAME?"/>
  </r>
  <r>
    <s v="TX500824"/>
    <s v="Hoodies &amp; Sweatshirts"/>
    <n v="2"/>
    <n v="58.6"/>
    <n v="117.2"/>
    <d v="2025-02-04T00:00:00"/>
    <d v="2025-02-05T00:00:00"/>
    <s v="F"/>
    <s v="Target.com"/>
    <n v="3"/>
    <s v="California"/>
    <s v="Los Angeles County"/>
    <x v="3"/>
    <n v="6"/>
    <e v="#NAME?"/>
  </r>
  <r>
    <s v="TX500825"/>
    <s v="Graphic Tees"/>
    <n v="3"/>
    <n v="57"/>
    <n v="171"/>
    <d v="2025-02-04T00:00:00"/>
    <d v="2025-02-05T00:00:00"/>
    <s v="M"/>
    <s v="App"/>
    <n v="5"/>
    <s v="California"/>
    <s v="Los Angeles County"/>
    <x v="3"/>
    <n v="6"/>
    <e v="#NAME?"/>
  </r>
  <r>
    <s v="TX500826"/>
    <s v="T-Shirts"/>
    <n v="4"/>
    <n v="28.9"/>
    <n v="115.6"/>
    <d v="2025-02-04T00:00:00"/>
    <d v="2025-02-08T00:00:00"/>
    <s v="M"/>
    <s v="Target.com"/>
    <n v="4"/>
    <s v="California"/>
    <s v="Los Angeles County"/>
    <x v="5"/>
    <n v="6"/>
    <e v="#NAME?"/>
  </r>
  <r>
    <s v="TX500827"/>
    <s v="Casual Dresses"/>
    <n v="5"/>
    <n v="60.7"/>
    <n v="303.5"/>
    <d v="2025-02-04T00:00:00"/>
    <d v="2025-02-08T00:00:00"/>
    <s v=""/>
    <s v="Website"/>
    <n v="3"/>
    <s v="California"/>
    <s v="Los Angeles County"/>
    <x v="5"/>
    <n v="6"/>
    <e v="#NAME?"/>
  </r>
  <r>
    <s v="TX500828"/>
    <s v="Jeans"/>
    <n v="5"/>
    <n v="60.8"/>
    <n v="304"/>
    <d v="2025-02-04T00:00:00"/>
    <d v="2025-02-08T00:00:00"/>
    <s v="M"/>
    <s v="App"/>
    <n v="3"/>
    <s v="California"/>
    <s v="Los Angeles County"/>
    <x v="5"/>
    <n v="6"/>
    <e v="#NAME?"/>
  </r>
  <r>
    <s v="TX500829"/>
    <s v="Jeans"/>
    <n v="5"/>
    <n v="64.599999999999994"/>
    <n v="323"/>
    <d v="2025-02-04T00:00:00"/>
    <d v="2025-02-05T00:00:00"/>
    <s v="F"/>
    <s v="Instagram"/>
    <n v="4"/>
    <s v="California"/>
    <s v="Los Angeles County"/>
    <x v="3"/>
    <n v="6"/>
    <e v="#NAME?"/>
  </r>
  <r>
    <s v="TX500830"/>
    <s v="T-Shirts"/>
    <n v="1"/>
    <n v="21.9"/>
    <n v="21.9"/>
    <d v="2025-02-04T00:00:00"/>
    <d v="2025-02-07T00:00:00"/>
    <s v="M"/>
    <s v="Website"/>
    <n v="5"/>
    <s v="California"/>
    <s v="Nevada County"/>
    <x v="2"/>
    <n v="6"/>
    <e v="#NAME?"/>
  </r>
  <r>
    <s v="TX500831"/>
    <s v="Graphic Tees"/>
    <n v="12"/>
    <n v="33.4"/>
    <n v="400.79999999999995"/>
    <d v="2025-02-04T00:00:00"/>
    <d v="2025-02-06T00:00:00"/>
    <s v="F"/>
    <s v="App"/>
    <n v="4"/>
    <s v="California"/>
    <s v="Riverside County"/>
    <x v="1"/>
    <n v="6"/>
    <e v="#NAME?"/>
  </r>
  <r>
    <s v="TX500832"/>
    <s v="Sneakers"/>
    <n v="1"/>
    <n v="51.7"/>
    <n v="51.7"/>
    <d v="2025-02-04T00:00:00"/>
    <d v="2025-02-05T00:00:00"/>
    <s v=""/>
    <s v="App"/>
    <n v="4"/>
    <s v="California"/>
    <s v="Sacramento County"/>
    <x v="3"/>
    <n v="6"/>
    <e v="#NAME?"/>
  </r>
  <r>
    <s v="TX500833"/>
    <s v="Tank Tops"/>
    <n v="4"/>
    <n v="84.9"/>
    <n v="339.6"/>
    <d v="2025-02-04T00:00:00"/>
    <d v="2025-02-05T00:00:00"/>
    <s v="F"/>
    <s v="Website"/>
    <n v="3"/>
    <s v="California"/>
    <s v="Sacramento County"/>
    <x v="3"/>
    <n v="6"/>
    <e v="#NAME?"/>
  </r>
  <r>
    <s v="TX500834"/>
    <s v="Tank Tops"/>
    <n v="11"/>
    <n v="62.3"/>
    <n v="685.3"/>
    <d v="2025-02-04T00:00:00"/>
    <d v="2025-02-05T00:00:00"/>
    <s v="F"/>
    <s v="Target.com"/>
    <n v="5"/>
    <s v="California"/>
    <s v="San Bernardino County"/>
    <x v="3"/>
    <n v="6"/>
    <e v="#NAME?"/>
  </r>
  <r>
    <s v="TX500835"/>
    <s v="Graphic Tees"/>
    <n v="1"/>
    <n v="50.7"/>
    <n v="50.7"/>
    <d v="2025-02-04T00:00:00"/>
    <d v="2025-02-06T00:00:00"/>
    <s v="M"/>
    <s v="Target.com"/>
    <n v="5"/>
    <s v="California"/>
    <s v="San Diego County"/>
    <x v="1"/>
    <n v="6"/>
    <e v="#NAME?"/>
  </r>
  <r>
    <s v="TX500836"/>
    <s v="Leggings"/>
    <n v="1"/>
    <n v="39.5"/>
    <n v="39.5"/>
    <d v="2025-02-04T00:00:00"/>
    <d v="2025-02-05T00:00:00"/>
    <s v="M"/>
    <s v="Partner App"/>
    <n v="3"/>
    <s v="California"/>
    <s v="San Diego County"/>
    <x v="3"/>
    <n v="6"/>
    <e v="#NAME?"/>
  </r>
  <r>
    <s v="TX500837"/>
    <s v="Casual Dresses"/>
    <n v="3"/>
    <n v="30.9"/>
    <n v="92.699999999999989"/>
    <d v="2025-02-04T00:00:00"/>
    <d v="2025-02-05T00:00:00"/>
    <s v=""/>
    <s v="Partner App"/>
    <n v="5"/>
    <s v="California"/>
    <s v="San Diego County"/>
    <x v="3"/>
    <n v="6"/>
    <e v="#NAME?"/>
  </r>
  <r>
    <s v="TX500838"/>
    <s v="Tank Tops"/>
    <n v="7"/>
    <n v="36.4"/>
    <n v="254.79999999999998"/>
    <d v="2025-02-04T00:00:00"/>
    <d v="2025-02-07T00:00:00"/>
    <s v="F"/>
    <s v="App"/>
    <n v="5"/>
    <s v="California"/>
    <s v="San Diego County"/>
    <x v="2"/>
    <n v="6"/>
    <e v="#NAME?"/>
  </r>
  <r>
    <s v="TX500839"/>
    <s v="Jeans"/>
    <n v="8"/>
    <n v="105.6"/>
    <n v="844.8"/>
    <d v="2025-02-04T00:00:00"/>
    <d v="2025-02-14T00:00:00"/>
    <s v="F"/>
    <s v="App"/>
    <n v="4"/>
    <s v="California"/>
    <s v="San Diego County"/>
    <x v="14"/>
    <n v="6"/>
    <e v="#NAME?"/>
  </r>
  <r>
    <s v="TX500840"/>
    <s v="T-Shirts"/>
    <n v="2"/>
    <n v="22.1"/>
    <n v="44.2"/>
    <d v="2025-02-04T00:00:00"/>
    <d v="2025-02-05T00:00:00"/>
    <s v="F"/>
    <s v="App"/>
    <n v="5"/>
    <s v="California"/>
    <s v="San Francisco"/>
    <x v="3"/>
    <n v="6"/>
    <e v="#NAME?"/>
  </r>
  <r>
    <s v="TX500841"/>
    <s v="Shorts"/>
    <n v="3"/>
    <n v="22.6"/>
    <n v="67.800000000000011"/>
    <d v="2025-02-04T00:00:00"/>
    <d v="2025-02-05T00:00:00"/>
    <s v="F"/>
    <s v="Target.com"/>
    <n v="4"/>
    <s v="California"/>
    <s v="San Francisco"/>
    <x v="3"/>
    <n v="6"/>
    <e v="#NAME?"/>
  </r>
  <r>
    <s v="TX500842"/>
    <s v="Bikinis"/>
    <n v="6"/>
    <n v="26.3"/>
    <n v="157.80000000000001"/>
    <d v="2025-02-04T00:00:00"/>
    <d v="2025-02-04T00:00:00"/>
    <s v="F"/>
    <s v="Target.com"/>
    <n v="4"/>
    <s v="California"/>
    <s v="San Mateo County"/>
    <x v="7"/>
    <n v="6"/>
    <e v="#NAME?"/>
  </r>
  <r>
    <s v="TX500843"/>
    <s v="Tank Tops"/>
    <n v="4"/>
    <n v="37.799999999999997"/>
    <n v="151.19999999999999"/>
    <d v="2025-02-04T00:00:00"/>
    <d v="2025-02-05T00:00:00"/>
    <s v="F"/>
    <s v="App"/>
    <n v="5"/>
    <s v="California"/>
    <s v="Santa Clara County"/>
    <x v="3"/>
    <n v="6"/>
    <e v="#NAME?"/>
  </r>
  <r>
    <s v="TX500844"/>
    <s v="Jeans"/>
    <n v="17"/>
    <n v="96"/>
    <n v="1632"/>
    <d v="2025-02-04T00:00:00"/>
    <d v="2025-02-07T00:00:00"/>
    <s v="F"/>
    <s v="Partner App"/>
    <n v="3"/>
    <s v="California"/>
    <s v="Sonoma County"/>
    <x v="2"/>
    <n v="6"/>
    <e v="#NAME?"/>
  </r>
  <r>
    <s v="TX500845"/>
    <s v="Tank Tops"/>
    <n v="1"/>
    <n v="83.6"/>
    <n v="83.6"/>
    <d v="2025-02-04T00:00:00"/>
    <d v="2025-02-07T00:00:00"/>
    <s v="F"/>
    <s v="Target.com"/>
    <n v="3"/>
    <s v="California"/>
    <s v="Stanislaus County"/>
    <x v="2"/>
    <n v="6"/>
    <e v="#NAME?"/>
  </r>
  <r>
    <s v="TX500846"/>
    <s v="Sneakers"/>
    <n v="6"/>
    <n v="72.599999999999994"/>
    <n v="435.59999999999997"/>
    <d v="2025-02-04T00:00:00"/>
    <d v="2025-02-05T00:00:00"/>
    <s v="F"/>
    <s v="App"/>
    <n v="4"/>
    <s v="California"/>
    <s v="Alameda County"/>
    <x v="3"/>
    <n v="6"/>
    <e v="#NAME?"/>
  </r>
  <r>
    <s v="TX500847"/>
    <s v="Sandals"/>
    <n v="20"/>
    <n v="69.099999999999994"/>
    <n v="1382"/>
    <d v="2025-02-05T00:00:00"/>
    <d v="2025-02-11T00:00:00"/>
    <s v="M"/>
    <s v="App"/>
    <n v="5"/>
    <s v="California"/>
    <s v="Alameda County"/>
    <x v="4"/>
    <n v="6"/>
    <e v="#NAME?"/>
  </r>
  <r>
    <s v="TX500848"/>
    <s v="Graphic Tees"/>
    <n v="2"/>
    <n v="22.6"/>
    <n v="45.2"/>
    <d v="2025-02-05T00:00:00"/>
    <d v="2025-02-07T00:00:00"/>
    <s v="F"/>
    <s v="Website"/>
    <n v="5"/>
    <s v="California"/>
    <s v="Alameda County"/>
    <x v="1"/>
    <n v="6"/>
    <e v="#NAME?"/>
  </r>
  <r>
    <s v="TX500849"/>
    <s v="Jeans"/>
    <n v="2"/>
    <n v="45.3"/>
    <n v="90.6"/>
    <d v="2025-02-05T00:00:00"/>
    <d v="2025-02-09T00:00:00"/>
    <s v="M"/>
    <s v="Partner App"/>
    <n v="5"/>
    <s v="California"/>
    <s v="Alameda County"/>
    <x v="5"/>
    <n v="6"/>
    <e v="#NAME?"/>
  </r>
  <r>
    <s v="TX500850"/>
    <s v="Sneakers"/>
    <n v="2"/>
    <n v="115.1"/>
    <n v="230.2"/>
    <d v="2025-02-05T00:00:00"/>
    <d v="2025-02-06T00:00:00"/>
    <s v="F"/>
    <s v="Website"/>
    <n v="4"/>
    <s v="California"/>
    <s v="Contra Costa County"/>
    <x v="3"/>
    <n v="6"/>
    <e v="#NAME?"/>
  </r>
  <r>
    <s v="TX500851"/>
    <s v="Leggings"/>
    <n v="4"/>
    <n v="79"/>
    <n v="316"/>
    <d v="2025-02-05T00:00:00"/>
    <d v="2025-02-07T00:00:00"/>
    <s v="M"/>
    <s v="Target.com"/>
    <n v="2"/>
    <s v="California"/>
    <s v="Contra Costa County"/>
    <x v="1"/>
    <n v="6"/>
    <e v="#NAME?"/>
  </r>
  <r>
    <s v="TX500852"/>
    <s v="Jeans"/>
    <n v="5"/>
    <n v="52.8"/>
    <n v="264"/>
    <d v="2025-02-05T00:00:00"/>
    <d v="2025-02-06T00:00:00"/>
    <s v="F"/>
    <s v="App"/>
    <n v="4"/>
    <s v="California"/>
    <s v="El Dorado County"/>
    <x v="3"/>
    <n v="6"/>
    <e v="#NAME?"/>
  </r>
  <r>
    <s v="TX500853"/>
    <s v="T-Shirts"/>
    <n v="2"/>
    <n v="34.1"/>
    <n v="68.2"/>
    <d v="2025-02-05T00:00:00"/>
    <d v="2025-02-06T00:00:00"/>
    <s v="M"/>
    <s v="Instagram"/>
    <n v="5"/>
    <s v="California"/>
    <s v="Humboldt County"/>
    <x v="3"/>
    <n v="6"/>
    <e v="#NAME?"/>
  </r>
  <r>
    <s v="TX500854"/>
    <s v="Jeans"/>
    <n v="5"/>
    <n v="107.9"/>
    <n v="539.5"/>
    <d v="2025-02-05T00:00:00"/>
    <d v="2025-02-05T00:00:00"/>
    <s v="F"/>
    <s v="App"/>
    <n v="5"/>
    <s v="California"/>
    <s v="Lake County"/>
    <x v="7"/>
    <n v="6"/>
    <e v="#NAME?"/>
  </r>
  <r>
    <s v="TX500855"/>
    <s v="T-Shirts"/>
    <n v="13"/>
    <n v="48.5"/>
    <n v="630.5"/>
    <d v="2025-02-05T00:00:00"/>
    <d v="2025-02-05T00:00:00"/>
    <s v="M"/>
    <s v="Target.com"/>
    <n v="5"/>
    <s v="California"/>
    <s v="Los Angeles County"/>
    <x v="7"/>
    <n v="6"/>
    <e v="#NAME?"/>
  </r>
  <r>
    <s v="TX500856"/>
    <s v="Sandals"/>
    <n v="3"/>
    <n v="34.700000000000003"/>
    <n v="104.10000000000001"/>
    <d v="2025-02-05T00:00:00"/>
    <d v="2025-02-06T00:00:00"/>
    <s v=""/>
    <s v="Partner App"/>
    <n v="3"/>
    <s v="California"/>
    <s v="Los Angeles County"/>
    <x v="3"/>
    <n v="6"/>
    <e v="#NAME?"/>
  </r>
  <r>
    <s v="TX500857"/>
    <s v="T-Shirts"/>
    <n v="1"/>
    <n v="16.8"/>
    <n v="16.8"/>
    <d v="2025-02-05T00:00:00"/>
    <d v="2025-02-07T00:00:00"/>
    <s v="F"/>
    <s v="Instagram"/>
    <n v="4"/>
    <s v="California"/>
    <s v="Los Angeles County"/>
    <x v="1"/>
    <n v="6"/>
    <e v="#NAME?"/>
  </r>
  <r>
    <s v="TX500858"/>
    <s v="T-Shirts"/>
    <n v="6"/>
    <n v="18.3"/>
    <n v="109.80000000000001"/>
    <d v="2025-02-05T00:00:00"/>
    <d v="2025-02-08T00:00:00"/>
    <s v="F"/>
    <s v="App"/>
    <n v="4"/>
    <s v="California"/>
    <s v="Los Angeles County"/>
    <x v="2"/>
    <n v="6"/>
    <e v="#NAME?"/>
  </r>
  <r>
    <s v="TX500859"/>
    <s v="Leggings"/>
    <n v="3"/>
    <n v="55.9"/>
    <n v="167.7"/>
    <d v="2025-02-05T00:00:00"/>
    <d v="2025-02-11T00:00:00"/>
    <s v="M"/>
    <s v="Instagram"/>
    <n v="3"/>
    <s v="California"/>
    <s v="Los Angeles County"/>
    <x v="4"/>
    <n v="6"/>
    <e v="#NAME?"/>
  </r>
  <r>
    <s v="TX500860"/>
    <s v="T-Shirts"/>
    <n v="3"/>
    <n v="39.200000000000003"/>
    <n v="117.60000000000001"/>
    <d v="2025-02-05T00:00:00"/>
    <d v="2025-02-07T00:00:00"/>
    <s v="F"/>
    <s v="App"/>
    <n v="3"/>
    <s v="California"/>
    <s v="Los Angeles County"/>
    <x v="1"/>
    <n v="6"/>
    <e v="#NAME?"/>
  </r>
  <r>
    <s v="TX500861"/>
    <s v="Crop Tops"/>
    <n v="4"/>
    <n v="66.5"/>
    <n v="266"/>
    <d v="2025-02-05T00:00:00"/>
    <d v="2025-02-07T00:00:00"/>
    <s v=""/>
    <s v="Instagram"/>
    <n v="3"/>
    <s v="California"/>
    <s v="Los Angeles County"/>
    <x v="1"/>
    <n v="6"/>
    <e v="#NAME?"/>
  </r>
  <r>
    <s v="TX500862"/>
    <s v="Jeans"/>
    <n v="6"/>
    <n v="52.1"/>
    <n v="312.60000000000002"/>
    <d v="2025-02-05T00:00:00"/>
    <d v="2025-02-07T00:00:00"/>
    <s v="M"/>
    <s v="Website"/>
    <n v="3"/>
    <s v="California"/>
    <s v="Napa County"/>
    <x v="1"/>
    <n v="6"/>
    <e v="#NAME?"/>
  </r>
  <r>
    <s v="TX500863"/>
    <s v="T-Shirts"/>
    <n v="2"/>
    <n v="19"/>
    <n v="38"/>
    <d v="2025-02-05T00:00:00"/>
    <d v="2025-02-06T00:00:00"/>
    <s v="M"/>
    <s v="Partner App"/>
    <n v="5"/>
    <s v="California"/>
    <s v="Sacramento County"/>
    <x v="3"/>
    <n v="6"/>
    <e v="#NAME?"/>
  </r>
  <r>
    <s v="TX500864"/>
    <s v="Hoodies &amp; Sweatshirts"/>
    <n v="3"/>
    <n v="84.8"/>
    <n v="254.39999999999998"/>
    <d v="2025-02-05T00:00:00"/>
    <d v="2025-02-07T00:00:00"/>
    <s v="F"/>
    <s v="Target.com"/>
    <n v="4"/>
    <s v="California"/>
    <s v="San Diego County"/>
    <x v="1"/>
    <n v="6"/>
    <e v="#NAME?"/>
  </r>
  <r>
    <s v="TX500865"/>
    <s v="Sneakers"/>
    <n v="4"/>
    <n v="63.9"/>
    <n v="255.6"/>
    <d v="2025-02-05T00:00:00"/>
    <d v="2025-02-08T00:00:00"/>
    <s v="F"/>
    <s v="App"/>
    <n v="4"/>
    <s v="California"/>
    <s v="San Diego County"/>
    <x v="2"/>
    <n v="6"/>
    <e v="#NAME?"/>
  </r>
  <r>
    <s v="TX500866"/>
    <s v="Sneakers"/>
    <n v="3"/>
    <n v="65.5"/>
    <n v="196.5"/>
    <d v="2025-02-05T00:00:00"/>
    <d v="2025-02-05T00:00:00"/>
    <s v="F"/>
    <s v="Website"/>
    <n v="3"/>
    <s v="California"/>
    <s v="San Diego County"/>
    <x v="7"/>
    <n v="6"/>
    <e v="#NAME?"/>
  </r>
  <r>
    <s v="TX500867"/>
    <s v="Casual Dresses"/>
    <n v="2"/>
    <n v="116.2"/>
    <n v="232.4"/>
    <d v="2025-02-05T00:00:00"/>
    <d v="2025-02-11T00:00:00"/>
    <s v="M"/>
    <s v="Instagram"/>
    <n v="4"/>
    <s v="California"/>
    <s v="San Francisco"/>
    <x v="4"/>
    <n v="6"/>
    <e v="#NAME?"/>
  </r>
  <r>
    <s v="TX500868"/>
    <s v="Bikinis"/>
    <n v="4"/>
    <n v="22.9"/>
    <n v="91.6"/>
    <d v="2025-02-05T00:00:00"/>
    <d v="2025-02-07T00:00:00"/>
    <s v="F"/>
    <s v="Target.com"/>
    <n v="3"/>
    <s v="California"/>
    <s v="Solano County"/>
    <x v="1"/>
    <n v="6"/>
    <e v="#NAME?"/>
  </r>
  <r>
    <s v="TX500869"/>
    <s v="Bikinis"/>
    <n v="3"/>
    <n v="53.7"/>
    <n v="161.10000000000002"/>
    <d v="2025-02-05T00:00:00"/>
    <d v="2025-02-06T00:00:00"/>
    <s v="M"/>
    <s v="App"/>
    <n v="2"/>
    <s v="California"/>
    <s v="Sonoma County"/>
    <x v="3"/>
    <n v="6"/>
    <e v="#NAME?"/>
  </r>
  <r>
    <s v="TX500870"/>
    <s v="Jeans"/>
    <n v="5"/>
    <n v="43.2"/>
    <n v="216"/>
    <d v="2025-02-05T00:00:00"/>
    <d v="2025-02-07T00:00:00"/>
    <s v="F"/>
    <s v="App"/>
    <n v="4"/>
    <s v="California"/>
    <s v="Stanislaus County"/>
    <x v="1"/>
    <n v="6"/>
    <e v="#NAME?"/>
  </r>
  <r>
    <s v="TX500871"/>
    <s v="Tank Tops"/>
    <n v="3"/>
    <n v="84.5"/>
    <n v="253.5"/>
    <d v="2025-02-05T00:00:00"/>
    <d v="2025-02-07T00:00:00"/>
    <s v="M"/>
    <s v="Target.com"/>
    <n v="5"/>
    <s v="California"/>
    <s v="Butte County"/>
    <x v="1"/>
    <n v="6"/>
    <e v="#NAME?"/>
  </r>
  <r>
    <s v="TX500872"/>
    <s v="Workout Tops"/>
    <n v="2"/>
    <n v="42.2"/>
    <n v="84.4"/>
    <d v="2025-02-05T00:00:00"/>
    <d v="2025-02-06T00:00:00"/>
    <s v="F"/>
    <s v="Website"/>
    <n v="5"/>
    <s v="California"/>
    <s v="Contra Costa County"/>
    <x v="3"/>
    <n v="6"/>
    <e v="#NAME?"/>
  </r>
  <r>
    <s v="TX500873"/>
    <s v="Sneakers"/>
    <n v="6"/>
    <n v="94.7"/>
    <n v="568.20000000000005"/>
    <d v="2025-02-05T00:00:00"/>
    <d v="2025-02-08T00:00:00"/>
    <s v="F"/>
    <s v="Website"/>
    <n v="5"/>
    <s v="California"/>
    <s v="Fresno County"/>
    <x v="2"/>
    <n v="6"/>
    <e v="#NAME?"/>
  </r>
  <r>
    <s v="TX500874"/>
    <s v="T-Shirts"/>
    <n v="18"/>
    <n v="16.7"/>
    <n v="300.59999999999997"/>
    <d v="2025-02-05T00:00:00"/>
    <d v="2025-02-17T00:00:00"/>
    <s v="F"/>
    <s v="App"/>
    <n v="5"/>
    <s v="California"/>
    <s v="Fresno County"/>
    <x v="13"/>
    <n v="6"/>
    <e v="#NAME?"/>
  </r>
  <r>
    <s v="TX500875"/>
    <s v="Sneakers"/>
    <n v="2"/>
    <n v="83.6"/>
    <n v="167.2"/>
    <d v="2025-02-05T00:00:00"/>
    <d v="2025-02-11T00:00:00"/>
    <s v="F"/>
    <s v="Website"/>
    <n v="4"/>
    <s v="California"/>
    <s v="Los Angeles County"/>
    <x v="4"/>
    <n v="6"/>
    <e v="#NAME?"/>
  </r>
  <r>
    <s v="TX500876"/>
    <s v="Hoodies &amp; Sweatshirts"/>
    <n v="6"/>
    <n v="33.6"/>
    <n v="201.60000000000002"/>
    <d v="2025-02-06T00:00:00"/>
    <d v="2025-02-07T00:00:00"/>
    <s v="F"/>
    <s v="Instagram"/>
    <n v="4"/>
    <s v="California"/>
    <s v="Los Angeles County"/>
    <x v="3"/>
    <n v="6"/>
    <e v="#NAME?"/>
  </r>
  <r>
    <s v="TX500877"/>
    <s v="Hoodies &amp; Sweatshirts"/>
    <n v="2"/>
    <n v="64.7"/>
    <n v="129.4"/>
    <d v="2025-02-06T00:00:00"/>
    <d v="2025-02-08T00:00:00"/>
    <s v="M"/>
    <s v="Website"/>
    <n v="5"/>
    <s v="California"/>
    <s v="Los Angeles County"/>
    <x v="1"/>
    <n v="6"/>
    <e v="#NAME?"/>
  </r>
  <r>
    <s v="TX500878"/>
    <s v="Shorts"/>
    <n v="3"/>
    <n v="15.7"/>
    <n v="47.099999999999994"/>
    <d v="2025-02-06T00:00:00"/>
    <d v="2025-02-12T00:00:00"/>
    <s v="F"/>
    <s v="App"/>
    <n v="4"/>
    <s v="California"/>
    <s v="Los Angeles County"/>
    <x v="4"/>
    <n v="6"/>
    <e v="#NAME?"/>
  </r>
  <r>
    <s v="TX500879"/>
    <s v="Crop Tops"/>
    <n v="6"/>
    <n v="49.4"/>
    <n v="296.39999999999998"/>
    <d v="2025-02-06T00:00:00"/>
    <d v="2025-02-06T00:00:00"/>
    <s v="M"/>
    <s v="Website"/>
    <n v="4"/>
    <s v="California"/>
    <s v="Los Angeles County"/>
    <x v="7"/>
    <n v="6"/>
    <e v="#NAME?"/>
  </r>
  <r>
    <s v="TX500880"/>
    <s v="Bikinis"/>
    <n v="6"/>
    <n v="37"/>
    <n v="222"/>
    <d v="2025-02-06T00:00:00"/>
    <d v="2025-02-09T00:00:00"/>
    <s v="F"/>
    <s v="Website"/>
    <n v="5"/>
    <s v="California"/>
    <s v="Los Angeles County"/>
    <x v="2"/>
    <n v="6"/>
    <e v="#NAME?"/>
  </r>
  <r>
    <s v="TX500881"/>
    <s v="Sneakers"/>
    <n v="2"/>
    <n v="83.7"/>
    <n v="167.4"/>
    <d v="2025-02-06T00:00:00"/>
    <d v="2025-02-08T00:00:00"/>
    <s v="F"/>
    <s v="Instagram"/>
    <n v="5"/>
    <s v="California"/>
    <s v="Los Angeles County"/>
    <x v="1"/>
    <n v="6"/>
    <e v="#NAME?"/>
  </r>
  <r>
    <s v="TX500882"/>
    <s v="Tank Tops"/>
    <n v="5"/>
    <n v="35.1"/>
    <n v="175.5"/>
    <d v="2025-02-06T00:00:00"/>
    <d v="2025-02-07T00:00:00"/>
    <s v="F"/>
    <s v="App"/>
    <n v="4"/>
    <s v="California"/>
    <s v="Los Angeles County"/>
    <x v="3"/>
    <n v="6"/>
    <e v="#NAME?"/>
  </r>
  <r>
    <s v="TX500883"/>
    <s v="Sunglasses"/>
    <n v="8"/>
    <n v="74"/>
    <n v="592"/>
    <d v="2025-02-06T00:00:00"/>
    <d v="2025-02-07T00:00:00"/>
    <s v="F"/>
    <s v="Partner App"/>
    <n v="4"/>
    <s v="California"/>
    <s v="Madera County"/>
    <x v="3"/>
    <n v="6"/>
    <e v="#NAME?"/>
  </r>
  <r>
    <s v="TX500884"/>
    <s v="Jeans"/>
    <n v="24"/>
    <n v="55.5"/>
    <n v="1332"/>
    <d v="2025-02-06T00:00:00"/>
    <d v="2025-02-09T00:00:00"/>
    <s v="M"/>
    <s v="Instagram"/>
    <n v="4"/>
    <s v="California"/>
    <s v="Monterey County"/>
    <x v="2"/>
    <n v="6"/>
    <e v="#NAME?"/>
  </r>
  <r>
    <s v="TX500885"/>
    <s v="Maxi Dresses"/>
    <n v="2"/>
    <n v="38.9"/>
    <n v="77.8"/>
    <d v="2025-02-06T00:00:00"/>
    <d v="2025-02-08T00:00:00"/>
    <s v="F"/>
    <s v="Website"/>
    <n v="5"/>
    <s v="California"/>
    <s v="Orange County"/>
    <x v="1"/>
    <n v="6"/>
    <e v="#NAME?"/>
  </r>
  <r>
    <s v="TX500886"/>
    <s v="Sunglasses"/>
    <n v="2"/>
    <n v="64.599999999999994"/>
    <n v="129.19999999999999"/>
    <d v="2025-02-06T00:00:00"/>
    <d v="2025-02-13T00:00:00"/>
    <s v="M"/>
    <s v="Target.com"/>
    <n v="3"/>
    <s v="California"/>
    <s v="Orange County"/>
    <x v="6"/>
    <n v="6"/>
    <e v="#NAME?"/>
  </r>
  <r>
    <s v="TX500887"/>
    <s v="Sneakers"/>
    <n v="3"/>
    <n v="95.3"/>
    <n v="285.89999999999998"/>
    <d v="2025-02-06T00:00:00"/>
    <d v="2025-02-07T00:00:00"/>
    <s v="M"/>
    <s v="App"/>
    <n v="4"/>
    <s v="California"/>
    <s v="Placer County"/>
    <x v="3"/>
    <n v="6"/>
    <e v="#NAME?"/>
  </r>
  <r>
    <s v="TX500888"/>
    <s v="Tote Bags"/>
    <n v="3"/>
    <n v="25.8"/>
    <n v="77.400000000000006"/>
    <d v="2025-02-06T00:00:00"/>
    <d v="2025-02-07T00:00:00"/>
    <s v="F"/>
    <s v="Website"/>
    <n v="3"/>
    <s v="California"/>
    <s v="Sacramento County"/>
    <x v="3"/>
    <n v="6"/>
    <e v="#NAME?"/>
  </r>
  <r>
    <s v="TX500889"/>
    <s v="Shorts"/>
    <n v="2"/>
    <n v="11.6"/>
    <n v="23.2"/>
    <d v="2025-02-06T00:00:00"/>
    <d v="2025-02-10T00:00:00"/>
    <s v="F"/>
    <s v="Website"/>
    <n v="3"/>
    <s v="California"/>
    <s v="Sacramento County"/>
    <x v="5"/>
    <n v="6"/>
    <e v="#NAME?"/>
  </r>
  <r>
    <s v="TX500890"/>
    <s v="Hoodies &amp; Sweatshirts"/>
    <n v="1"/>
    <n v="52.3"/>
    <n v="52.3"/>
    <d v="2025-02-06T00:00:00"/>
    <d v="2025-02-07T00:00:00"/>
    <s v="F"/>
    <s v="Website"/>
    <n v="4"/>
    <s v="California"/>
    <s v="San Diego County"/>
    <x v="3"/>
    <n v="6"/>
    <e v="#NAME?"/>
  </r>
  <r>
    <s v="TX500891"/>
    <s v="Sneakers"/>
    <n v="10"/>
    <n v="112.2"/>
    <n v="1122"/>
    <d v="2025-02-06T00:00:00"/>
    <d v="2025-02-07T00:00:00"/>
    <s v="F"/>
    <s v="Website"/>
    <n v="3"/>
    <s v="California"/>
    <s v="San Diego County"/>
    <x v="3"/>
    <n v="6"/>
    <e v="#NAME?"/>
  </r>
  <r>
    <s v="TX500892"/>
    <s v="Graphic Tees"/>
    <n v="5"/>
    <n v="34.6"/>
    <n v="173"/>
    <d v="2025-02-06T00:00:00"/>
    <d v="2025-02-08T00:00:00"/>
    <s v="M"/>
    <s v="Target.com"/>
    <n v="4"/>
    <s v="California"/>
    <s v="San Diego County"/>
    <x v="1"/>
    <n v="6"/>
    <e v="#NAME?"/>
  </r>
  <r>
    <s v="TX500893"/>
    <s v="Baseball Caps"/>
    <n v="4"/>
    <n v="20.100000000000001"/>
    <n v="80.400000000000006"/>
    <d v="2025-02-06T00:00:00"/>
    <d v="2025-02-12T00:00:00"/>
    <s v="M"/>
    <s v="Website"/>
    <n v="5"/>
    <s v="California"/>
    <s v="San Diego County"/>
    <x v="4"/>
    <n v="6"/>
    <e v="#NAME?"/>
  </r>
  <r>
    <s v="TX500894"/>
    <s v="Sneakers"/>
    <n v="4"/>
    <n v="56.4"/>
    <n v="225.6"/>
    <d v="2025-02-06T00:00:00"/>
    <d v="2025-02-08T00:00:00"/>
    <s v="F"/>
    <s v="Target.com"/>
    <n v="4"/>
    <s v="California"/>
    <s v="Santa Barbara County"/>
    <x v="1"/>
    <n v="6"/>
    <e v="#NAME?"/>
  </r>
  <r>
    <s v="TX500895"/>
    <s v="Tote Bags"/>
    <n v="9"/>
    <n v="55.3"/>
    <n v="497.7"/>
    <d v="2025-02-06T00:00:00"/>
    <d v="2025-02-08T00:00:00"/>
    <s v="F"/>
    <s v="Website"/>
    <n v="2"/>
    <s v="California"/>
    <s v="Santa Clara County"/>
    <x v="1"/>
    <n v="6"/>
    <e v="#NAME?"/>
  </r>
  <r>
    <s v="TX500896"/>
    <s v="Sneakers"/>
    <n v="28"/>
    <n v="75.5"/>
    <n v="2114"/>
    <d v="2025-02-06T00:00:00"/>
    <d v="2025-02-07T00:00:00"/>
    <s v="F"/>
    <s v="App"/>
    <n v="4"/>
    <s v="California"/>
    <s v="Santa Clara County"/>
    <x v="3"/>
    <n v="6"/>
    <e v="#NAME?"/>
  </r>
  <r>
    <s v="TX500897"/>
    <s v="T-Shirts"/>
    <n v="1"/>
    <n v="23.6"/>
    <n v="23.6"/>
    <d v="2025-02-06T00:00:00"/>
    <d v="2025-02-11T00:00:00"/>
    <s v="F"/>
    <s v="App"/>
    <n v="4"/>
    <s v="California"/>
    <s v="Stanislaus County"/>
    <x v="0"/>
    <n v="6"/>
    <e v="#NAME?"/>
  </r>
  <r>
    <s v="TX500898"/>
    <s v="Sundresses"/>
    <n v="2"/>
    <n v="70.7"/>
    <n v="141.4"/>
    <d v="2025-02-06T00:00:00"/>
    <d v="2025-02-08T00:00:00"/>
    <s v="F"/>
    <s v="Target.com"/>
    <n v="4"/>
    <s v="California"/>
    <s v="Stanislaus County"/>
    <x v="1"/>
    <n v="6"/>
    <e v="#NAME?"/>
  </r>
  <r>
    <s v="TX500899"/>
    <s v="Casual Dresses"/>
    <n v="2"/>
    <n v="43.2"/>
    <n v="86.4"/>
    <d v="2025-02-06T00:00:00"/>
    <d v="2025-02-07T00:00:00"/>
    <s v="F"/>
    <s v="Target.com"/>
    <n v="4"/>
    <s v="California"/>
    <s v="Sutter County"/>
    <x v="3"/>
    <n v="6"/>
    <e v="#NAME?"/>
  </r>
  <r>
    <s v="TX500900"/>
    <s v="Sundresses"/>
    <n v="9"/>
    <n v="70"/>
    <n v="630"/>
    <d v="2025-02-06T00:00:00"/>
    <d v="2025-02-07T00:00:00"/>
    <s v=""/>
    <s v="Website"/>
    <n v="4"/>
    <s v="California"/>
    <s v="Tuolumne County"/>
    <x v="3"/>
    <n v="6"/>
    <e v="#NAME?"/>
  </r>
  <r>
    <s v="TX500901"/>
    <s v="Shorts"/>
    <n v="2"/>
    <n v="20.5"/>
    <n v="41"/>
    <d v="2025-02-06T00:00:00"/>
    <d v="2025-02-08T00:00:00"/>
    <s v="F"/>
    <s v="Target.com"/>
    <n v="2"/>
    <s v="California"/>
    <s v="Ventura County"/>
    <x v="1"/>
    <n v="6"/>
    <e v="#NAME?"/>
  </r>
  <r>
    <s v="TX500902"/>
    <s v="Shorts"/>
    <n v="4"/>
    <n v="29.1"/>
    <n v="116.4"/>
    <d v="2025-02-06T00:00:00"/>
    <d v="2025-02-07T00:00:00"/>
    <s v="F"/>
    <s v="Instagram"/>
    <n v="4"/>
    <s v="California"/>
    <s v="Yolo County"/>
    <x v="3"/>
    <n v="6"/>
    <e v="#NAME?"/>
  </r>
  <r>
    <s v="TX500903"/>
    <s v="Jeans"/>
    <n v="9"/>
    <n v="53.6"/>
    <n v="482.40000000000003"/>
    <d v="2025-02-06T00:00:00"/>
    <d v="2025-02-07T00:00:00"/>
    <s v="M"/>
    <s v="Target.com"/>
    <n v="3"/>
    <s v="California"/>
    <s v="Los Angeles County"/>
    <x v="3"/>
    <n v="6"/>
    <e v="#NAME?"/>
  </r>
  <r>
    <s v="TX500904"/>
    <s v="Jeans"/>
    <n v="5"/>
    <n v="72.3"/>
    <n v="361.5"/>
    <d v="2025-02-06T00:00:00"/>
    <d v="2025-02-08T00:00:00"/>
    <s v="F"/>
    <s v="Website"/>
    <n v="4"/>
    <s v="California"/>
    <s v="Los Angeles County"/>
    <x v="1"/>
    <n v="6"/>
    <e v="#NAME?"/>
  </r>
  <r>
    <s v="TX500905"/>
    <s v="Tote Bags"/>
    <n v="4"/>
    <n v="22.6"/>
    <n v="90.4"/>
    <d v="2025-02-06T00:00:00"/>
    <d v="2025-02-09T00:00:00"/>
    <s v="O"/>
    <s v="App"/>
    <n v="3"/>
    <s v="California"/>
    <s v="Los Angeles County"/>
    <x v="2"/>
    <n v="6"/>
    <e v="#NAME?"/>
  </r>
  <r>
    <s v="TX500906"/>
    <s v="Sundresses"/>
    <n v="2"/>
    <n v="44.2"/>
    <n v="88.4"/>
    <d v="2025-02-06T00:00:00"/>
    <d v="2025-02-10T00:00:00"/>
    <s v=""/>
    <s v="Target.com"/>
    <n v="2"/>
    <s v="California"/>
    <s v="Los Angeles County"/>
    <x v="5"/>
    <n v="6"/>
    <e v="#NAME?"/>
  </r>
  <r>
    <s v="TX500907"/>
    <s v="Sundresses"/>
    <n v="3"/>
    <n v="94.1"/>
    <n v="282.29999999999995"/>
    <d v="2025-02-06T00:00:00"/>
    <d v="2025-02-19T00:00:00"/>
    <s v="F"/>
    <s v="Target.com"/>
    <n v="5"/>
    <s v="California"/>
    <s v="Los Angeles County"/>
    <x v="10"/>
    <n v="6"/>
    <e v="#NAME?"/>
  </r>
  <r>
    <s v="TX500908"/>
    <s v="T-Shirts"/>
    <n v="3"/>
    <n v="17.899999999999999"/>
    <n v="53.699999999999996"/>
    <d v="2025-02-06T00:00:00"/>
    <d v="2025-02-08T00:00:00"/>
    <s v="M"/>
    <s v="Website"/>
    <n v="3"/>
    <s v="California"/>
    <s v="Los Angeles County"/>
    <x v="1"/>
    <n v="6"/>
    <e v="#NAME?"/>
  </r>
  <r>
    <s v="TX500909"/>
    <s v="Casual Dresses"/>
    <n v="7"/>
    <n v="52.7"/>
    <n v="368.90000000000003"/>
    <d v="2025-02-06T00:00:00"/>
    <d v="2025-02-07T00:00:00"/>
    <s v="M"/>
    <s v="Website"/>
    <n v="3"/>
    <s v="California"/>
    <s v="Los Angeles County"/>
    <x v="3"/>
    <n v="6"/>
    <e v="#NAME?"/>
  </r>
  <r>
    <s v="TX500910"/>
    <s v="T-Shirts"/>
    <n v="1"/>
    <n v="36.799999999999997"/>
    <n v="36.799999999999997"/>
    <d v="2025-02-06T00:00:00"/>
    <d v="2025-02-06T00:00:00"/>
    <s v=""/>
    <s v="App"/>
    <n v="5"/>
    <s v="California"/>
    <s v="Los Angeles County"/>
    <x v="7"/>
    <n v="6"/>
    <e v="#NAME?"/>
  </r>
  <r>
    <s v="TX500911"/>
    <s v="Graphic Tees"/>
    <n v="1"/>
    <n v="52.5"/>
    <n v="52.5"/>
    <d v="2025-02-06T00:00:00"/>
    <d v="2025-02-07T00:00:00"/>
    <s v="M"/>
    <s v="App"/>
    <n v="3"/>
    <s v="California"/>
    <s v="Sacramento County"/>
    <x v="3"/>
    <n v="6"/>
    <e v="#NAME?"/>
  </r>
  <r>
    <s v="TX500912"/>
    <s v="Sneakers"/>
    <n v="2"/>
    <n v="133.80000000000001"/>
    <n v="267.60000000000002"/>
    <d v="2025-02-06T00:00:00"/>
    <d v="2025-02-08T00:00:00"/>
    <s v="M"/>
    <s v="App"/>
    <n v="3"/>
    <s v="California"/>
    <s v="San Bernardino County"/>
    <x v="1"/>
    <n v="6"/>
    <e v="#NAME?"/>
  </r>
  <r>
    <s v="TX500913"/>
    <s v="Jeans"/>
    <n v="2"/>
    <n v="53.2"/>
    <n v="106.4"/>
    <d v="2025-02-06T00:00:00"/>
    <d v="2025-02-08T00:00:00"/>
    <s v="M"/>
    <s v="App"/>
    <n v="4"/>
    <s v="California"/>
    <s v="San Francisco"/>
    <x v="1"/>
    <n v="6"/>
    <e v="#NAME?"/>
  </r>
  <r>
    <s v="TX500914"/>
    <s v="Baseball Caps"/>
    <n v="6"/>
    <n v="18.7"/>
    <n v="112.19999999999999"/>
    <d v="2025-02-06T00:00:00"/>
    <d v="2025-02-08T00:00:00"/>
    <s v=""/>
    <s v="App"/>
    <n v="3"/>
    <s v="California"/>
    <s v="Santa Barbara County"/>
    <x v="1"/>
    <n v="6"/>
    <e v="#NAME?"/>
  </r>
  <r>
    <s v="TX500915"/>
    <s v="Jeans"/>
    <n v="4"/>
    <n v="108.8"/>
    <n v="435.2"/>
    <d v="2025-02-06T00:00:00"/>
    <d v="2025-02-07T00:00:00"/>
    <s v="F"/>
    <s v="Instagram"/>
    <n v="5"/>
    <s v="California"/>
    <s v="Santa Clara County"/>
    <x v="3"/>
    <n v="6"/>
    <e v="#NAME?"/>
  </r>
  <r>
    <s v="TX500916"/>
    <s v="Crop Tops"/>
    <n v="5"/>
    <n v="38.5"/>
    <n v="192.5"/>
    <d v="2025-02-06T00:00:00"/>
    <d v="2025-02-10T00:00:00"/>
    <s v="F"/>
    <s v="App"/>
    <n v="3"/>
    <s v="California"/>
    <s v="Calaveras County"/>
    <x v="5"/>
    <n v="6"/>
    <e v="#NAME?"/>
  </r>
  <r>
    <s v="TX500917"/>
    <s v="Bikinis"/>
    <n v="10"/>
    <n v="46.5"/>
    <n v="465"/>
    <d v="2025-02-06T00:00:00"/>
    <d v="2025-02-08T00:00:00"/>
    <s v="M"/>
    <s v="Target.com"/>
    <n v="3"/>
    <s v="California"/>
    <s v="Fresno County"/>
    <x v="1"/>
    <n v="6"/>
    <e v="#NAME?"/>
  </r>
  <r>
    <s v="TX500918"/>
    <s v="Sneakers"/>
    <n v="3"/>
    <n v="75.8"/>
    <n v="227.39999999999998"/>
    <d v="2025-02-06T00:00:00"/>
    <d v="2025-02-10T00:00:00"/>
    <s v="F"/>
    <s v="Website"/>
    <n v="2"/>
    <s v="California"/>
    <s v="Humboldt County"/>
    <x v="5"/>
    <n v="6"/>
    <e v="#NAME?"/>
  </r>
  <r>
    <s v="TX500919"/>
    <s v="T-Shirts"/>
    <n v="1"/>
    <n v="20.9"/>
    <n v="20.9"/>
    <d v="2025-02-06T00:00:00"/>
    <d v="2025-02-10T00:00:00"/>
    <s v="M"/>
    <s v="App"/>
    <n v="4"/>
    <s v="California"/>
    <s v="Kern County"/>
    <x v="5"/>
    <n v="6"/>
    <e v="#NAME?"/>
  </r>
  <r>
    <s v="TX500920"/>
    <s v="Leggings"/>
    <n v="3"/>
    <n v="47.4"/>
    <n v="142.19999999999999"/>
    <d v="2025-02-06T00:00:00"/>
    <d v="2025-02-09T00:00:00"/>
    <s v="F"/>
    <s v="App"/>
    <n v="4"/>
    <s v="California"/>
    <s v="Los Angeles County"/>
    <x v="2"/>
    <n v="6"/>
    <e v="#NAME?"/>
  </r>
  <r>
    <s v="TX500921"/>
    <s v="Sundresses"/>
    <n v="2"/>
    <n v="53.8"/>
    <n v="107.6"/>
    <d v="2025-02-06T00:00:00"/>
    <d v="2025-02-07T00:00:00"/>
    <s v=""/>
    <s v="App"/>
    <n v="3"/>
    <s v="California"/>
    <s v="Los Angeles County"/>
    <x v="3"/>
    <n v="6"/>
    <e v="#NAME?"/>
  </r>
  <r>
    <s v="TX500922"/>
    <s v="T-Shirts"/>
    <n v="3"/>
    <n v="24.6"/>
    <n v="73.800000000000011"/>
    <d v="2025-02-06T00:00:00"/>
    <d v="2025-02-08T00:00:00"/>
    <s v="O"/>
    <s v="Website"/>
    <n v="5"/>
    <s v="California"/>
    <s v="Los Angeles County"/>
    <x v="1"/>
    <n v="6"/>
    <e v="#NAME?"/>
  </r>
  <r>
    <s v="TX500923"/>
    <s v="Sundresses"/>
    <n v="3"/>
    <n v="70.900000000000006"/>
    <n v="212.70000000000002"/>
    <d v="2025-02-06T00:00:00"/>
    <d v="2025-02-11T00:00:00"/>
    <s v="F"/>
    <s v="Target.com"/>
    <n v="5"/>
    <s v="California"/>
    <s v="Los Angeles County"/>
    <x v="0"/>
    <n v="6"/>
    <e v="#NAME?"/>
  </r>
  <r>
    <s v="TX500924"/>
    <s v="Pajama Sets"/>
    <n v="3"/>
    <n v="31.9"/>
    <n v="95.699999999999989"/>
    <d v="2025-02-06T00:00:00"/>
    <d v="2025-02-08T00:00:00"/>
    <s v="F"/>
    <s v="Target.com"/>
    <n v="5"/>
    <s v="California"/>
    <s v="Los Angeles County"/>
    <x v="1"/>
    <n v="6"/>
    <e v="#NAME?"/>
  </r>
  <r>
    <s v="TX500925"/>
    <s v="Shorts"/>
    <n v="2"/>
    <n v="20.399999999999999"/>
    <n v="40.799999999999997"/>
    <d v="2025-02-06T00:00:00"/>
    <d v="2025-02-10T00:00:00"/>
    <s v="M"/>
    <s v="Instagram"/>
    <n v="5"/>
    <s v="California"/>
    <s v="Los Angeles County"/>
    <x v="5"/>
    <n v="6"/>
    <e v="#NAME?"/>
  </r>
  <r>
    <s v="TX500926"/>
    <s v="T-Shirts"/>
    <n v="2"/>
    <n v="18.600000000000001"/>
    <n v="37.200000000000003"/>
    <d v="2025-02-06T00:00:00"/>
    <d v="2025-02-08T00:00:00"/>
    <s v=""/>
    <s v="App"/>
    <n v="3"/>
    <s v="California"/>
    <s v="Los Angeles County"/>
    <x v="1"/>
    <n v="6"/>
    <e v="#NAME?"/>
  </r>
  <r>
    <s v="TX500927"/>
    <s v="Graphic Tees"/>
    <n v="5"/>
    <n v="48.3"/>
    <n v="241.5"/>
    <d v="2025-02-06T00:00:00"/>
    <d v="2025-02-08T00:00:00"/>
    <s v="F"/>
    <s v="Website"/>
    <n v="4"/>
    <s v="California"/>
    <s v="Los Angeles County"/>
    <x v="1"/>
    <n v="6"/>
    <e v="#NAME?"/>
  </r>
  <r>
    <s v="TX500928"/>
    <s v="Shorts"/>
    <n v="4"/>
    <n v="27.7"/>
    <n v="110.8"/>
    <d v="2025-02-06T00:00:00"/>
    <d v="2025-02-08T00:00:00"/>
    <s v="F"/>
    <s v="App"/>
    <n v="4"/>
    <s v="California"/>
    <s v="Los Angeles County"/>
    <x v="1"/>
    <n v="6"/>
    <e v="#NAME?"/>
  </r>
  <r>
    <s v="TX500929"/>
    <s v="Graphic Tees"/>
    <n v="5"/>
    <n v="22.5"/>
    <n v="112.5"/>
    <d v="2025-02-06T00:00:00"/>
    <d v="2025-02-08T00:00:00"/>
    <s v="F"/>
    <s v="Partner App"/>
    <n v="5"/>
    <s v="California"/>
    <s v="Los Angeles County"/>
    <x v="1"/>
    <n v="6"/>
    <e v="#NAME?"/>
  </r>
  <r>
    <s v="TX500930"/>
    <s v="Pajama Sets"/>
    <n v="5"/>
    <n v="21.6"/>
    <n v="108"/>
    <d v="2025-02-06T00:00:00"/>
    <d v="2025-02-14T00:00:00"/>
    <s v="F"/>
    <s v="App"/>
    <n v="3"/>
    <s v="California"/>
    <s v="Los Angeles County"/>
    <x v="9"/>
    <n v="6"/>
    <e v="#NAME?"/>
  </r>
  <r>
    <s v="TX500931"/>
    <s v="Bikinis"/>
    <n v="7"/>
    <n v="26.3"/>
    <n v="184.1"/>
    <d v="2025-02-06T00:00:00"/>
    <d v="2025-02-06T00:00:00"/>
    <s v="F"/>
    <s v="Target.com"/>
    <n v="3"/>
    <s v="California"/>
    <s v="Los Angeles County"/>
    <x v="7"/>
    <n v="6"/>
    <e v="#NAME?"/>
  </r>
  <r>
    <s v="TX500932"/>
    <s v="Jeans"/>
    <n v="7"/>
    <n v="103"/>
    <n v="721"/>
    <d v="2025-02-07T00:00:00"/>
    <d v="2025-02-08T00:00:00"/>
    <s v="M"/>
    <s v="App"/>
    <n v="5"/>
    <s v="California"/>
    <s v="Sacramento County"/>
    <x v="3"/>
    <n v="6"/>
    <e v="#NAME?"/>
  </r>
  <r>
    <s v="TX500933"/>
    <s v="Sandals"/>
    <n v="15"/>
    <n v="46.6"/>
    <n v="699"/>
    <d v="2025-02-07T00:00:00"/>
    <d v="2025-02-08T00:00:00"/>
    <s v="F"/>
    <s v="App"/>
    <n v="3"/>
    <s v="California"/>
    <s v="Sacramento County"/>
    <x v="3"/>
    <n v="6"/>
    <e v="#NAME?"/>
  </r>
  <r>
    <s v="TX500934"/>
    <s v="Shorts"/>
    <n v="5"/>
    <n v="32.200000000000003"/>
    <n v="161"/>
    <d v="2025-02-07T00:00:00"/>
    <d v="2025-02-10T00:00:00"/>
    <s v="F"/>
    <s v="App"/>
    <n v="5"/>
    <s v="California"/>
    <s v="San Benito County"/>
    <x v="2"/>
    <n v="6"/>
    <e v="#NAME?"/>
  </r>
  <r>
    <s v="TX500935"/>
    <s v="T-Shirts"/>
    <n v="3"/>
    <n v="22"/>
    <n v="66"/>
    <d v="2025-02-07T00:00:00"/>
    <d v="2025-02-14T00:00:00"/>
    <s v="M"/>
    <s v="Website"/>
    <n v="4"/>
    <s v="California"/>
    <s v="San Bernardino County"/>
    <x v="6"/>
    <n v="6"/>
    <e v="#NAME?"/>
  </r>
  <r>
    <s v="TX500936"/>
    <s v="Shorts"/>
    <n v="2"/>
    <n v="25.2"/>
    <n v="50.4"/>
    <d v="2025-02-07T00:00:00"/>
    <d v="2025-02-11T00:00:00"/>
    <s v="F"/>
    <s v="App"/>
    <n v="4"/>
    <s v="California"/>
    <s v="San Bernardino County"/>
    <x v="5"/>
    <n v="6"/>
    <e v="#NAME?"/>
  </r>
  <r>
    <s v="TX500937"/>
    <s v="Tank Tops"/>
    <n v="6"/>
    <n v="68.7"/>
    <n v="412.20000000000005"/>
    <d v="2025-02-07T00:00:00"/>
    <d v="2025-02-09T00:00:00"/>
    <s v="M"/>
    <s v="Partner App"/>
    <n v="4"/>
    <s v="California"/>
    <s v="San Diego County"/>
    <x v="1"/>
    <n v="6"/>
    <e v="#NAME?"/>
  </r>
  <r>
    <s v="TX500938"/>
    <s v="Shorts"/>
    <n v="3"/>
    <n v="22.2"/>
    <n v="66.599999999999994"/>
    <d v="2025-02-07T00:00:00"/>
    <d v="2025-02-10T00:00:00"/>
    <s v="M"/>
    <s v="Target.com"/>
    <n v="5"/>
    <s v="California"/>
    <s v="San Diego County"/>
    <x v="2"/>
    <n v="6"/>
    <e v="#NAME?"/>
  </r>
  <r>
    <s v="TX500939"/>
    <s v="Tank Tops"/>
    <n v="7"/>
    <n v="36"/>
    <n v="252"/>
    <d v="2025-02-07T00:00:00"/>
    <d v="2025-02-08T00:00:00"/>
    <s v="F"/>
    <s v="Website"/>
    <n v="4"/>
    <s v="California"/>
    <s v="San Diego County"/>
    <x v="3"/>
    <n v="6"/>
    <e v="#NAME?"/>
  </r>
  <r>
    <s v="TX500940"/>
    <s v="Leggings"/>
    <n v="1"/>
    <n v="50.6"/>
    <n v="50.6"/>
    <d v="2025-02-07T00:00:00"/>
    <d v="2025-02-09T00:00:00"/>
    <s v="F"/>
    <s v="App"/>
    <n v="3"/>
    <s v="California"/>
    <s v="San Diego County"/>
    <x v="1"/>
    <n v="6"/>
    <e v="#NAME?"/>
  </r>
  <r>
    <s v="TX500941"/>
    <s v="Crop Tops"/>
    <n v="2"/>
    <n v="44.9"/>
    <n v="89.8"/>
    <d v="2025-02-07T00:00:00"/>
    <d v="2025-02-09T00:00:00"/>
    <s v="M"/>
    <s v="App"/>
    <n v="3"/>
    <s v="California"/>
    <s v="San Diego County"/>
    <x v="1"/>
    <n v="6"/>
    <e v="#NAME?"/>
  </r>
  <r>
    <s v="TX500942"/>
    <s v="Jeans"/>
    <n v="3"/>
    <n v="71.599999999999994"/>
    <n v="214.79999999999998"/>
    <d v="2025-02-07T00:00:00"/>
    <d v="2025-02-11T00:00:00"/>
    <s v="M"/>
    <s v="Website"/>
    <n v="5"/>
    <s v="California"/>
    <s v="Santa Barbara County"/>
    <x v="5"/>
    <n v="6"/>
    <e v="#NAME?"/>
  </r>
  <r>
    <s v="TX500943"/>
    <s v="Jeans"/>
    <n v="6"/>
    <n v="51.5"/>
    <n v="309"/>
    <d v="2025-02-07T00:00:00"/>
    <d v="2025-02-09T00:00:00"/>
    <s v=""/>
    <s v="Partner App"/>
    <n v="4"/>
    <s v="California"/>
    <s v="Santa Clara County"/>
    <x v="1"/>
    <n v="6"/>
    <e v="#NAME?"/>
  </r>
  <r>
    <s v="TX500944"/>
    <s v="Hoodies &amp; Sweatshirts"/>
    <n v="5"/>
    <n v="55.5"/>
    <n v="277.5"/>
    <d v="2025-02-07T00:00:00"/>
    <d v="2025-02-08T00:00:00"/>
    <s v="M"/>
    <s v="Website"/>
    <n v="3"/>
    <s v="California"/>
    <s v="Santa Clara County"/>
    <x v="3"/>
    <n v="6"/>
    <e v="#NAME?"/>
  </r>
  <r>
    <s v="TX500945"/>
    <s v="Jeans"/>
    <n v="1"/>
    <n v="51.7"/>
    <n v="51.7"/>
    <d v="2025-02-07T00:00:00"/>
    <d v="2025-02-21T00:00:00"/>
    <s v="M"/>
    <s v="Target.com"/>
    <n v="4"/>
    <s v="California"/>
    <s v="Stanislaus County"/>
    <x v="12"/>
    <n v="6"/>
    <e v="#NAME?"/>
  </r>
  <r>
    <s v="TX500946"/>
    <s v="T-Shirts"/>
    <n v="21"/>
    <n v="45.5"/>
    <n v="955.5"/>
    <d v="2025-02-07T00:00:00"/>
    <d v="2025-02-08T00:00:00"/>
    <s v="F"/>
    <s v="Instagram"/>
    <n v="5"/>
    <s v="California"/>
    <s v="Stanislaus County"/>
    <x v="3"/>
    <n v="6"/>
    <e v="#NAME?"/>
  </r>
  <r>
    <s v="TX500947"/>
    <s v="T-Shirts"/>
    <n v="2"/>
    <n v="33.799999999999997"/>
    <n v="67.599999999999994"/>
    <d v="2025-02-07T00:00:00"/>
    <d v="2025-02-13T00:00:00"/>
    <s v="F"/>
    <s v="Instagram"/>
    <n v="4"/>
    <s v="California"/>
    <s v="Tulare County"/>
    <x v="4"/>
    <n v="6"/>
    <e v="#NAME?"/>
  </r>
  <r>
    <s v="TX500948"/>
    <s v="Workout Tops"/>
    <n v="3"/>
    <n v="76.5"/>
    <n v="229.5"/>
    <d v="2025-02-07T00:00:00"/>
    <d v="2025-02-08T00:00:00"/>
    <s v="F"/>
    <s v="App"/>
    <n v="3"/>
    <s v="California"/>
    <s v="Alameda County"/>
    <x v="3"/>
    <n v="6"/>
    <e v="#NAME?"/>
  </r>
  <r>
    <s v="TX500949"/>
    <s v="Sundresses"/>
    <n v="3"/>
    <n v="42.6"/>
    <n v="127.80000000000001"/>
    <d v="2025-02-07T00:00:00"/>
    <d v="2025-02-13T00:00:00"/>
    <s v="F"/>
    <s v="Target.com"/>
    <n v="5"/>
    <s v="California"/>
    <s v="Fresno County"/>
    <x v="4"/>
    <n v="6"/>
    <e v="#NAME?"/>
  </r>
  <r>
    <s v="TX500950"/>
    <s v="Jeans"/>
    <n v="3"/>
    <n v="44.1"/>
    <n v="132.30000000000001"/>
    <d v="2025-02-07T00:00:00"/>
    <d v="2025-02-09T00:00:00"/>
    <s v="F"/>
    <s v="Website"/>
    <n v="3"/>
    <s v="California"/>
    <s v="Kern County"/>
    <x v="1"/>
    <n v="6"/>
    <e v="#NAME?"/>
  </r>
  <r>
    <s v="TX500951"/>
    <s v="T-Shirts"/>
    <n v="2"/>
    <n v="40.9"/>
    <n v="81.8"/>
    <d v="2025-02-07T00:00:00"/>
    <d v="2025-02-11T00:00:00"/>
    <s v="M"/>
    <s v="App"/>
    <n v="4"/>
    <s v="California"/>
    <s v="Los Angeles County"/>
    <x v="5"/>
    <n v="6"/>
    <e v="#NAME?"/>
  </r>
  <r>
    <s v="TX500952"/>
    <s v="Sundresses"/>
    <n v="3"/>
    <n v="49.1"/>
    <n v="147.30000000000001"/>
    <d v="2025-02-07T00:00:00"/>
    <d v="2025-02-11T00:00:00"/>
    <s v="F"/>
    <s v="Instagram"/>
    <n v="3"/>
    <s v="California"/>
    <s v="Los Angeles County"/>
    <x v="5"/>
    <n v="6"/>
    <e v="#NAME?"/>
  </r>
  <r>
    <s v="TX500953"/>
    <s v="Leggings"/>
    <n v="1"/>
    <n v="85.3"/>
    <n v="85.3"/>
    <d v="2025-02-07T00:00:00"/>
    <d v="2025-02-11T00:00:00"/>
    <s v="M"/>
    <s v="Website"/>
    <n v="3"/>
    <s v="California"/>
    <s v="Los Angeles County"/>
    <x v="5"/>
    <n v="6"/>
    <e v="#NAME?"/>
  </r>
  <r>
    <s v="TX500954"/>
    <s v="Jeans"/>
    <n v="4"/>
    <n v="43.1"/>
    <n v="172.4"/>
    <d v="2025-02-08T00:00:00"/>
    <d v="2025-02-11T00:00:00"/>
    <s v="M"/>
    <s v="App"/>
    <n v="4"/>
    <s v="California"/>
    <s v="Los Angeles County"/>
    <x v="2"/>
    <n v="6"/>
    <e v="#NAME?"/>
  </r>
  <r>
    <s v="TX500955"/>
    <s v="Graphic Tees"/>
    <n v="4"/>
    <n v="46.2"/>
    <n v="184.8"/>
    <d v="2025-02-08T00:00:00"/>
    <d v="2025-02-09T00:00:00"/>
    <s v="M"/>
    <s v="Target.com"/>
    <n v="4"/>
    <s v="California"/>
    <s v="Los Angeles County"/>
    <x v="3"/>
    <n v="6"/>
    <e v="#NAME?"/>
  </r>
  <r>
    <s v="TX500956"/>
    <s v="Tank Tops"/>
    <n v="1"/>
    <n v="74.400000000000006"/>
    <n v="74.400000000000006"/>
    <d v="2025-02-08T00:00:00"/>
    <d v="2025-02-10T00:00:00"/>
    <s v="M"/>
    <s v="Partner App"/>
    <n v="5"/>
    <s v="California"/>
    <s v="Los Angeles County"/>
    <x v="1"/>
    <n v="6"/>
    <e v="#NAME?"/>
  </r>
  <r>
    <s v="TX500957"/>
    <s v="Pajama Sets"/>
    <n v="2"/>
    <n v="51.2"/>
    <n v="102.4"/>
    <d v="2025-02-08T00:00:00"/>
    <d v="2025-02-09T00:00:00"/>
    <s v="M"/>
    <s v="Website"/>
    <n v="4"/>
    <s v="California"/>
    <s v="Los Angeles County"/>
    <x v="3"/>
    <n v="6"/>
    <e v="#NAME?"/>
  </r>
  <r>
    <s v="TX500958"/>
    <s v="Baseball Caps"/>
    <n v="4"/>
    <n v="11.8"/>
    <n v="47.2"/>
    <d v="2025-02-08T00:00:00"/>
    <d v="2025-02-08T00:00:00"/>
    <s v="M"/>
    <s v="Target.com"/>
    <n v="4"/>
    <s v="California"/>
    <s v="Los Angeles County"/>
    <x v="7"/>
    <n v="6"/>
    <e v="#NAME?"/>
  </r>
  <r>
    <s v="TX500959"/>
    <s v="Bikinis"/>
    <n v="27"/>
    <n v="40.799999999999997"/>
    <n v="1101.5999999999999"/>
    <d v="2025-02-08T00:00:00"/>
    <d v="2025-02-09T00:00:00"/>
    <s v="F"/>
    <s v="Instagram"/>
    <n v="5"/>
    <s v="California"/>
    <s v="Los Angeles County"/>
    <x v="3"/>
    <n v="6"/>
    <e v="#NAME?"/>
  </r>
  <r>
    <s v="TX500960"/>
    <s v="T-Shirts"/>
    <n v="1"/>
    <n v="24.7"/>
    <n v="24.7"/>
    <d v="2025-02-08T00:00:00"/>
    <d v="2025-02-10T00:00:00"/>
    <s v="F"/>
    <s v="Target.com"/>
    <n v="3"/>
    <s v="California"/>
    <s v="Los Angeles County"/>
    <x v="1"/>
    <n v="6"/>
    <e v="#NAME?"/>
  </r>
  <r>
    <s v="TX500961"/>
    <s v="T-Shirts"/>
    <n v="7"/>
    <n v="22.1"/>
    <n v="154.70000000000002"/>
    <d v="2025-02-08T00:00:00"/>
    <d v="2025-02-08T00:00:00"/>
    <s v="F"/>
    <s v="Target.com"/>
    <n v="2"/>
    <s v="California"/>
    <s v="Los Angeles County"/>
    <x v="7"/>
    <n v="6"/>
    <e v="#NAME?"/>
  </r>
  <r>
    <s v="TX500962"/>
    <s v="T-Shirts"/>
    <n v="1"/>
    <n v="18.100000000000001"/>
    <n v="18.100000000000001"/>
    <d v="2025-02-08T00:00:00"/>
    <d v="2025-02-12T00:00:00"/>
    <s v="M"/>
    <s v="Instagram"/>
    <n v="5"/>
    <s v="California"/>
    <s v="Los Angeles County"/>
    <x v="5"/>
    <n v="6"/>
    <e v="#NAME?"/>
  </r>
  <r>
    <s v="TX500963"/>
    <s v="Pajama Sets"/>
    <n v="2"/>
    <n v="58.8"/>
    <n v="117.6"/>
    <d v="2025-02-08T00:00:00"/>
    <d v="2025-02-11T00:00:00"/>
    <s v="F"/>
    <s v="App"/>
    <n v="4"/>
    <s v="California"/>
    <s v="Orange County"/>
    <x v="2"/>
    <n v="6"/>
    <e v="#NAME?"/>
  </r>
  <r>
    <s v="TX500964"/>
    <s v="Leggings"/>
    <n v="2"/>
    <n v="30.8"/>
    <n v="61.6"/>
    <d v="2025-02-08T00:00:00"/>
    <d v="2025-02-09T00:00:00"/>
    <s v="F"/>
    <s v="App"/>
    <n v="4"/>
    <s v="California"/>
    <s v="Sacramento County"/>
    <x v="3"/>
    <n v="6"/>
    <e v="#NAME?"/>
  </r>
  <r>
    <s v="TX500965"/>
    <s v="Shorts"/>
    <n v="2"/>
    <n v="12"/>
    <n v="24"/>
    <d v="2025-02-08T00:00:00"/>
    <d v="2025-02-12T00:00:00"/>
    <s v="F"/>
    <s v="App"/>
    <n v="4"/>
    <s v="California"/>
    <s v="Sacramento County"/>
    <x v="5"/>
    <n v="6"/>
    <e v="#NAME?"/>
  </r>
  <r>
    <s v="TX500966"/>
    <s v="Shorts"/>
    <n v="4"/>
    <n v="13.6"/>
    <n v="54.4"/>
    <d v="2025-02-08T00:00:00"/>
    <d v="2025-02-11T00:00:00"/>
    <s v="M"/>
    <s v="Target.com"/>
    <n v="4"/>
    <s v="California"/>
    <s v="Sacramento County"/>
    <x v="2"/>
    <n v="6"/>
    <e v="#NAME?"/>
  </r>
  <r>
    <s v="TX500967"/>
    <s v="Shorts"/>
    <n v="1"/>
    <n v="17.899999999999999"/>
    <n v="17.899999999999999"/>
    <d v="2025-02-08T00:00:00"/>
    <d v="2025-02-09T00:00:00"/>
    <s v="M"/>
    <s v="Instagram"/>
    <n v="4"/>
    <s v="California"/>
    <s v="Sacramento County"/>
    <x v="3"/>
    <n v="6"/>
    <e v="#NAME?"/>
  </r>
  <r>
    <s v="TX500968"/>
    <s v="Sundresses"/>
    <n v="2"/>
    <n v="38.6"/>
    <n v="77.2"/>
    <d v="2025-02-08T00:00:00"/>
    <d v="2025-02-12T00:00:00"/>
    <s v="F"/>
    <s v="Partner App"/>
    <n v="4"/>
    <s v="California"/>
    <s v="San Bernardino County"/>
    <x v="5"/>
    <n v="6"/>
    <e v="#NAME?"/>
  </r>
  <r>
    <s v="TX500969"/>
    <s v="Sandals"/>
    <n v="5"/>
    <n v="32.700000000000003"/>
    <n v="163.5"/>
    <d v="2025-02-08T00:00:00"/>
    <d v="2025-02-09T00:00:00"/>
    <s v="M"/>
    <s v="Target.com"/>
    <n v="5"/>
    <s v="California"/>
    <s v="San Diego County"/>
    <x v="3"/>
    <n v="6"/>
    <e v="#NAME?"/>
  </r>
  <r>
    <s v="TX500970"/>
    <s v="Workout Tops"/>
    <n v="2"/>
    <n v="111.4"/>
    <n v="222.8"/>
    <d v="2025-02-08T00:00:00"/>
    <d v="2025-02-09T00:00:00"/>
    <s v="F"/>
    <s v="Website"/>
    <n v="4"/>
    <s v="California"/>
    <s v="San Diego County"/>
    <x v="3"/>
    <n v="6"/>
    <e v="#NAME?"/>
  </r>
  <r>
    <s v="TX500971"/>
    <s v="Sneakers"/>
    <n v="6"/>
    <n v="80.3"/>
    <n v="481.79999999999995"/>
    <d v="2025-02-08T00:00:00"/>
    <d v="2025-02-10T00:00:00"/>
    <s v="F"/>
    <s v="Website"/>
    <n v="4"/>
    <s v="California"/>
    <s v="San Diego County"/>
    <x v="1"/>
    <n v="6"/>
    <e v="#NAME?"/>
  </r>
  <r>
    <s v="TX500972"/>
    <s v="Jeans"/>
    <n v="2"/>
    <n v="58.9"/>
    <n v="117.8"/>
    <d v="2025-02-08T00:00:00"/>
    <d v="2025-02-09T00:00:00"/>
    <s v="M"/>
    <s v="Website"/>
    <n v="4"/>
    <s v="California"/>
    <s v="San Diego County"/>
    <x v="3"/>
    <n v="6"/>
    <e v="#NAME?"/>
  </r>
  <r>
    <s v="TX500973"/>
    <s v="Jeans"/>
    <n v="3"/>
    <n v="51.9"/>
    <n v="155.69999999999999"/>
    <d v="2025-02-08T00:00:00"/>
    <d v="2025-02-10T00:00:00"/>
    <s v="F"/>
    <s v="Website"/>
    <n v="2"/>
    <s v="California"/>
    <s v="San Diego County"/>
    <x v="1"/>
    <n v="6"/>
    <e v="#NAME?"/>
  </r>
  <r>
    <s v="TX500974"/>
    <s v="Sneakers"/>
    <n v="3"/>
    <n v="50.3"/>
    <n v="150.89999999999998"/>
    <d v="2025-02-08T00:00:00"/>
    <d v="2025-02-09T00:00:00"/>
    <s v="M"/>
    <s v="Target.com"/>
    <n v="4"/>
    <s v="California"/>
    <s v="San Francisco"/>
    <x v="3"/>
    <n v="6"/>
    <e v="#NAME?"/>
  </r>
  <r>
    <s v="TX500975"/>
    <s v="Maxi Dresses"/>
    <n v="6"/>
    <n v="45"/>
    <n v="270"/>
    <d v="2025-02-08T00:00:00"/>
    <d v="2025-02-14T00:00:00"/>
    <s v="F"/>
    <s v="Instagram"/>
    <n v="4"/>
    <s v="California"/>
    <s v="San Mateo County"/>
    <x v="4"/>
    <n v="6"/>
    <e v="#NAME?"/>
  </r>
  <r>
    <s v="TX500976"/>
    <s v="Bikinis"/>
    <n v="6"/>
    <n v="44.7"/>
    <n v="268.20000000000005"/>
    <d v="2025-02-08T00:00:00"/>
    <d v="2025-02-10T00:00:00"/>
    <s v="F"/>
    <s v="Target.com"/>
    <n v="4"/>
    <s v="California"/>
    <s v="Santa Clara County"/>
    <x v="1"/>
    <n v="6"/>
    <e v="#NAME?"/>
  </r>
  <r>
    <s v="TX500977"/>
    <s v="Leggings"/>
    <n v="15"/>
    <n v="33"/>
    <n v="495"/>
    <d v="2025-02-08T00:00:00"/>
    <d v="2025-02-09T00:00:00"/>
    <s v="F"/>
    <s v="Target.com"/>
    <n v="4"/>
    <s v="California"/>
    <s v="Santa Clara County"/>
    <x v="3"/>
    <n v="6"/>
    <e v="#NAME?"/>
  </r>
  <r>
    <s v="TX500978"/>
    <s v="Tank Tops"/>
    <n v="5"/>
    <n v="44.9"/>
    <n v="224.5"/>
    <d v="2025-02-08T00:00:00"/>
    <d v="2025-02-11T00:00:00"/>
    <s v="F"/>
    <s v="Target.com"/>
    <n v="5"/>
    <s v="California"/>
    <s v="Sonoma County"/>
    <x v="2"/>
    <n v="6"/>
    <e v="#NAME?"/>
  </r>
  <r>
    <s v="TX500979"/>
    <s v="Bikinis"/>
    <n v="2"/>
    <n v="34.6"/>
    <n v="69.2"/>
    <d v="2025-02-08T00:00:00"/>
    <d v="2025-02-12T00:00:00"/>
    <s v="F"/>
    <s v="App"/>
    <n v="3"/>
    <s v="California"/>
    <s v="Stanislaus County"/>
    <x v="5"/>
    <n v="6"/>
    <e v="#NAME?"/>
  </r>
  <r>
    <s v="TX500980"/>
    <s v="Hoodies &amp; Sweatshirts"/>
    <n v="7"/>
    <n v="47.1"/>
    <n v="329.7"/>
    <d v="2025-02-08T00:00:00"/>
    <d v="2025-02-13T00:00:00"/>
    <s v="F"/>
    <s v="App"/>
    <n v="4"/>
    <s v="California"/>
    <s v="Ventura County"/>
    <x v="0"/>
    <n v="6"/>
    <e v="#NAME?"/>
  </r>
  <r>
    <s v="TX500981"/>
    <s v="Graphic Tees"/>
    <n v="5"/>
    <n v="26.1"/>
    <n v="130.5"/>
    <d v="2025-02-08T00:00:00"/>
    <d v="2025-02-13T00:00:00"/>
    <s v="M"/>
    <s v="App"/>
    <n v="5"/>
    <s v="California"/>
    <s v="Alameda County"/>
    <x v="0"/>
    <n v="6"/>
    <e v="#NAME?"/>
  </r>
  <r>
    <s v="TX500982"/>
    <s v="Casual Dresses"/>
    <n v="5"/>
    <n v="66.8"/>
    <n v="334"/>
    <d v="2025-02-08T00:00:00"/>
    <d v="2025-02-11T00:00:00"/>
    <s v="F"/>
    <s v="App"/>
    <n v="4"/>
    <s v="California"/>
    <s v="Alameda County"/>
    <x v="2"/>
    <n v="6"/>
    <e v="#NAME?"/>
  </r>
  <r>
    <s v="TX500983"/>
    <s v="Sneakers"/>
    <n v="2"/>
    <n v="167.9"/>
    <n v="335.8"/>
    <d v="2025-02-08T00:00:00"/>
    <d v="2025-02-09T00:00:00"/>
    <s v="F"/>
    <s v="Instagram"/>
    <n v="5"/>
    <s v="California"/>
    <s v="Alameda County"/>
    <x v="3"/>
    <n v="6"/>
    <e v="#NAME?"/>
  </r>
  <r>
    <s v="TX500984"/>
    <s v="Bikinis"/>
    <n v="9"/>
    <n v="34.6"/>
    <n v="311.40000000000003"/>
    <d v="2025-02-08T00:00:00"/>
    <d v="2025-02-09T00:00:00"/>
    <s v="F"/>
    <s v="Target.com"/>
    <n v="3"/>
    <s v="California"/>
    <s v="Alameda County"/>
    <x v="3"/>
    <n v="6"/>
    <e v="#NAME?"/>
  </r>
  <r>
    <s v="TX500985"/>
    <s v="T-Shirts"/>
    <n v="3"/>
    <n v="35.1"/>
    <n v="105.30000000000001"/>
    <d v="2025-02-09T00:00:00"/>
    <d v="2025-02-13T00:00:00"/>
    <s v="M"/>
    <s v="Partner App"/>
    <n v="5"/>
    <s v="California"/>
    <s v="Contra Costa County"/>
    <x v="5"/>
    <n v="7"/>
    <e v="#NAME?"/>
  </r>
  <r>
    <s v="TX500986"/>
    <s v="Jeans"/>
    <n v="4"/>
    <n v="104.5"/>
    <n v="418"/>
    <d v="2025-02-09T00:00:00"/>
    <d v="2025-02-10T00:00:00"/>
    <s v="M"/>
    <s v="Website"/>
    <n v="3"/>
    <s v="California"/>
    <s v="Contra Costa County"/>
    <x v="3"/>
    <n v="7"/>
    <e v="#NAME?"/>
  </r>
  <r>
    <s v="TX500987"/>
    <s v="T-Shirts"/>
    <n v="1"/>
    <n v="37.9"/>
    <n v="37.9"/>
    <d v="2025-02-09T00:00:00"/>
    <d v="2025-02-11T00:00:00"/>
    <s v=""/>
    <s v="Website"/>
    <n v="5"/>
    <s v="California"/>
    <s v="Fresno County"/>
    <x v="1"/>
    <n v="7"/>
    <e v="#NAME?"/>
  </r>
  <r>
    <s v="TX500988"/>
    <s v="Graphic Tees"/>
    <n v="3"/>
    <n v="25.5"/>
    <n v="76.5"/>
    <d v="2025-02-09T00:00:00"/>
    <d v="2025-02-12T00:00:00"/>
    <s v="M"/>
    <s v="Instagram"/>
    <n v="4"/>
    <s v="California"/>
    <s v="Fresno County"/>
    <x v="2"/>
    <n v="7"/>
    <e v="#NAME?"/>
  </r>
  <r>
    <s v="TX500989"/>
    <s v="Shorts"/>
    <n v="3"/>
    <n v="32"/>
    <n v="96"/>
    <d v="2025-02-09T00:00:00"/>
    <d v="2025-02-13T00:00:00"/>
    <s v="F"/>
    <s v="Website"/>
    <n v="4"/>
    <s v="California"/>
    <s v="Kern County"/>
    <x v="5"/>
    <n v="7"/>
    <e v="#NAME?"/>
  </r>
  <r>
    <s v="TX500990"/>
    <s v="Tank Tops"/>
    <n v="1"/>
    <n v="47.1"/>
    <n v="47.1"/>
    <d v="2025-02-09T00:00:00"/>
    <d v="2025-02-10T00:00:00"/>
    <s v="F"/>
    <s v="App"/>
    <n v="4"/>
    <s v="California"/>
    <s v="Kings County"/>
    <x v="3"/>
    <n v="7"/>
    <e v="#NAME?"/>
  </r>
  <r>
    <s v="TX500991"/>
    <s v="Jeans"/>
    <n v="2"/>
    <n v="50.6"/>
    <n v="101.2"/>
    <d v="2025-02-09T00:00:00"/>
    <d v="2025-02-15T00:00:00"/>
    <s v=""/>
    <s v="App"/>
    <n v="4"/>
    <s v="California"/>
    <s v="Los Angeles County"/>
    <x v="4"/>
    <n v="7"/>
    <e v="#NAME?"/>
  </r>
  <r>
    <s v="TX500992"/>
    <s v="Jeans"/>
    <n v="5"/>
    <n v="81.7"/>
    <n v="408.5"/>
    <d v="2025-02-09T00:00:00"/>
    <d v="2025-02-10T00:00:00"/>
    <s v="F"/>
    <s v="Website"/>
    <n v="5"/>
    <s v="California"/>
    <s v="Los Angeles County"/>
    <x v="3"/>
    <n v="7"/>
    <e v="#NAME?"/>
  </r>
  <r>
    <s v="TX500993"/>
    <s v="Sandals"/>
    <n v="2"/>
    <n v="50.7"/>
    <n v="101.4"/>
    <d v="2025-02-09T00:00:00"/>
    <d v="2025-02-10T00:00:00"/>
    <s v="O"/>
    <s v="Target.com"/>
    <n v="5"/>
    <s v="California"/>
    <s v="Los Angeles County"/>
    <x v="3"/>
    <n v="7"/>
    <e v="#NAME?"/>
  </r>
  <r>
    <s v="TX500994"/>
    <s v="Sneakers"/>
    <n v="19"/>
    <n v="67.3"/>
    <n v="1278.7"/>
    <d v="2025-02-09T00:00:00"/>
    <d v="2025-02-13T00:00:00"/>
    <s v="F"/>
    <s v="Target.com"/>
    <n v="4"/>
    <s v="California"/>
    <s v="Los Angeles County"/>
    <x v="5"/>
    <n v="7"/>
    <e v="#NAME?"/>
  </r>
  <r>
    <s v="TX500995"/>
    <s v="Sneakers"/>
    <n v="4"/>
    <n v="64.8"/>
    <n v="259.2"/>
    <d v="2025-02-09T00:00:00"/>
    <d v="2025-02-12T00:00:00"/>
    <s v="F"/>
    <s v="Instagram"/>
    <n v="4"/>
    <s v="California"/>
    <s v="Los Angeles County"/>
    <x v="2"/>
    <n v="7"/>
    <e v="#NAME?"/>
  </r>
  <r>
    <s v="TX500996"/>
    <s v="Sandals"/>
    <n v="22"/>
    <n v="61.3"/>
    <n v="1348.6"/>
    <d v="2025-02-09T00:00:00"/>
    <d v="2025-02-10T00:00:00"/>
    <s v="F"/>
    <s v="App"/>
    <n v="5"/>
    <s v="California"/>
    <s v="Los Angeles County"/>
    <x v="3"/>
    <n v="7"/>
    <e v="#NAME?"/>
  </r>
  <r>
    <s v="TX500997"/>
    <s v="Baseball Caps"/>
    <n v="1"/>
    <n v="32.9"/>
    <n v="32.9"/>
    <d v="2025-02-09T00:00:00"/>
    <d v="2025-02-12T00:00:00"/>
    <s v="F"/>
    <s v="Partner App"/>
    <n v="4"/>
    <s v="California"/>
    <s v="Los Angeles County"/>
    <x v="2"/>
    <n v="7"/>
    <e v="#NAME?"/>
  </r>
  <r>
    <s v="TX500998"/>
    <s v="Jeans"/>
    <n v="2"/>
    <n v="100.8"/>
    <n v="201.6"/>
    <d v="2025-02-09T00:00:00"/>
    <d v="2025-02-12T00:00:00"/>
    <s v="F"/>
    <s v="App"/>
    <n v="4"/>
    <s v="California"/>
    <s v="Los Angeles County"/>
    <x v="2"/>
    <n v="7"/>
    <e v="#NAME?"/>
  </r>
  <r>
    <s v="TX500999"/>
    <s v="T-Shirts"/>
    <n v="4"/>
    <n v="25.1"/>
    <n v="100.4"/>
    <d v="2025-02-09T00:00:00"/>
    <d v="2025-02-11T00:00:00"/>
    <s v="F"/>
    <s v="Website"/>
    <n v="4"/>
    <s v="California"/>
    <s v="Los Angeles County"/>
    <x v="1"/>
    <n v="7"/>
    <e v="#NAME?"/>
  </r>
  <r>
    <s v="TX501000"/>
    <s v="Pajama Sets"/>
    <n v="1"/>
    <n v="48.5"/>
    <n v="48.5"/>
    <d v="2025-02-09T00:00:00"/>
    <d v="2025-02-10T00:00:00"/>
    <s v="F"/>
    <s v="App"/>
    <n v="3"/>
    <s v="California"/>
    <s v="Los Angeles County"/>
    <x v="3"/>
    <n v="7"/>
    <e v="#NAME?"/>
  </r>
  <r>
    <s v="TX501001"/>
    <s v="Hoodies &amp; Sweatshirts"/>
    <n v="2"/>
    <n v="33.6"/>
    <n v="67.2"/>
    <d v="2025-02-09T00:00:00"/>
    <d v="2025-02-13T00:00:00"/>
    <s v="F"/>
    <s v="Target.com"/>
    <n v="5"/>
    <s v="California"/>
    <s v="Los Angeles County"/>
    <x v="5"/>
    <n v="7"/>
    <e v="#NAME?"/>
  </r>
  <r>
    <s v="TX501002"/>
    <s v="T-Shirts"/>
    <n v="1"/>
    <n v="39.299999999999997"/>
    <n v="39.299999999999997"/>
    <d v="2025-02-09T00:00:00"/>
    <d v="2025-02-20T00:00:00"/>
    <s v="F"/>
    <s v="Website"/>
    <n v="3"/>
    <s v="California"/>
    <s v="Monterey County"/>
    <x v="11"/>
    <n v="7"/>
    <e v="#NAME?"/>
  </r>
  <r>
    <s v="TX501003"/>
    <s v="Graphic Tees"/>
    <n v="10"/>
    <n v="48.8"/>
    <n v="488"/>
    <d v="2025-02-09T00:00:00"/>
    <d v="2025-02-11T00:00:00"/>
    <s v="F"/>
    <s v="Instagram"/>
    <n v="3"/>
    <s v="California"/>
    <s v="Orange County"/>
    <x v="1"/>
    <n v="7"/>
    <e v="#NAME?"/>
  </r>
  <r>
    <s v="TX501004"/>
    <s v="Jeans"/>
    <n v="8"/>
    <n v="72.8"/>
    <n v="582.4"/>
    <d v="2025-02-09T00:00:00"/>
    <d v="2025-02-11T00:00:00"/>
    <s v="M"/>
    <s v="Website"/>
    <n v="5"/>
    <s v="California"/>
    <s v="Placer County"/>
    <x v="1"/>
    <n v="7"/>
    <e v="#NAME?"/>
  </r>
  <r>
    <s v="TX501005"/>
    <s v="Bikinis"/>
    <n v="8"/>
    <n v="46.2"/>
    <n v="369.6"/>
    <d v="2025-02-09T00:00:00"/>
    <d v="2025-02-10T00:00:00"/>
    <s v="M"/>
    <s v="Instagram"/>
    <n v="2"/>
    <s v="California"/>
    <s v="Placer County"/>
    <x v="3"/>
    <n v="7"/>
    <e v="#NAME?"/>
  </r>
  <r>
    <s v="TX501006"/>
    <s v="Graphic Tees"/>
    <n v="2"/>
    <n v="20.7"/>
    <n v="41.4"/>
    <d v="2025-02-09T00:00:00"/>
    <d v="2025-02-10T00:00:00"/>
    <s v="F"/>
    <s v="Target.com"/>
    <n v="1"/>
    <s v="California"/>
    <s v="Sacramento County"/>
    <x v="3"/>
    <n v="7"/>
    <e v="#NAME?"/>
  </r>
  <r>
    <s v="TX501007"/>
    <s v="Shorts"/>
    <n v="1"/>
    <n v="35.700000000000003"/>
    <n v="35.700000000000003"/>
    <d v="2025-02-09T00:00:00"/>
    <d v="2025-02-11T00:00:00"/>
    <s v="F"/>
    <s v="Instagram"/>
    <n v="4"/>
    <s v="California"/>
    <s v="Sacramento County"/>
    <x v="1"/>
    <n v="7"/>
    <e v="#NAME?"/>
  </r>
  <r>
    <s v="TX501008"/>
    <s v="Sneakers"/>
    <n v="16"/>
    <n v="166.2"/>
    <n v="2659.2"/>
    <d v="2025-02-09T00:00:00"/>
    <d v="2025-02-11T00:00:00"/>
    <s v=""/>
    <s v="Target.com"/>
    <n v="4"/>
    <s v="California"/>
    <s v="San Bernardino County"/>
    <x v="1"/>
    <n v="7"/>
    <e v="#NAME?"/>
  </r>
  <r>
    <s v="TX501009"/>
    <s v="Jeans"/>
    <n v="4"/>
    <n v="85.8"/>
    <n v="343.2"/>
    <d v="2025-02-09T00:00:00"/>
    <d v="2025-02-10T00:00:00"/>
    <s v="F"/>
    <s v="Website"/>
    <n v="3"/>
    <s v="California"/>
    <s v="San Bernardino County"/>
    <x v="3"/>
    <n v="7"/>
    <e v="#NAME?"/>
  </r>
  <r>
    <s v="TX501010"/>
    <s v="T-Shirts"/>
    <n v="3"/>
    <n v="26"/>
    <n v="78"/>
    <d v="2025-02-09T00:00:00"/>
    <d v="2025-02-11T00:00:00"/>
    <s v="O"/>
    <s v="Website"/>
    <n v="4"/>
    <s v="California"/>
    <s v="San Bernardino County"/>
    <x v="1"/>
    <n v="7"/>
    <e v="#NAME?"/>
  </r>
  <r>
    <s v="TX501011"/>
    <s v="Sneakers"/>
    <n v="13"/>
    <n v="116.6"/>
    <n v="1515.8"/>
    <d v="2025-02-09T00:00:00"/>
    <d v="2025-02-12T00:00:00"/>
    <s v="F"/>
    <s v="App"/>
    <n v="4"/>
    <s v="California"/>
    <s v="San Diego County"/>
    <x v="2"/>
    <n v="7"/>
    <e v="#NAME?"/>
  </r>
  <r>
    <s v="TX501012"/>
    <s v="Sundresses"/>
    <n v="7"/>
    <n v="53.9"/>
    <n v="377.3"/>
    <d v="2025-02-09T00:00:00"/>
    <d v="2025-02-12T00:00:00"/>
    <s v="O"/>
    <s v="App"/>
    <n v="5"/>
    <s v="California"/>
    <s v="San Diego County"/>
    <x v="2"/>
    <n v="7"/>
    <e v="#NAME?"/>
  </r>
  <r>
    <s v="TX501013"/>
    <s v="Casual Dresses"/>
    <n v="5"/>
    <n v="72.3"/>
    <n v="361.5"/>
    <d v="2025-02-09T00:00:00"/>
    <d v="2025-02-11T00:00:00"/>
    <s v=""/>
    <s v="Target.com"/>
    <n v="5"/>
    <s v="California"/>
    <s v="San Diego County"/>
    <x v="1"/>
    <n v="7"/>
    <e v="#NAME?"/>
  </r>
  <r>
    <s v="TX501014"/>
    <s v="Sandals"/>
    <n v="2"/>
    <n v="31.4"/>
    <n v="62.8"/>
    <d v="2025-02-09T00:00:00"/>
    <d v="2025-02-11T00:00:00"/>
    <s v="F"/>
    <s v="App"/>
    <n v="4"/>
    <s v="California"/>
    <s v="San Diego County"/>
    <x v="1"/>
    <n v="7"/>
    <e v="#NAME?"/>
  </r>
  <r>
    <s v="TX501015"/>
    <s v="Tote Bags"/>
    <n v="2"/>
    <n v="53.1"/>
    <n v="106.2"/>
    <d v="2025-02-09T00:00:00"/>
    <d v="2025-02-12T00:00:00"/>
    <s v="M"/>
    <s v="Website"/>
    <n v="4"/>
    <s v="California"/>
    <s v="San Diego County"/>
    <x v="2"/>
    <n v="7"/>
    <e v="#NAME?"/>
  </r>
  <r>
    <s v="TX501016"/>
    <s v="Sneakers"/>
    <n v="4"/>
    <n v="56.2"/>
    <n v="224.8"/>
    <d v="2025-02-09T00:00:00"/>
    <d v="2025-02-10T00:00:00"/>
    <s v="F"/>
    <s v="App"/>
    <n v="4"/>
    <s v="California"/>
    <s v="San Diego County"/>
    <x v="3"/>
    <n v="7"/>
    <e v="#NAME?"/>
  </r>
  <r>
    <s v="TX501017"/>
    <s v="Tank Tops"/>
    <n v="10"/>
    <n v="77.3"/>
    <n v="773"/>
    <d v="2025-02-09T00:00:00"/>
    <d v="2025-02-10T00:00:00"/>
    <s v="F"/>
    <s v="Target.com"/>
    <n v="4"/>
    <s v="California"/>
    <s v="Santa Clara County"/>
    <x v="3"/>
    <n v="7"/>
    <e v="#NAME?"/>
  </r>
  <r>
    <s v="TX501018"/>
    <s v="Jeans"/>
    <n v="13"/>
    <n v="57.8"/>
    <n v="751.4"/>
    <d v="2025-02-09T00:00:00"/>
    <d v="2025-02-10T00:00:00"/>
    <s v=""/>
    <s v="App"/>
    <n v="4"/>
    <s v="California"/>
    <s v="Shasta County"/>
    <x v="3"/>
    <n v="7"/>
    <e v="#NAME?"/>
  </r>
  <r>
    <s v="TX501019"/>
    <s v="Casual Dresses"/>
    <n v="15"/>
    <n v="42.1"/>
    <n v="631.5"/>
    <d v="2025-02-09T00:00:00"/>
    <d v="2025-02-11T00:00:00"/>
    <s v="F"/>
    <s v="Website"/>
    <n v="3"/>
    <s v="California"/>
    <s v="Shasta County"/>
    <x v="1"/>
    <n v="7"/>
    <e v="#NAME?"/>
  </r>
  <r>
    <s v="TX501020"/>
    <s v="T-Shirts"/>
    <n v="9"/>
    <n v="22.8"/>
    <n v="205.20000000000002"/>
    <d v="2025-02-09T00:00:00"/>
    <d v="2025-02-13T00:00:00"/>
    <s v="M"/>
    <s v="Target.com"/>
    <n v="5"/>
    <s v="California"/>
    <s v="Stanislaus County"/>
    <x v="5"/>
    <n v="7"/>
    <e v="#NAME?"/>
  </r>
  <r>
    <s v="TX501021"/>
    <s v="Sneakers"/>
    <n v="3"/>
    <n v="171.1"/>
    <n v="513.29999999999995"/>
    <d v="2025-02-10T00:00:00"/>
    <d v="2025-02-17T00:00:00"/>
    <s v="F"/>
    <s v="Target.com"/>
    <n v="3"/>
    <s v="California"/>
    <s v="Stanislaus County"/>
    <x v="6"/>
    <n v="7"/>
    <e v="#NAME?"/>
  </r>
  <r>
    <s v="TX501022"/>
    <s v="T-Shirts"/>
    <n v="1"/>
    <n v="28"/>
    <n v="28"/>
    <d v="2025-02-10T00:00:00"/>
    <d v="2025-02-12T00:00:00"/>
    <s v="M"/>
    <s v="Target.com"/>
    <n v="5"/>
    <s v="California"/>
    <s v="Alameda County"/>
    <x v="1"/>
    <n v="7"/>
    <e v="#NAME?"/>
  </r>
  <r>
    <s v="TX501023"/>
    <s v="Jeans"/>
    <n v="7"/>
    <n v="50.2"/>
    <n v="351.40000000000003"/>
    <d v="2025-02-10T00:00:00"/>
    <d v="2025-02-12T00:00:00"/>
    <s v="M"/>
    <s v="Target.com"/>
    <n v="4"/>
    <s v="California"/>
    <s v="Alameda County"/>
    <x v="1"/>
    <n v="7"/>
    <e v="#NAME?"/>
  </r>
  <r>
    <s v="TX501024"/>
    <s v="Jeans"/>
    <n v="2"/>
    <n v="56"/>
    <n v="112"/>
    <d v="2025-02-10T00:00:00"/>
    <d v="2025-02-10T00:00:00"/>
    <s v="M"/>
    <s v="App"/>
    <n v="5"/>
    <s v="California"/>
    <s v="Kern County"/>
    <x v="7"/>
    <n v="7"/>
    <e v="#NAME?"/>
  </r>
  <r>
    <s v="TX501025"/>
    <s v="Tank Tops"/>
    <n v="2"/>
    <n v="38.299999999999997"/>
    <n v="76.599999999999994"/>
    <d v="2025-02-10T00:00:00"/>
    <d v="2025-02-11T00:00:00"/>
    <s v="F"/>
    <s v="Website"/>
    <n v="4"/>
    <s v="California"/>
    <s v="Los Angeles County"/>
    <x v="3"/>
    <n v="7"/>
    <e v="#NAME?"/>
  </r>
  <r>
    <s v="TX501026"/>
    <s v="Shorts"/>
    <n v="5"/>
    <n v="22.3"/>
    <n v="111.5"/>
    <d v="2025-02-10T00:00:00"/>
    <d v="2025-02-14T00:00:00"/>
    <s v="F"/>
    <s v="Target.com"/>
    <n v="3"/>
    <s v="California"/>
    <s v="Los Angeles County"/>
    <x v="5"/>
    <n v="7"/>
    <e v="#NAME?"/>
  </r>
  <r>
    <s v="TX501027"/>
    <s v="Shorts"/>
    <n v="3"/>
    <n v="22.3"/>
    <n v="66.900000000000006"/>
    <d v="2025-02-10T00:00:00"/>
    <d v="2025-02-13T00:00:00"/>
    <s v="F"/>
    <s v="Target.com"/>
    <n v="4"/>
    <s v="California"/>
    <s v="Los Angeles County"/>
    <x v="2"/>
    <n v="7"/>
    <e v="#NAME?"/>
  </r>
  <r>
    <s v="TX501028"/>
    <s v="Tank Tops"/>
    <n v="1"/>
    <n v="32.9"/>
    <n v="32.9"/>
    <d v="2025-02-10T00:00:00"/>
    <d v="2025-02-15T00:00:00"/>
    <s v="F"/>
    <s v="App"/>
    <n v="4"/>
    <s v="California"/>
    <s v="Los Angeles County"/>
    <x v="0"/>
    <n v="7"/>
    <e v="#NAME?"/>
  </r>
  <r>
    <s v="TX501029"/>
    <s v="Bikinis"/>
    <n v="3"/>
    <n v="31.9"/>
    <n v="95.699999999999989"/>
    <d v="2025-02-10T00:00:00"/>
    <d v="2025-02-15T00:00:00"/>
    <s v="F"/>
    <s v="App"/>
    <n v="4"/>
    <s v="California"/>
    <s v="Los Angeles County"/>
    <x v="0"/>
    <n v="7"/>
    <e v="#NAME?"/>
  </r>
  <r>
    <s v="TX501030"/>
    <s v="Jeans"/>
    <n v="2"/>
    <n v="94"/>
    <n v="188"/>
    <d v="2025-02-10T00:00:00"/>
    <d v="2025-02-11T00:00:00"/>
    <s v="M"/>
    <s v="Target.com"/>
    <n v="5"/>
    <s v="California"/>
    <s v="Los Angeles County"/>
    <x v="3"/>
    <n v="7"/>
    <e v="#NAME?"/>
  </r>
  <r>
    <s v="TX501031"/>
    <s v="Bikinis"/>
    <n v="2"/>
    <n v="30.7"/>
    <n v="61.4"/>
    <d v="2025-02-10T00:00:00"/>
    <d v="2025-02-11T00:00:00"/>
    <s v="F"/>
    <s v="App"/>
    <n v="3"/>
    <s v="California"/>
    <s v="Los Angeles County"/>
    <x v="3"/>
    <n v="7"/>
    <e v="#NAME?"/>
  </r>
  <r>
    <s v="TX501032"/>
    <s v="Sandals"/>
    <n v="5"/>
    <n v="90.5"/>
    <n v="452.5"/>
    <d v="2025-02-10T00:00:00"/>
    <d v="2025-02-17T00:00:00"/>
    <s v="M"/>
    <s v="App"/>
    <n v="5"/>
    <s v="California"/>
    <s v="Los Angeles County"/>
    <x v="6"/>
    <n v="7"/>
    <e v="#NAME?"/>
  </r>
  <r>
    <s v="TX501033"/>
    <s v="T-Shirts"/>
    <n v="5"/>
    <n v="25.3"/>
    <n v="126.5"/>
    <d v="2025-02-10T00:00:00"/>
    <d v="2025-02-14T00:00:00"/>
    <s v="F"/>
    <s v="App"/>
    <n v="5"/>
    <s v="California"/>
    <s v="Los Angeles County"/>
    <x v="5"/>
    <n v="7"/>
    <e v="#NAME?"/>
  </r>
  <r>
    <s v="TX501034"/>
    <s v="Jeans"/>
    <n v="3"/>
    <n v="58.1"/>
    <n v="174.3"/>
    <d v="2025-02-10T00:00:00"/>
    <d v="2025-02-14T00:00:00"/>
    <s v=""/>
    <s v="App"/>
    <n v="5"/>
    <s v="California"/>
    <s v="Los Angeles County"/>
    <x v="5"/>
    <n v="7"/>
    <e v="#NAME?"/>
  </r>
  <r>
    <s v="TX501035"/>
    <s v="Sneakers"/>
    <n v="3"/>
    <n v="74.900000000000006"/>
    <n v="224.70000000000002"/>
    <d v="2025-02-10T00:00:00"/>
    <d v="2025-02-11T00:00:00"/>
    <s v="F"/>
    <s v="Partner App"/>
    <n v="4"/>
    <s v="California"/>
    <s v="Los Angeles County"/>
    <x v="3"/>
    <n v="7"/>
    <e v="#NAME?"/>
  </r>
  <r>
    <s v="TX501036"/>
    <s v="Graphic Tees"/>
    <n v="2"/>
    <n v="32.5"/>
    <n v="65"/>
    <d v="2025-02-10T00:00:00"/>
    <d v="2025-02-11T00:00:00"/>
    <s v="M"/>
    <s v="Target.com"/>
    <n v="5"/>
    <s v="California"/>
    <s v="Marin County"/>
    <x v="3"/>
    <n v="7"/>
    <e v="#NAME?"/>
  </r>
  <r>
    <s v="TX501037"/>
    <s v="Graphic Tees"/>
    <n v="5"/>
    <n v="62"/>
    <n v="310"/>
    <d v="2025-02-10T00:00:00"/>
    <d v="2025-02-11T00:00:00"/>
    <s v="M"/>
    <s v="Partner App"/>
    <n v="5"/>
    <s v="California"/>
    <s v="Orange County"/>
    <x v="3"/>
    <n v="7"/>
    <e v="#NAME?"/>
  </r>
  <r>
    <s v="TX501038"/>
    <s v="Tote Bags"/>
    <n v="6"/>
    <n v="28.9"/>
    <n v="173.39999999999998"/>
    <d v="2025-02-10T00:00:00"/>
    <d v="2025-02-13T00:00:00"/>
    <s v="F"/>
    <s v="App"/>
    <n v="3"/>
    <s v="California"/>
    <s v="Sacramento County"/>
    <x v="2"/>
    <n v="7"/>
    <e v="#NAME?"/>
  </r>
  <r>
    <s v="TX501039"/>
    <s v="Jeans"/>
    <n v="8"/>
    <n v="42.8"/>
    <n v="342.4"/>
    <d v="2025-02-10T00:00:00"/>
    <d v="2025-02-12T00:00:00"/>
    <s v="F"/>
    <s v="App"/>
    <n v="5"/>
    <s v="California"/>
    <s v="Sacramento County"/>
    <x v="1"/>
    <n v="7"/>
    <e v="#NAME?"/>
  </r>
  <r>
    <s v="TX501040"/>
    <s v="T-Shirts"/>
    <n v="8"/>
    <n v="39.4"/>
    <n v="315.2"/>
    <d v="2025-02-10T00:00:00"/>
    <d v="2025-02-12T00:00:00"/>
    <s v="M"/>
    <s v="App"/>
    <n v="4"/>
    <s v="California"/>
    <s v="San Benito County"/>
    <x v="1"/>
    <n v="7"/>
    <e v="#NAME?"/>
  </r>
  <r>
    <s v="TX501041"/>
    <s v="Leggings"/>
    <n v="3"/>
    <n v="66.400000000000006"/>
    <n v="199.20000000000002"/>
    <d v="2025-02-10T00:00:00"/>
    <d v="2025-02-11T00:00:00"/>
    <s v=""/>
    <s v="Target.com"/>
    <n v="3"/>
    <s v="California"/>
    <s v="San Bernardino County"/>
    <x v="3"/>
    <n v="7"/>
    <e v="#NAME?"/>
  </r>
  <r>
    <s v="TX501042"/>
    <s v="Pajama Sets"/>
    <n v="4"/>
    <n v="35.9"/>
    <n v="143.6"/>
    <d v="2025-02-10T00:00:00"/>
    <d v="2025-02-17T00:00:00"/>
    <s v="F"/>
    <s v="Website"/>
    <n v="4"/>
    <s v="California"/>
    <s v="San Bernardino County"/>
    <x v="6"/>
    <n v="7"/>
    <e v="#NAME?"/>
  </r>
  <r>
    <s v="TX501043"/>
    <s v="Shorts"/>
    <n v="4"/>
    <n v="26.9"/>
    <n v="107.6"/>
    <d v="2025-02-10T00:00:00"/>
    <d v="2025-02-11T00:00:00"/>
    <s v="M"/>
    <s v="Website"/>
    <n v="4"/>
    <s v="California"/>
    <s v="San Bernardino County"/>
    <x v="3"/>
    <n v="7"/>
    <e v="#NAME?"/>
  </r>
  <r>
    <s v="TX501044"/>
    <s v="Sneakers"/>
    <n v="1"/>
    <n v="55.1"/>
    <n v="55.1"/>
    <d v="2025-02-10T00:00:00"/>
    <d v="2025-02-11T00:00:00"/>
    <s v="F"/>
    <s v="App"/>
    <n v="4"/>
    <s v="California"/>
    <s v="San Bernardino County"/>
    <x v="3"/>
    <n v="7"/>
    <e v="#NAME?"/>
  </r>
  <r>
    <s v="TX501045"/>
    <s v="Graphic Tees"/>
    <n v="2"/>
    <n v="23.9"/>
    <n v="47.8"/>
    <d v="2025-02-10T00:00:00"/>
    <d v="2025-02-11T00:00:00"/>
    <s v="M"/>
    <s v="App"/>
    <n v="5"/>
    <s v="California"/>
    <s v="San Diego County"/>
    <x v="3"/>
    <n v="7"/>
    <e v="#NAME?"/>
  </r>
  <r>
    <s v="TX501046"/>
    <s v="Sundresses"/>
    <n v="13"/>
    <n v="21.1"/>
    <n v="274.3"/>
    <d v="2025-02-10T00:00:00"/>
    <d v="2025-02-18T00:00:00"/>
    <s v="F"/>
    <s v="App"/>
    <n v="3"/>
    <s v="California"/>
    <s v="San Diego County"/>
    <x v="9"/>
    <n v="7"/>
    <e v="#NAME?"/>
  </r>
  <r>
    <s v="TX501047"/>
    <s v="T-Shirts"/>
    <n v="5"/>
    <n v="33.799999999999997"/>
    <n v="169"/>
    <d v="2025-02-10T00:00:00"/>
    <d v="2025-02-12T00:00:00"/>
    <s v="F"/>
    <s v="App"/>
    <n v="4"/>
    <s v="California"/>
    <s v="San Diego County"/>
    <x v="1"/>
    <n v="7"/>
    <e v="#NAME?"/>
  </r>
  <r>
    <s v="TX501048"/>
    <s v="Sneakers"/>
    <n v="4"/>
    <n v="56.1"/>
    <n v="224.4"/>
    <d v="2025-02-10T00:00:00"/>
    <d v="2025-02-10T00:00:00"/>
    <s v="F"/>
    <s v="Instagram"/>
    <n v="5"/>
    <s v="California"/>
    <s v="San Mateo County"/>
    <x v="7"/>
    <n v="7"/>
    <e v="#NAME?"/>
  </r>
  <r>
    <s v="TX501049"/>
    <s v="Workout Tops"/>
    <n v="1"/>
    <n v="58.5"/>
    <n v="58.5"/>
    <d v="2025-02-11T00:00:00"/>
    <d v="2025-02-15T00:00:00"/>
    <s v="F"/>
    <s v="Website"/>
    <n v="5"/>
    <s v="California"/>
    <s v="San Mateo County"/>
    <x v="5"/>
    <n v="7"/>
    <e v="#NAME?"/>
  </r>
  <r>
    <s v="TX501050"/>
    <s v="Jeans"/>
    <n v="1"/>
    <n v="84.2"/>
    <n v="84.2"/>
    <d v="2025-02-11T00:00:00"/>
    <d v="2025-02-13T00:00:00"/>
    <s v="M"/>
    <s v="Instagram"/>
    <n v="4"/>
    <s v="California"/>
    <s v="Santa Clara County"/>
    <x v="1"/>
    <n v="7"/>
    <e v="#NAME?"/>
  </r>
  <r>
    <s v="TX501051"/>
    <s v="Maxi Dresses"/>
    <n v="4"/>
    <n v="52"/>
    <n v="208"/>
    <d v="2025-02-11T00:00:00"/>
    <d v="2025-02-14T00:00:00"/>
    <s v="M"/>
    <s v="App"/>
    <n v="4"/>
    <s v="California"/>
    <s v="Santa Clara County"/>
    <x v="2"/>
    <n v="7"/>
    <e v="#NAME?"/>
  </r>
  <r>
    <s v="TX501052"/>
    <s v="Graphic Tees"/>
    <n v="5"/>
    <n v="31.5"/>
    <n v="157.5"/>
    <d v="2025-02-11T00:00:00"/>
    <d v="2025-02-12T00:00:00"/>
    <s v="F"/>
    <s v="App"/>
    <n v="5"/>
    <s v="California"/>
    <s v="Santa Clara County"/>
    <x v="3"/>
    <n v="7"/>
    <e v="#NAME?"/>
  </r>
  <r>
    <s v="TX501053"/>
    <s v="Sunglasses"/>
    <n v="3"/>
    <n v="46.2"/>
    <n v="138.60000000000002"/>
    <d v="2025-02-11T00:00:00"/>
    <d v="2025-02-12T00:00:00"/>
    <s v="M"/>
    <s v="App"/>
    <n v="4"/>
    <s v="California"/>
    <s v="Shasta County"/>
    <x v="3"/>
    <n v="7"/>
    <e v="#NAME?"/>
  </r>
  <r>
    <s v="TX501054"/>
    <s v="Sneakers"/>
    <n v="6"/>
    <n v="135"/>
    <n v="810"/>
    <d v="2025-02-11T00:00:00"/>
    <d v="2025-02-12T00:00:00"/>
    <s v="F"/>
    <s v="Website"/>
    <n v="5"/>
    <s v="California"/>
    <s v="Sonoma County"/>
    <x v="3"/>
    <n v="7"/>
    <e v="#NAME?"/>
  </r>
  <r>
    <s v="TX501055"/>
    <s v="Casual Dresses"/>
    <n v="3"/>
    <n v="92.2"/>
    <n v="276.60000000000002"/>
    <d v="2025-02-11T00:00:00"/>
    <d v="2025-02-15T00:00:00"/>
    <s v="M"/>
    <s v="App"/>
    <n v="4"/>
    <s v="California"/>
    <s v="Alameda County"/>
    <x v="5"/>
    <n v="7"/>
    <e v="#NAME?"/>
  </r>
  <r>
    <s v="TX501056"/>
    <s v="T-Shirts"/>
    <n v="1"/>
    <n v="36.6"/>
    <n v="36.6"/>
    <d v="2025-02-11T00:00:00"/>
    <d v="2025-02-13T00:00:00"/>
    <s v="M"/>
    <s v="Target.com"/>
    <n v="5"/>
    <s v="California"/>
    <s v="Alameda County"/>
    <x v="1"/>
    <n v="7"/>
    <e v="#NAME?"/>
  </r>
  <r>
    <s v="TX501057"/>
    <s v="Sundresses"/>
    <n v="2"/>
    <n v="50.6"/>
    <n v="101.2"/>
    <d v="2025-02-11T00:00:00"/>
    <d v="2025-02-14T00:00:00"/>
    <s v="F"/>
    <s v="App"/>
    <n v="4"/>
    <s v="California"/>
    <s v="Fresno County"/>
    <x v="2"/>
    <n v="7"/>
    <e v="#NAME?"/>
  </r>
  <r>
    <s v="TX501058"/>
    <s v="Leggings"/>
    <n v="7"/>
    <n v="56.7"/>
    <n v="396.90000000000003"/>
    <d v="2025-02-11T00:00:00"/>
    <d v="2025-02-14T00:00:00"/>
    <s v="F"/>
    <s v="App"/>
    <n v="4"/>
    <s v="California"/>
    <s v="Fresno County"/>
    <x v="2"/>
    <n v="7"/>
    <e v="#NAME?"/>
  </r>
  <r>
    <s v="TX501059"/>
    <s v="Sundresses"/>
    <n v="13"/>
    <n v="22.9"/>
    <n v="297.7"/>
    <d v="2025-02-11T00:00:00"/>
    <d v="2025-02-12T00:00:00"/>
    <s v="F"/>
    <s v="App"/>
    <n v="3"/>
    <s v="California"/>
    <s v="Humboldt County"/>
    <x v="3"/>
    <n v="7"/>
    <e v="#NAME?"/>
  </r>
  <r>
    <s v="TX501060"/>
    <s v="Crop Tops"/>
    <n v="19"/>
    <n v="53.6"/>
    <n v="1018.4"/>
    <d v="2025-02-11T00:00:00"/>
    <d v="2025-02-12T00:00:00"/>
    <s v="M"/>
    <s v="App"/>
    <n v="4"/>
    <s v="California"/>
    <s v="Kern County"/>
    <x v="3"/>
    <n v="7"/>
    <e v="#NAME?"/>
  </r>
  <r>
    <s v="TX501061"/>
    <s v="Leggings"/>
    <n v="2"/>
    <n v="30.2"/>
    <n v="60.4"/>
    <d v="2025-02-11T00:00:00"/>
    <d v="2025-02-13T00:00:00"/>
    <s v=""/>
    <s v="Target.com"/>
    <n v="5"/>
    <s v="California"/>
    <s v="Los Angeles County"/>
    <x v="1"/>
    <n v="7"/>
    <e v="#NAME?"/>
  </r>
  <r>
    <s v="TX501062"/>
    <s v="Crop Tops"/>
    <n v="6"/>
    <n v="83.4"/>
    <n v="500.40000000000003"/>
    <d v="2025-02-11T00:00:00"/>
    <d v="2025-02-12T00:00:00"/>
    <s v="M"/>
    <s v="Website"/>
    <n v="5"/>
    <s v="California"/>
    <s v="Los Angeles County"/>
    <x v="3"/>
    <n v="7"/>
    <e v="#NAME?"/>
  </r>
  <r>
    <s v="TX501063"/>
    <s v="Tote Bags"/>
    <n v="12"/>
    <n v="16.600000000000001"/>
    <n v="199.20000000000002"/>
    <d v="2025-02-11T00:00:00"/>
    <d v="2025-02-13T00:00:00"/>
    <s v="M"/>
    <s v="Website"/>
    <n v="4"/>
    <s v="California"/>
    <s v="Los Angeles County"/>
    <x v="1"/>
    <n v="7"/>
    <e v="#NAME?"/>
  </r>
  <r>
    <s v="TX501064"/>
    <s v="T-Shirts"/>
    <n v="17"/>
    <n v="21.9"/>
    <n v="372.29999999999995"/>
    <d v="2025-02-11T00:00:00"/>
    <d v="2025-02-13T00:00:00"/>
    <s v="F"/>
    <s v="Partner App"/>
    <n v="3"/>
    <s v="California"/>
    <s v="Los Angeles County"/>
    <x v="1"/>
    <n v="7"/>
    <e v="#NAME?"/>
  </r>
  <r>
    <s v="TX501065"/>
    <s v="T-Shirts"/>
    <n v="28"/>
    <n v="33.799999999999997"/>
    <n v="946.39999999999986"/>
    <d v="2025-02-11T00:00:00"/>
    <d v="2025-02-13T00:00:00"/>
    <s v="M"/>
    <s v="Target.com"/>
    <n v="2"/>
    <s v="California"/>
    <s v="Los Angeles County"/>
    <x v="1"/>
    <n v="7"/>
    <e v="#NAME?"/>
  </r>
  <r>
    <s v="TX501066"/>
    <s v="Leggings"/>
    <n v="2"/>
    <n v="53.2"/>
    <n v="106.4"/>
    <d v="2025-02-11T00:00:00"/>
    <d v="2025-02-11T00:00:00"/>
    <s v="M"/>
    <s v="Website"/>
    <n v="4"/>
    <s v="California"/>
    <s v="Los Angeles County"/>
    <x v="7"/>
    <n v="7"/>
    <e v="#NAME?"/>
  </r>
  <r>
    <s v="TX501067"/>
    <s v="Sneakers"/>
    <n v="2"/>
    <n v="176.7"/>
    <n v="353.4"/>
    <d v="2025-02-11T00:00:00"/>
    <d v="2025-02-14T00:00:00"/>
    <s v="F"/>
    <s v="Target.com"/>
    <n v="4"/>
    <s v="California"/>
    <s v="Los Angeles County"/>
    <x v="2"/>
    <n v="7"/>
    <e v="#NAME?"/>
  </r>
  <r>
    <s v="TX501068"/>
    <s v="Casual Dresses"/>
    <n v="3"/>
    <n v="54"/>
    <n v="162"/>
    <d v="2025-02-11T00:00:00"/>
    <d v="2025-02-14T00:00:00"/>
    <s v="M"/>
    <s v="App"/>
    <n v="3"/>
    <s v="California"/>
    <s v="Los Angeles County"/>
    <x v="2"/>
    <n v="7"/>
    <e v="#NAME?"/>
  </r>
  <r>
    <s v="TX501069"/>
    <s v="Sundresses"/>
    <n v="2"/>
    <n v="70.099999999999994"/>
    <n v="140.19999999999999"/>
    <d v="2025-02-11T00:00:00"/>
    <d v="2025-02-19T00:00:00"/>
    <s v="F"/>
    <s v="Instagram"/>
    <n v="5"/>
    <s v="California"/>
    <s v="Los Angeles County"/>
    <x v="9"/>
    <n v="7"/>
    <e v="#NAME?"/>
  </r>
  <r>
    <s v="TX501070"/>
    <s v="T-Shirts"/>
    <n v="1"/>
    <n v="26.5"/>
    <n v="26.5"/>
    <d v="2025-02-11T00:00:00"/>
    <d v="2025-02-13T00:00:00"/>
    <s v="F"/>
    <s v="Website"/>
    <n v="4"/>
    <s v="California"/>
    <s v="Los Angeles County"/>
    <x v="1"/>
    <n v="7"/>
    <e v="#NAME?"/>
  </r>
  <r>
    <s v="TX501071"/>
    <s v="Hoodies &amp; Sweatshirts"/>
    <n v="5"/>
    <n v="89"/>
    <n v="445"/>
    <d v="2025-02-11T00:00:00"/>
    <d v="2025-02-13T00:00:00"/>
    <s v="M"/>
    <s v="Target.com"/>
    <n v="2"/>
    <s v="California"/>
    <s v="Los Angeles County"/>
    <x v="1"/>
    <n v="7"/>
    <e v="#NAME?"/>
  </r>
  <r>
    <s v="TX501072"/>
    <s v="Tank Tops"/>
    <n v="6"/>
    <n v="47"/>
    <n v="282"/>
    <d v="2025-02-11T00:00:00"/>
    <d v="2025-02-14T00:00:00"/>
    <s v="F"/>
    <s v="Instagram"/>
    <n v="4"/>
    <s v="California"/>
    <s v="Merced County"/>
    <x v="2"/>
    <n v="7"/>
    <e v="#NAME?"/>
  </r>
  <r>
    <s v="TX501073"/>
    <s v="Workout Tops"/>
    <n v="2"/>
    <n v="55.2"/>
    <n v="110.4"/>
    <d v="2025-02-11T00:00:00"/>
    <d v="2025-02-14T00:00:00"/>
    <s v="M"/>
    <s v="Website"/>
    <n v="3"/>
    <s v="California"/>
    <s v="Sacramento County"/>
    <x v="2"/>
    <n v="7"/>
    <e v="#NAME?"/>
  </r>
  <r>
    <s v="TX501074"/>
    <s v="T-Shirts"/>
    <n v="42"/>
    <n v="33.299999999999997"/>
    <n v="1398.6"/>
    <d v="2025-02-11T00:00:00"/>
    <d v="2025-02-25T00:00:00"/>
    <s v="M"/>
    <s v="Website"/>
    <n v="5"/>
    <s v="California"/>
    <s v="Sacramento County"/>
    <x v="12"/>
    <n v="7"/>
    <e v="#NAME?"/>
  </r>
  <r>
    <s v="TX501075"/>
    <s v="Sneakers"/>
    <n v="4"/>
    <n v="110.9"/>
    <n v="443.6"/>
    <d v="2025-02-12T00:00:00"/>
    <d v="2025-02-12T00:00:00"/>
    <s v="M"/>
    <s v="Target.com"/>
    <n v="2"/>
    <s v="California"/>
    <s v="Sacramento County"/>
    <x v="7"/>
    <n v="7"/>
    <e v="#NAME?"/>
  </r>
  <r>
    <s v="TX501076"/>
    <s v="Sneakers"/>
    <n v="6"/>
    <n v="67.3"/>
    <n v="403.79999999999995"/>
    <d v="2025-02-12T00:00:00"/>
    <d v="2025-02-13T00:00:00"/>
    <s v="M"/>
    <s v="App"/>
    <n v="4"/>
    <s v="California"/>
    <s v="San Diego County"/>
    <x v="3"/>
    <n v="7"/>
    <e v="#NAME?"/>
  </r>
  <r>
    <s v="TX501077"/>
    <s v="Jeans"/>
    <n v="3"/>
    <n v="69.7"/>
    <n v="209.10000000000002"/>
    <d v="2025-02-12T00:00:00"/>
    <d v="2025-02-13T00:00:00"/>
    <s v="M"/>
    <s v="Target.com"/>
    <n v="3"/>
    <s v="California"/>
    <s v="San Diego County"/>
    <x v="3"/>
    <n v="7"/>
    <e v="#NAME?"/>
  </r>
  <r>
    <s v="TX501078"/>
    <s v="Sandals"/>
    <n v="1"/>
    <n v="39.1"/>
    <n v="39.1"/>
    <d v="2025-02-12T00:00:00"/>
    <d v="2025-02-17T00:00:00"/>
    <s v="M"/>
    <s v="App"/>
    <n v="3"/>
    <s v="California"/>
    <s v="San Francisco"/>
    <x v="0"/>
    <n v="7"/>
    <e v="#NAME?"/>
  </r>
  <r>
    <s v="TX501079"/>
    <s v="Sneakers"/>
    <n v="3"/>
    <n v="208.6"/>
    <n v="625.79999999999995"/>
    <d v="2025-02-12T00:00:00"/>
    <d v="2025-02-12T00:00:00"/>
    <s v="M"/>
    <s v="Partner App"/>
    <n v="5"/>
    <s v="California"/>
    <s v="San Francisco"/>
    <x v="7"/>
    <n v="7"/>
    <e v="#NAME?"/>
  </r>
  <r>
    <s v="TX501080"/>
    <s v="Crop Tops"/>
    <n v="3"/>
    <n v="27.8"/>
    <n v="83.4"/>
    <d v="2025-02-12T00:00:00"/>
    <d v="2025-02-13T00:00:00"/>
    <s v="M"/>
    <s v="Instagram"/>
    <n v="3"/>
    <s v="California"/>
    <s v="Santa Clara County"/>
    <x v="3"/>
    <n v="7"/>
    <e v="#NAME?"/>
  </r>
  <r>
    <s v="TX501081"/>
    <s v="Bikinis"/>
    <n v="5"/>
    <n v="29.4"/>
    <n v="147"/>
    <d v="2025-02-12T00:00:00"/>
    <d v="2025-02-14T00:00:00"/>
    <s v="F"/>
    <s v="App"/>
    <n v="4"/>
    <s v="California"/>
    <s v="Santa Clara County"/>
    <x v="1"/>
    <n v="7"/>
    <e v="#NAME?"/>
  </r>
  <r>
    <s v="TX501082"/>
    <s v="Sundresses"/>
    <n v="2"/>
    <n v="29.2"/>
    <n v="58.4"/>
    <d v="2025-02-12T00:00:00"/>
    <d v="2025-02-14T00:00:00"/>
    <s v="F"/>
    <s v="Website"/>
    <n v="5"/>
    <s v="California"/>
    <s v="Tulare County"/>
    <x v="1"/>
    <n v="7"/>
    <e v="#NAME?"/>
  </r>
  <r>
    <s v="TX501083"/>
    <s v="Bikinis"/>
    <n v="5"/>
    <n v="26.5"/>
    <n v="132.5"/>
    <d v="2025-02-12T00:00:00"/>
    <d v="2025-02-14T00:00:00"/>
    <s v="F"/>
    <s v="App"/>
    <n v="4"/>
    <s v="California"/>
    <s v="Tuolumne County"/>
    <x v="1"/>
    <n v="7"/>
    <e v="#NAME?"/>
  </r>
  <r>
    <s v="TX501084"/>
    <s v="Sandals"/>
    <n v="1"/>
    <n v="30.3"/>
    <n v="30.3"/>
    <d v="2025-02-12T00:00:00"/>
    <d v="2025-02-13T00:00:00"/>
    <s v="F"/>
    <s v="Partner App"/>
    <n v="3"/>
    <s v="California"/>
    <s v="Ventura County"/>
    <x v="3"/>
    <n v="7"/>
    <e v="#NAME?"/>
  </r>
  <r>
    <s v="TX501085"/>
    <s v="Sunglasses"/>
    <n v="12"/>
    <n v="39.700000000000003"/>
    <n v="476.40000000000003"/>
    <d v="2025-02-12T00:00:00"/>
    <d v="2025-02-13T00:00:00"/>
    <s v="F"/>
    <s v="App"/>
    <n v="4"/>
    <s v="California"/>
    <s v="Alameda County"/>
    <x v="3"/>
    <n v="7"/>
    <e v="#NAME?"/>
  </r>
  <r>
    <s v="TX501086"/>
    <s v="Hoodies &amp; Sweatshirts"/>
    <n v="10"/>
    <n v="58.9"/>
    <n v="589"/>
    <d v="2025-02-12T00:00:00"/>
    <d v="2025-02-14T00:00:00"/>
    <s v="F"/>
    <s v="Website"/>
    <n v="2"/>
    <s v="California"/>
    <s v="Alameda County"/>
    <x v="1"/>
    <n v="7"/>
    <e v="#NAME?"/>
  </r>
  <r>
    <s v="TX501087"/>
    <s v="Sneakers"/>
    <n v="2"/>
    <n v="174.1"/>
    <n v="348.2"/>
    <d v="2025-02-12T00:00:00"/>
    <d v="2025-02-14T00:00:00"/>
    <s v="F"/>
    <s v="App"/>
    <n v="3"/>
    <s v="California"/>
    <s v="Amador County"/>
    <x v="1"/>
    <n v="7"/>
    <e v="#NAME?"/>
  </r>
  <r>
    <s v="TX501088"/>
    <s v="Jeans"/>
    <n v="2"/>
    <n v="70.8"/>
    <n v="141.6"/>
    <d v="2025-02-12T00:00:00"/>
    <d v="2025-02-15T00:00:00"/>
    <s v="M"/>
    <s v="Target.com"/>
    <n v="4"/>
    <s v="California"/>
    <s v="Kern County"/>
    <x v="2"/>
    <n v="7"/>
    <e v="#NAME?"/>
  </r>
  <r>
    <s v="TX501089"/>
    <s v="Hoodies &amp; Sweatshirts"/>
    <n v="2"/>
    <n v="57.4"/>
    <n v="114.8"/>
    <d v="2025-02-12T00:00:00"/>
    <d v="2025-02-14T00:00:00"/>
    <s v="F"/>
    <s v="Website"/>
    <n v="3"/>
    <s v="California"/>
    <s v="Kings County"/>
    <x v="1"/>
    <n v="7"/>
    <e v="#NAME?"/>
  </r>
  <r>
    <s v="TX501090"/>
    <s v="Shorts"/>
    <n v="2"/>
    <n v="28.5"/>
    <n v="57"/>
    <d v="2025-02-12T00:00:00"/>
    <d v="2025-02-14T00:00:00"/>
    <s v="M"/>
    <s v="Instagram"/>
    <n v="3"/>
    <s v="California"/>
    <s v="Los Angeles County"/>
    <x v="1"/>
    <n v="7"/>
    <e v="#NAME?"/>
  </r>
  <r>
    <s v="TX501091"/>
    <s v="Sneakers"/>
    <n v="20"/>
    <n v="106.6"/>
    <n v="2132"/>
    <d v="2025-02-12T00:00:00"/>
    <d v="2025-02-13T00:00:00"/>
    <s v=""/>
    <s v="Website"/>
    <n v="2"/>
    <s v="California"/>
    <s v="Los Angeles County"/>
    <x v="3"/>
    <n v="7"/>
    <e v="#NAME?"/>
  </r>
  <r>
    <s v="TX501092"/>
    <s v="Sneakers"/>
    <n v="3"/>
    <n v="119.7"/>
    <n v="359.1"/>
    <d v="2025-02-12T00:00:00"/>
    <d v="2025-02-13T00:00:00"/>
    <s v="F"/>
    <s v="Website"/>
    <n v="2"/>
    <s v="California"/>
    <s v="Los Angeles County"/>
    <x v="3"/>
    <n v="7"/>
    <e v="#NAME?"/>
  </r>
  <r>
    <s v="TX501093"/>
    <s v="Leggings"/>
    <n v="1"/>
    <n v="73.3"/>
    <n v="73.3"/>
    <d v="2025-02-12T00:00:00"/>
    <d v="2025-02-17T00:00:00"/>
    <s v="F"/>
    <s v="App"/>
    <n v="5"/>
    <s v="California"/>
    <s v="Los Angeles County"/>
    <x v="0"/>
    <n v="7"/>
    <e v="#NAME?"/>
  </r>
  <r>
    <s v="TX501094"/>
    <s v="Shorts"/>
    <n v="2"/>
    <n v="25.8"/>
    <n v="51.6"/>
    <d v="2025-02-12T00:00:00"/>
    <d v="2025-02-26T00:00:00"/>
    <s v="M"/>
    <s v="Target.com"/>
    <n v="4"/>
    <s v="California"/>
    <s v="Los Angeles County"/>
    <x v="12"/>
    <n v="7"/>
    <e v="#NAME?"/>
  </r>
  <r>
    <s v="TX501095"/>
    <s v="Pajama Sets"/>
    <n v="3"/>
    <n v="49.1"/>
    <n v="147.30000000000001"/>
    <d v="2025-02-12T00:00:00"/>
    <d v="2025-02-14T00:00:00"/>
    <s v="F"/>
    <s v="App"/>
    <n v="4"/>
    <s v="California"/>
    <s v="Merced County"/>
    <x v="1"/>
    <n v="7"/>
    <e v="#NAME?"/>
  </r>
  <r>
    <s v="TX501096"/>
    <s v="Tank Tops"/>
    <n v="1"/>
    <n v="44.9"/>
    <n v="44.9"/>
    <d v="2025-02-12T00:00:00"/>
    <d v="2025-02-15T00:00:00"/>
    <s v="F"/>
    <s v="Instagram"/>
    <n v="5"/>
    <s v="California"/>
    <s v="Sacramento County"/>
    <x v="2"/>
    <n v="7"/>
    <e v="#NAME?"/>
  </r>
  <r>
    <s v="TX501097"/>
    <s v="Crop Tops"/>
    <n v="7"/>
    <n v="29.9"/>
    <n v="209.29999999999998"/>
    <d v="2025-02-12T00:00:00"/>
    <d v="2025-02-13T00:00:00"/>
    <s v="F"/>
    <s v="App"/>
    <n v="4"/>
    <s v="California"/>
    <s v="Sacramento County"/>
    <x v="3"/>
    <n v="7"/>
    <e v="#NAME?"/>
  </r>
  <r>
    <s v="TX501098"/>
    <s v="Hoodies &amp; Sweatshirts"/>
    <n v="2"/>
    <n v="54.3"/>
    <n v="108.6"/>
    <d v="2025-02-13T00:00:00"/>
    <d v="2025-02-14T00:00:00"/>
    <s v="M"/>
    <s v="Instagram"/>
    <n v="4"/>
    <s v="California"/>
    <s v="San Benito County"/>
    <x v="3"/>
    <n v="7"/>
    <e v="#NAME?"/>
  </r>
  <r>
    <s v="TX501099"/>
    <s v="Sundresses"/>
    <n v="4"/>
    <n v="57"/>
    <n v="228"/>
    <d v="2025-02-13T00:00:00"/>
    <d v="2025-02-15T00:00:00"/>
    <s v="F"/>
    <s v="App"/>
    <n v="4"/>
    <s v="California"/>
    <s v="San Diego County"/>
    <x v="1"/>
    <n v="7"/>
    <e v="#NAME?"/>
  </r>
  <r>
    <s v="TX501100"/>
    <s v="Sneakers"/>
    <n v="1"/>
    <n v="139.19999999999999"/>
    <n v="139.19999999999999"/>
    <d v="2025-02-13T00:00:00"/>
    <d v="2025-02-14T00:00:00"/>
    <s v="F"/>
    <s v="Instagram"/>
    <n v="5"/>
    <s v="California"/>
    <s v="San Diego County"/>
    <x v="3"/>
    <n v="7"/>
    <e v="#NAME?"/>
  </r>
  <r>
    <s v="TX501101"/>
    <s v="Bikinis"/>
    <n v="1"/>
    <n v="33"/>
    <n v="33"/>
    <d v="2025-02-13T00:00:00"/>
    <d v="2025-02-16T00:00:00"/>
    <s v="F"/>
    <s v="App"/>
    <n v="5"/>
    <s v="California"/>
    <s v="San Diego County"/>
    <x v="2"/>
    <n v="7"/>
    <e v="#NAME?"/>
  </r>
  <r>
    <s v="TX501102"/>
    <s v="Maxi Dresses"/>
    <n v="6"/>
    <n v="80.2"/>
    <n v="481.20000000000005"/>
    <d v="2025-02-13T00:00:00"/>
    <d v="2025-02-15T00:00:00"/>
    <s v="M"/>
    <s v="Website"/>
    <n v="2"/>
    <s v="California"/>
    <s v="San Diego County"/>
    <x v="1"/>
    <n v="7"/>
    <e v="#NAME?"/>
  </r>
  <r>
    <s v="TX501103"/>
    <s v="Leggings"/>
    <n v="8"/>
    <n v="49"/>
    <n v="392"/>
    <d v="2025-02-13T00:00:00"/>
    <d v="2025-02-14T00:00:00"/>
    <s v=""/>
    <s v="Target.com"/>
    <n v="3"/>
    <s v="California"/>
    <s v="San Mateo County"/>
    <x v="3"/>
    <n v="7"/>
    <e v="#NAME?"/>
  </r>
  <r>
    <s v="TX501104"/>
    <s v="Tank Tops"/>
    <n v="4"/>
    <n v="104.4"/>
    <n v="417.6"/>
    <d v="2025-02-13T00:00:00"/>
    <d v="2025-02-13T00:00:00"/>
    <s v="F"/>
    <s v="App"/>
    <n v="4"/>
    <s v="California"/>
    <s v="San Mateo County"/>
    <x v="7"/>
    <n v="7"/>
    <e v="#NAME?"/>
  </r>
  <r>
    <s v="TX501105"/>
    <s v="Workout Tops"/>
    <n v="1"/>
    <n v="41.6"/>
    <n v="41.6"/>
    <d v="2025-02-13T00:00:00"/>
    <d v="2025-02-16T00:00:00"/>
    <s v="M"/>
    <s v="Instagram"/>
    <n v="4"/>
    <s v="California"/>
    <s v="Santa Clara County"/>
    <x v="2"/>
    <n v="7"/>
    <e v="#NAME?"/>
  </r>
  <r>
    <s v="TX501106"/>
    <s v="Jewelry"/>
    <n v="2"/>
    <n v="16.399999999999999"/>
    <n v="32.799999999999997"/>
    <d v="2025-02-13T00:00:00"/>
    <d v="2025-02-14T00:00:00"/>
    <s v="O"/>
    <s v="App"/>
    <n v="5"/>
    <s v="California"/>
    <s v="Santa Clara County"/>
    <x v="3"/>
    <n v="7"/>
    <e v="#NAME?"/>
  </r>
  <r>
    <s v="TX501107"/>
    <s v="T-Shirts"/>
    <n v="2"/>
    <n v="22"/>
    <n v="44"/>
    <d v="2025-02-13T00:00:00"/>
    <d v="2025-02-14T00:00:00"/>
    <s v="M"/>
    <s v="Target.com"/>
    <n v="5"/>
    <s v="California"/>
    <s v="Shasta County"/>
    <x v="3"/>
    <n v="7"/>
    <e v="#NAME?"/>
  </r>
  <r>
    <s v="TX501108"/>
    <s v="Crop Tops"/>
    <n v="2"/>
    <n v="33.6"/>
    <n v="67.2"/>
    <d v="2025-02-13T00:00:00"/>
    <d v="2025-02-18T00:00:00"/>
    <s v="F"/>
    <s v="App"/>
    <n v="4"/>
    <s v="California"/>
    <s v="Alameda County"/>
    <x v="0"/>
    <n v="7"/>
    <e v="#NAME?"/>
  </r>
  <r>
    <s v="TX501109"/>
    <s v="Maxi Dresses"/>
    <n v="6"/>
    <n v="43"/>
    <n v="258"/>
    <d v="2025-02-13T00:00:00"/>
    <d v="2025-02-14T00:00:00"/>
    <s v="F"/>
    <s v="Target.com"/>
    <n v="4"/>
    <s v="California"/>
    <s v="Alameda County"/>
    <x v="3"/>
    <n v="7"/>
    <e v="#NAME?"/>
  </r>
  <r>
    <s v="TX501110"/>
    <s v="Jeans"/>
    <n v="5"/>
    <n v="108.8"/>
    <n v="544"/>
    <d v="2025-02-13T00:00:00"/>
    <d v="2025-02-16T00:00:00"/>
    <s v="F"/>
    <s v="Partner App"/>
    <n v="5"/>
    <s v="California"/>
    <s v="Alameda County"/>
    <x v="2"/>
    <n v="7"/>
    <e v="#NAME?"/>
  </r>
  <r>
    <s v="TX501111"/>
    <s v="Shorts"/>
    <n v="9"/>
    <n v="29.3"/>
    <n v="263.7"/>
    <d v="2025-02-13T00:00:00"/>
    <d v="2025-02-15T00:00:00"/>
    <s v="M"/>
    <s v="Partner App"/>
    <n v="5"/>
    <s v="California"/>
    <s v="Alameda County"/>
    <x v="1"/>
    <n v="7"/>
    <e v="#NAME?"/>
  </r>
  <r>
    <s v="TX501112"/>
    <s v="Sneakers"/>
    <n v="1"/>
    <n v="122.7"/>
    <n v="122.7"/>
    <d v="2025-02-13T00:00:00"/>
    <d v="2025-02-16T00:00:00"/>
    <s v="O"/>
    <s v="App"/>
    <n v="5"/>
    <s v="California"/>
    <s v="Contra Costa County"/>
    <x v="2"/>
    <n v="7"/>
    <e v="#NAME?"/>
  </r>
  <r>
    <s v="TX501113"/>
    <s v="Graphic Tees"/>
    <n v="7"/>
    <n v="22.9"/>
    <n v="160.29999999999998"/>
    <d v="2025-02-13T00:00:00"/>
    <d v="2025-02-14T00:00:00"/>
    <s v="F"/>
    <s v="App"/>
    <n v="4"/>
    <s v="California"/>
    <s v="El Dorado County"/>
    <x v="3"/>
    <n v="7"/>
    <e v="#NAME?"/>
  </r>
  <r>
    <s v="TX501114"/>
    <s v="T-Shirts"/>
    <n v="10"/>
    <n v="25.5"/>
    <n v="255"/>
    <d v="2025-02-13T00:00:00"/>
    <d v="2025-02-20T00:00:00"/>
    <s v="F"/>
    <s v="App"/>
    <n v="4"/>
    <s v="California"/>
    <s v="Imperial County"/>
    <x v="6"/>
    <n v="7"/>
    <e v="#NAME?"/>
  </r>
  <r>
    <s v="TX501115"/>
    <s v="Pajama Sets"/>
    <n v="3"/>
    <n v="23.4"/>
    <n v="70.199999999999989"/>
    <d v="2025-02-13T00:00:00"/>
    <d v="2025-02-17T00:00:00"/>
    <s v="F"/>
    <s v="App"/>
    <n v="5"/>
    <s v="California"/>
    <s v="Los Angeles County"/>
    <x v="5"/>
    <n v="7"/>
    <e v="#NAME?"/>
  </r>
  <r>
    <s v="TX501116"/>
    <s v="Sandals"/>
    <n v="8"/>
    <n v="27.4"/>
    <n v="219.2"/>
    <d v="2025-02-13T00:00:00"/>
    <d v="2025-02-16T00:00:00"/>
    <s v="F"/>
    <s v="Target.com"/>
    <n v="4"/>
    <s v="California"/>
    <s v="Los Angeles County"/>
    <x v="2"/>
    <n v="7"/>
    <e v="#NAME?"/>
  </r>
  <r>
    <s v="TX501117"/>
    <s v="Sandals"/>
    <n v="5"/>
    <n v="68.400000000000006"/>
    <n v="342"/>
    <d v="2025-02-13T00:00:00"/>
    <d v="2025-02-14T00:00:00"/>
    <s v="F"/>
    <s v="App"/>
    <n v="4"/>
    <s v="California"/>
    <s v="Los Angeles County"/>
    <x v="3"/>
    <n v="7"/>
    <e v="#NAME?"/>
  </r>
  <r>
    <s v="TX501118"/>
    <s v="Jeans"/>
    <n v="1"/>
    <n v="51.9"/>
    <n v="51.9"/>
    <d v="2025-02-13T00:00:00"/>
    <d v="2025-02-13T00:00:00"/>
    <s v="F"/>
    <s v="App"/>
    <n v="4"/>
    <s v="California"/>
    <s v="Los Angeles County"/>
    <x v="7"/>
    <n v="7"/>
    <e v="#NAME?"/>
  </r>
  <r>
    <s v="TX501119"/>
    <s v="Shorts"/>
    <n v="5"/>
    <n v="26.4"/>
    <n v="132"/>
    <d v="2025-02-13T00:00:00"/>
    <d v="2025-02-16T00:00:00"/>
    <s v="F"/>
    <s v="App"/>
    <n v="5"/>
    <s v="California"/>
    <s v="Los Angeles County"/>
    <x v="2"/>
    <n v="7"/>
    <e v="#NAME?"/>
  </r>
  <r>
    <s v="TX501120"/>
    <s v="Casual Dresses"/>
    <n v="2"/>
    <n v="117"/>
    <n v="234"/>
    <d v="2025-02-13T00:00:00"/>
    <d v="2025-02-14T00:00:00"/>
    <s v="F"/>
    <s v="Website"/>
    <n v="3"/>
    <s v="California"/>
    <s v="Los Angeles County"/>
    <x v="3"/>
    <n v="7"/>
    <e v="#NAME?"/>
  </r>
  <r>
    <s v="TX501121"/>
    <s v="Hoodies &amp; Sweatshirts"/>
    <n v="3"/>
    <n v="49.6"/>
    <n v="148.80000000000001"/>
    <d v="2025-02-14T00:00:00"/>
    <d v="2025-02-16T00:00:00"/>
    <s v="F"/>
    <s v="App"/>
    <n v="4"/>
    <s v="California"/>
    <s v="Los Angeles County"/>
    <x v="1"/>
    <n v="7"/>
    <e v="#NAME?"/>
  </r>
  <r>
    <s v="TX501122"/>
    <s v="Graphic Tees"/>
    <n v="3"/>
    <n v="38"/>
    <n v="114"/>
    <d v="2025-02-14T00:00:00"/>
    <d v="2025-02-17T00:00:00"/>
    <s v="M"/>
    <s v="Target.com"/>
    <n v="2"/>
    <s v="California"/>
    <s v="Los Angeles County"/>
    <x v="2"/>
    <n v="7"/>
    <e v="#NAME?"/>
  </r>
  <r>
    <s v="TX501123"/>
    <s v="Shorts"/>
    <n v="3"/>
    <n v="20.6"/>
    <n v="61.800000000000004"/>
    <d v="2025-02-14T00:00:00"/>
    <d v="2025-02-16T00:00:00"/>
    <s v="F"/>
    <s v="Partner App"/>
    <n v="5"/>
    <s v="California"/>
    <s v="Los Angeles County"/>
    <x v="1"/>
    <n v="7"/>
    <e v="#NAME?"/>
  </r>
  <r>
    <s v="TX501124"/>
    <s v="Shorts"/>
    <n v="2"/>
    <n v="16"/>
    <n v="32"/>
    <d v="2025-02-14T00:00:00"/>
    <d v="2025-02-15T00:00:00"/>
    <s v="M"/>
    <s v="Website"/>
    <n v="3"/>
    <s v="California"/>
    <s v="Monterey County"/>
    <x v="3"/>
    <n v="7"/>
    <e v="#NAME?"/>
  </r>
  <r>
    <s v="TX501125"/>
    <s v="Crop Tops"/>
    <n v="4"/>
    <n v="49.3"/>
    <n v="197.2"/>
    <d v="2025-02-14T00:00:00"/>
    <d v="2025-02-15T00:00:00"/>
    <s v="F"/>
    <s v="Target.com"/>
    <n v="4"/>
    <s v="California"/>
    <s v="Riverside County"/>
    <x v="3"/>
    <n v="7"/>
    <e v="#NAME?"/>
  </r>
  <r>
    <s v="TX501126"/>
    <s v="Sundresses"/>
    <n v="2"/>
    <n v="24.1"/>
    <n v="48.2"/>
    <d v="2025-02-14T00:00:00"/>
    <d v="2025-02-18T00:00:00"/>
    <s v="F"/>
    <s v="App"/>
    <n v="4"/>
    <s v="California"/>
    <s v="Sacramento County"/>
    <x v="5"/>
    <n v="7"/>
    <e v="#NAME?"/>
  </r>
  <r>
    <s v="TX501127"/>
    <s v="Crop Tops"/>
    <n v="8"/>
    <n v="32.700000000000003"/>
    <n v="261.60000000000002"/>
    <d v="2025-02-14T00:00:00"/>
    <d v="2025-02-15T00:00:00"/>
    <s v="F"/>
    <s v="Website"/>
    <n v="4"/>
    <s v="California"/>
    <s v="Sacramento County"/>
    <x v="3"/>
    <n v="7"/>
    <e v="#NAME?"/>
  </r>
  <r>
    <s v="TX501128"/>
    <s v="Jeans"/>
    <n v="3"/>
    <n v="74.400000000000006"/>
    <n v="223.20000000000002"/>
    <d v="2025-02-14T00:00:00"/>
    <d v="2025-02-15T00:00:00"/>
    <s v="F"/>
    <s v="Instagram"/>
    <n v="5"/>
    <s v="California"/>
    <s v="San Diego County"/>
    <x v="3"/>
    <n v="7"/>
    <e v="#NAME?"/>
  </r>
  <r>
    <s v="TX501129"/>
    <s v="Casual Dresses"/>
    <n v="1"/>
    <n v="45.6"/>
    <n v="45.6"/>
    <d v="2025-02-14T00:00:00"/>
    <d v="2025-02-18T00:00:00"/>
    <s v="F"/>
    <s v="Partner App"/>
    <n v="4"/>
    <s v="California"/>
    <s v="San Diego County"/>
    <x v="5"/>
    <n v="7"/>
    <e v="#NAME?"/>
  </r>
  <r>
    <s v="TX501130"/>
    <s v="T-Shirts"/>
    <n v="8"/>
    <n v="19.600000000000001"/>
    <n v="156.80000000000001"/>
    <d v="2025-02-14T00:00:00"/>
    <d v="2025-02-27T00:00:00"/>
    <s v="F"/>
    <s v="App"/>
    <n v="4"/>
    <s v="California"/>
    <s v="San Diego County"/>
    <x v="10"/>
    <n v="7"/>
    <e v="#NAME?"/>
  </r>
  <r>
    <s v="TX501131"/>
    <s v="Sundresses"/>
    <n v="1"/>
    <n v="51.8"/>
    <n v="51.8"/>
    <d v="2025-02-14T00:00:00"/>
    <d v="2025-02-15T00:00:00"/>
    <s v="F"/>
    <s v="Website"/>
    <n v="4"/>
    <s v="California"/>
    <s v="San Diego County"/>
    <x v="3"/>
    <n v="7"/>
    <e v="#NAME?"/>
  </r>
  <r>
    <s v="TX501132"/>
    <s v="Jeans"/>
    <n v="1"/>
    <n v="74.7"/>
    <n v="74.7"/>
    <d v="2025-02-14T00:00:00"/>
    <d v="2025-02-15T00:00:00"/>
    <s v="M"/>
    <s v="App"/>
    <n v="3"/>
    <s v="California"/>
    <s v="San Diego County"/>
    <x v="3"/>
    <n v="7"/>
    <e v="#NAME?"/>
  </r>
  <r>
    <s v="TX501133"/>
    <s v="Jewelry"/>
    <n v="3"/>
    <n v="22.4"/>
    <n v="67.199999999999989"/>
    <d v="2025-02-14T00:00:00"/>
    <d v="2025-02-15T00:00:00"/>
    <s v="F"/>
    <s v="Website"/>
    <n v="5"/>
    <s v="California"/>
    <s v="San Mateo County"/>
    <x v="3"/>
    <n v="7"/>
    <e v="#NAME?"/>
  </r>
  <r>
    <s v="TX501134"/>
    <s v="Tank Tops"/>
    <n v="4"/>
    <n v="31.4"/>
    <n v="125.6"/>
    <d v="2025-02-14T00:00:00"/>
    <d v="2025-02-15T00:00:00"/>
    <s v="F"/>
    <s v="Website"/>
    <n v="4"/>
    <s v="California"/>
    <s v="San Mateo County"/>
    <x v="3"/>
    <n v="7"/>
    <e v="#NAME?"/>
  </r>
  <r>
    <s v="TX501135"/>
    <s v="Jeans"/>
    <n v="1"/>
    <n v="94"/>
    <n v="94"/>
    <d v="2025-02-14T00:00:00"/>
    <d v="2025-02-14T00:00:00"/>
    <s v="F"/>
    <s v="Website"/>
    <n v="5"/>
    <s v="California"/>
    <s v="Santa Barbara County"/>
    <x v="7"/>
    <n v="7"/>
    <e v="#NAME?"/>
  </r>
  <r>
    <s v="TX501136"/>
    <s v="Bikinis"/>
    <n v="1"/>
    <n v="22.3"/>
    <n v="22.3"/>
    <d v="2025-02-14T00:00:00"/>
    <d v="2025-02-15T00:00:00"/>
    <s v="M"/>
    <s v="Partner App"/>
    <n v="4"/>
    <s v="California"/>
    <s v="Tulare County"/>
    <x v="3"/>
    <n v="7"/>
    <e v="#NAME?"/>
  </r>
  <r>
    <s v="TX501137"/>
    <s v="Shorts"/>
    <n v="1"/>
    <n v="21.9"/>
    <n v="21.9"/>
    <d v="2025-02-14T00:00:00"/>
    <d v="2025-02-17T00:00:00"/>
    <s v="F"/>
    <s v="Target.com"/>
    <n v="4"/>
    <s v="California"/>
    <s v="Alameda County"/>
    <x v="2"/>
    <n v="7"/>
    <e v="#NAME?"/>
  </r>
  <r>
    <s v="TX501138"/>
    <s v="Pajama Sets"/>
    <n v="3"/>
    <n v="27"/>
    <n v="81"/>
    <d v="2025-02-14T00:00:00"/>
    <d v="2025-02-16T00:00:00"/>
    <s v="F"/>
    <s v="Partner App"/>
    <n v="5"/>
    <s v="California"/>
    <s v="Fresno County"/>
    <x v="1"/>
    <n v="7"/>
    <e v="#NAME?"/>
  </r>
  <r>
    <s v="TX501139"/>
    <s v="Sneakers"/>
    <n v="4"/>
    <n v="149.6"/>
    <n v="598.4"/>
    <d v="2025-02-14T00:00:00"/>
    <d v="2025-02-14T00:00:00"/>
    <s v="F"/>
    <s v="Partner App"/>
    <n v="4"/>
    <s v="California"/>
    <s v="Kern County"/>
    <x v="7"/>
    <n v="7"/>
    <e v="#NAME?"/>
  </r>
  <r>
    <s v="TX501140"/>
    <s v="Sneakers"/>
    <n v="4"/>
    <n v="129.1"/>
    <n v="516.4"/>
    <d v="2025-02-14T00:00:00"/>
    <d v="2025-02-24T00:00:00"/>
    <s v="M"/>
    <s v="App"/>
    <n v="3"/>
    <s v="California"/>
    <s v="Los Angeles County"/>
    <x v="14"/>
    <n v="7"/>
    <e v="#NAME?"/>
  </r>
  <r>
    <s v="TX501141"/>
    <s v="Tank Tops"/>
    <n v="12"/>
    <n v="40.4"/>
    <n v="484.79999999999995"/>
    <d v="2025-02-14T00:00:00"/>
    <d v="2025-02-15T00:00:00"/>
    <s v="M"/>
    <s v="Website"/>
    <n v="3"/>
    <s v="California"/>
    <s v="Los Angeles County"/>
    <x v="3"/>
    <n v="7"/>
    <e v="#NAME?"/>
  </r>
  <r>
    <s v="TX501142"/>
    <s v="Graphic Tees"/>
    <n v="3"/>
    <n v="48.5"/>
    <n v="145.5"/>
    <d v="2025-02-14T00:00:00"/>
    <d v="2025-02-16T00:00:00"/>
    <s v="F"/>
    <s v="App"/>
    <n v="2"/>
    <s v="California"/>
    <s v="Los Angeles County"/>
    <x v="1"/>
    <n v="7"/>
    <e v="#NAME?"/>
  </r>
  <r>
    <s v="TX501143"/>
    <s v="Sundresses"/>
    <n v="2"/>
    <n v="37.6"/>
    <n v="75.2"/>
    <d v="2025-02-14T00:00:00"/>
    <d v="2025-02-16T00:00:00"/>
    <s v="F"/>
    <s v="Website"/>
    <n v="5"/>
    <s v="California"/>
    <s v="Los Angeles County"/>
    <x v="1"/>
    <n v="7"/>
    <e v="#NAME?"/>
  </r>
  <r>
    <s v="TX501144"/>
    <s v="T-Shirts"/>
    <n v="2"/>
    <n v="19.600000000000001"/>
    <n v="39.200000000000003"/>
    <d v="2025-02-14T00:00:00"/>
    <d v="2025-02-15T00:00:00"/>
    <s v="M"/>
    <s v="Instagram"/>
    <n v="2"/>
    <s v="California"/>
    <s v="Marin County"/>
    <x v="3"/>
    <n v="7"/>
    <e v="#NAME?"/>
  </r>
  <r>
    <s v="TX501145"/>
    <s v="T-Shirts"/>
    <n v="5"/>
    <n v="18.5"/>
    <n v="92.5"/>
    <d v="2025-02-14T00:00:00"/>
    <d v="2025-02-15T00:00:00"/>
    <s v="F"/>
    <s v="Target.com"/>
    <n v="3"/>
    <s v="California"/>
    <s v="Sacramento County"/>
    <x v="3"/>
    <n v="7"/>
    <e v="#NAME?"/>
  </r>
  <r>
    <s v="TX501146"/>
    <s v="Sandals"/>
    <n v="3"/>
    <n v="25.5"/>
    <n v="76.5"/>
    <d v="2025-02-14T00:00:00"/>
    <d v="2025-02-16T00:00:00"/>
    <s v="F"/>
    <s v="Partner App"/>
    <n v="3"/>
    <s v="California"/>
    <s v="Sacramento County"/>
    <x v="1"/>
    <n v="7"/>
    <e v="#NAME?"/>
  </r>
  <r>
    <s v="TX501147"/>
    <s v="Sneakers"/>
    <n v="2"/>
    <n v="94.7"/>
    <n v="189.4"/>
    <d v="2025-02-14T00:00:00"/>
    <d v="2025-02-15T00:00:00"/>
    <s v="F"/>
    <s v="Target.com"/>
    <n v="4"/>
    <s v="California"/>
    <s v="San Benito County"/>
    <x v="3"/>
    <n v="7"/>
    <e v="#NAME?"/>
  </r>
  <r>
    <s v="TX501148"/>
    <s v="Tank Tops"/>
    <n v="6"/>
    <n v="38.799999999999997"/>
    <n v="232.79999999999998"/>
    <d v="2025-02-14T00:00:00"/>
    <d v="2025-02-19T00:00:00"/>
    <s v="F"/>
    <s v="Target.com"/>
    <n v="5"/>
    <s v="California"/>
    <s v="San Diego County"/>
    <x v="0"/>
    <n v="7"/>
    <e v="#NAME?"/>
  </r>
  <r>
    <s v="TX501149"/>
    <s v="Sundresses"/>
    <n v="2"/>
    <n v="49.4"/>
    <n v="98.8"/>
    <d v="2025-02-15T00:00:00"/>
    <d v="2025-02-23T00:00:00"/>
    <s v="M"/>
    <s v="Partner App"/>
    <n v="3"/>
    <s v="California"/>
    <s v="San Diego County"/>
    <x v="9"/>
    <n v="7"/>
    <e v="#NAME?"/>
  </r>
  <r>
    <s v="TX501150"/>
    <s v="Hoodies &amp; Sweatshirts"/>
    <n v="3"/>
    <n v="68"/>
    <n v="204"/>
    <d v="2025-02-15T00:00:00"/>
    <d v="2025-02-18T00:00:00"/>
    <s v="M"/>
    <s v="App"/>
    <n v="5"/>
    <s v="California"/>
    <s v="San Diego County"/>
    <x v="2"/>
    <n v="7"/>
    <e v="#NAME?"/>
  </r>
  <r>
    <s v="TX501151"/>
    <s v="Crop Tops"/>
    <n v="7"/>
    <n v="63.7"/>
    <n v="445.90000000000003"/>
    <d v="2025-02-15T00:00:00"/>
    <d v="2025-02-16T00:00:00"/>
    <s v="F"/>
    <s v="Target.com"/>
    <n v="5"/>
    <s v="California"/>
    <s v="San Diego County"/>
    <x v="3"/>
    <n v="7"/>
    <e v="#NAME?"/>
  </r>
  <r>
    <s v="TX501152"/>
    <s v="Bikinis"/>
    <n v="2"/>
    <n v="66.2"/>
    <n v="132.4"/>
    <d v="2025-02-15T00:00:00"/>
    <d v="2025-02-16T00:00:00"/>
    <s v="F"/>
    <s v="Partner App"/>
    <n v="5"/>
    <s v="California"/>
    <s v="San Francisco"/>
    <x v="3"/>
    <n v="7"/>
    <e v="#NAME?"/>
  </r>
  <r>
    <s v="TX501153"/>
    <s v="Casual Dresses"/>
    <n v="3"/>
    <n v="32.299999999999997"/>
    <n v="96.899999999999991"/>
    <d v="2025-02-15T00:00:00"/>
    <d v="2025-02-16T00:00:00"/>
    <s v="O"/>
    <s v="Target.com"/>
    <n v="3"/>
    <s v="California"/>
    <s v="San Mateo County"/>
    <x v="3"/>
    <n v="7"/>
    <e v="#NAME?"/>
  </r>
  <r>
    <s v="TX501154"/>
    <s v="Graphic Tees"/>
    <n v="2"/>
    <n v="66.900000000000006"/>
    <n v="133.80000000000001"/>
    <d v="2025-02-15T00:00:00"/>
    <d v="2025-02-18T00:00:00"/>
    <s v="M"/>
    <s v="Website"/>
    <n v="4"/>
    <s v="California"/>
    <s v="Santa Clara County"/>
    <x v="2"/>
    <n v="7"/>
    <e v="#NAME?"/>
  </r>
  <r>
    <s v="TX501155"/>
    <s v="Graphic Tees"/>
    <n v="12"/>
    <n v="25.2"/>
    <n v="302.39999999999998"/>
    <d v="2025-02-15T00:00:00"/>
    <d v="2025-02-19T00:00:00"/>
    <s v="F"/>
    <s v="App"/>
    <n v="3"/>
    <s v="California"/>
    <s v="Santa Clara County"/>
    <x v="5"/>
    <n v="7"/>
    <e v="#NAME?"/>
  </r>
  <r>
    <s v="TX501156"/>
    <s v="Bikinis"/>
    <n v="6"/>
    <n v="29.5"/>
    <n v="177"/>
    <d v="2025-02-15T00:00:00"/>
    <d v="2025-02-16T00:00:00"/>
    <s v="M"/>
    <s v="Target.com"/>
    <n v="4"/>
    <s v="California"/>
    <s v="Santa Clara County"/>
    <x v="3"/>
    <n v="7"/>
    <e v="#NAME?"/>
  </r>
  <r>
    <s v="TX501157"/>
    <s v="T-Shirts"/>
    <n v="5"/>
    <n v="21.6"/>
    <n v="108"/>
    <d v="2025-02-15T00:00:00"/>
    <d v="2025-02-17T00:00:00"/>
    <s v="F"/>
    <s v="App"/>
    <n v="5"/>
    <s v="California"/>
    <s v="Santa Cruz County"/>
    <x v="1"/>
    <n v="7"/>
    <e v="#NAME?"/>
  </r>
  <r>
    <s v="TX501158"/>
    <s v="Casual Dresses"/>
    <n v="3"/>
    <n v="69"/>
    <n v="207"/>
    <d v="2025-02-15T00:00:00"/>
    <d v="2025-02-16T00:00:00"/>
    <s v="F"/>
    <s v="App"/>
    <n v="4"/>
    <s v="California"/>
    <s v="Sonoma County"/>
    <x v="3"/>
    <n v="7"/>
    <e v="#NAME?"/>
  </r>
  <r>
    <s v="TX501159"/>
    <s v="Hoodies &amp; Sweatshirts"/>
    <n v="2"/>
    <n v="115"/>
    <n v="230"/>
    <d v="2025-02-15T00:00:00"/>
    <d v="2025-02-19T00:00:00"/>
    <s v="M"/>
    <s v="App"/>
    <n v="5"/>
    <s v="California"/>
    <s v="Sonoma County"/>
    <x v="5"/>
    <n v="7"/>
    <e v="#NAME?"/>
  </r>
  <r>
    <s v="TX501160"/>
    <s v="Sneakers"/>
    <n v="2"/>
    <n v="109.3"/>
    <n v="218.6"/>
    <d v="2025-02-15T00:00:00"/>
    <d v="2025-02-17T00:00:00"/>
    <s v=""/>
    <s v="Instagram"/>
    <n v="3"/>
    <s v="California"/>
    <s v="Stanislaus County"/>
    <x v="1"/>
    <n v="7"/>
    <e v="#NAME?"/>
  </r>
  <r>
    <s v="TX501161"/>
    <s v="Sundresses"/>
    <n v="2"/>
    <n v="66.599999999999994"/>
    <n v="133.19999999999999"/>
    <d v="2025-02-15T00:00:00"/>
    <d v="2025-02-18T00:00:00"/>
    <s v=""/>
    <s v="Partner App"/>
    <n v="3"/>
    <s v="California"/>
    <s v="Stanislaus County"/>
    <x v="2"/>
    <n v="7"/>
    <e v="#NAME?"/>
  </r>
  <r>
    <s v="TX501162"/>
    <s v="Casual Dresses"/>
    <n v="5"/>
    <n v="47.7"/>
    <n v="238.5"/>
    <d v="2025-02-15T00:00:00"/>
    <d v="2025-02-16T00:00:00"/>
    <s v="M"/>
    <s v="Instagram"/>
    <n v="5"/>
    <s v="California"/>
    <s v="Alameda County"/>
    <x v="3"/>
    <n v="7"/>
    <e v="#NAME?"/>
  </r>
  <r>
    <s v="TX501163"/>
    <s v="T-Shirts"/>
    <n v="2"/>
    <n v="46"/>
    <n v="92"/>
    <d v="2025-02-15T00:00:00"/>
    <d v="2025-02-16T00:00:00"/>
    <s v="F"/>
    <s v="Partner App"/>
    <n v="2"/>
    <s v="California"/>
    <s v="Kern County"/>
    <x v="3"/>
    <n v="7"/>
    <e v="#NAME?"/>
  </r>
  <r>
    <s v="TX501164"/>
    <s v="Tank Tops"/>
    <n v="6"/>
    <n v="39.299999999999997"/>
    <n v="235.79999999999998"/>
    <d v="2025-02-15T00:00:00"/>
    <d v="2025-02-17T00:00:00"/>
    <s v="M"/>
    <s v="Instagram"/>
    <n v="5"/>
    <s v="California"/>
    <s v="Los Angeles County"/>
    <x v="1"/>
    <n v="7"/>
    <e v="#NAME?"/>
  </r>
  <r>
    <s v="TX501165"/>
    <s v="Sundresses"/>
    <n v="1"/>
    <n v="70.2"/>
    <n v="70.2"/>
    <d v="2025-02-15T00:00:00"/>
    <d v="2025-02-16T00:00:00"/>
    <s v="F"/>
    <s v="App"/>
    <n v="2"/>
    <s v="California"/>
    <s v="Los Angeles County"/>
    <x v="3"/>
    <n v="7"/>
    <e v="#NAME?"/>
  </r>
  <r>
    <s v="TX501166"/>
    <s v="Workout Tops"/>
    <n v="4"/>
    <n v="71.5"/>
    <n v="286"/>
    <d v="2025-02-15T00:00:00"/>
    <d v="2025-02-15T00:00:00"/>
    <s v="F"/>
    <s v="Website"/>
    <n v="5"/>
    <s v="California"/>
    <s v="Los Angeles County"/>
    <x v="7"/>
    <n v="7"/>
    <e v="#NAME?"/>
  </r>
  <r>
    <s v="TX501167"/>
    <s v="Bikinis"/>
    <n v="7"/>
    <n v="31"/>
    <n v="217"/>
    <d v="2025-02-15T00:00:00"/>
    <d v="2025-02-22T00:00:00"/>
    <s v="F"/>
    <s v="Instagram"/>
    <n v="5"/>
    <s v="California"/>
    <s v="Los Angeles County"/>
    <x v="6"/>
    <n v="7"/>
    <e v="#NAME?"/>
  </r>
  <r>
    <s v="TX501168"/>
    <s v="Sneakers"/>
    <n v="5"/>
    <n v="68.2"/>
    <n v="341"/>
    <d v="2025-02-15T00:00:00"/>
    <d v="2025-02-20T00:00:00"/>
    <s v="F"/>
    <s v="App"/>
    <n v="5"/>
    <s v="California"/>
    <s v="Los Angeles County"/>
    <x v="0"/>
    <n v="7"/>
    <e v="#NAME?"/>
  </r>
  <r>
    <s v="TX501169"/>
    <s v="Sneakers"/>
    <n v="1"/>
    <n v="91.4"/>
    <n v="91.4"/>
    <d v="2025-02-15T00:00:00"/>
    <d v="2025-02-19T00:00:00"/>
    <s v="F"/>
    <s v="Website"/>
    <n v="5"/>
    <s v="California"/>
    <s v="Sacramento County"/>
    <x v="5"/>
    <n v="7"/>
    <e v="#NAME?"/>
  </r>
  <r>
    <s v="TX501170"/>
    <s v="Jeans"/>
    <n v="10"/>
    <n v="112.9"/>
    <n v="1129"/>
    <d v="2025-02-15T00:00:00"/>
    <d v="2025-02-16T00:00:00"/>
    <s v="F"/>
    <s v="App"/>
    <n v="4"/>
    <s v="California"/>
    <s v="Sacramento County"/>
    <x v="3"/>
    <n v="7"/>
    <e v="#NAME?"/>
  </r>
  <r>
    <s v="TX501171"/>
    <s v="Pajama Sets"/>
    <n v="9"/>
    <n v="33.700000000000003"/>
    <n v="303.3"/>
    <d v="2025-02-15T00:00:00"/>
    <d v="2025-02-16T00:00:00"/>
    <s v="F"/>
    <s v="Website"/>
    <n v="5"/>
    <s v="California"/>
    <s v="San Diego County"/>
    <x v="3"/>
    <n v="7"/>
    <e v="#NAME?"/>
  </r>
  <r>
    <s v="TX501172"/>
    <s v="Crop Tops"/>
    <n v="10"/>
    <n v="35.299999999999997"/>
    <n v="353"/>
    <d v="2025-02-15T00:00:00"/>
    <d v="2025-02-17T00:00:00"/>
    <s v="M"/>
    <s v="Target.com"/>
    <n v="4"/>
    <s v="California"/>
    <s v="San Diego County"/>
    <x v="1"/>
    <n v="7"/>
    <e v="#NAME?"/>
  </r>
  <r>
    <s v="TX501173"/>
    <s v="Leggings"/>
    <n v="3"/>
    <n v="45.6"/>
    <n v="136.80000000000001"/>
    <d v="2025-02-15T00:00:00"/>
    <d v="2025-02-19T00:00:00"/>
    <s v="M"/>
    <s v="Instagram"/>
    <n v="4"/>
    <s v="California"/>
    <s v="San Diego County"/>
    <x v="5"/>
    <n v="7"/>
    <e v="#NAME?"/>
  </r>
  <r>
    <s v="TX501174"/>
    <s v="Hoodies &amp; Sweatshirts"/>
    <n v="7"/>
    <n v="47.1"/>
    <n v="329.7"/>
    <d v="2025-02-15T00:00:00"/>
    <d v="2025-02-16T00:00:00"/>
    <s v="F"/>
    <s v="Partner App"/>
    <n v="5"/>
    <s v="California"/>
    <s v="San Mateo County"/>
    <x v="3"/>
    <n v="7"/>
    <e v="#NAME?"/>
  </r>
  <r>
    <s v="TX501175"/>
    <s v="T-Shirts"/>
    <n v="5"/>
    <n v="16.2"/>
    <n v="81"/>
    <d v="2025-02-15T00:00:00"/>
    <d v="2025-02-17T00:00:00"/>
    <s v="F"/>
    <s v="Instagram"/>
    <n v="5"/>
    <s v="California"/>
    <s v="Stanislaus County"/>
    <x v="1"/>
    <n v="7"/>
    <e v="#NAME?"/>
  </r>
  <r>
    <s v="TX501176"/>
    <s v="Tank Tops"/>
    <n v="2"/>
    <n v="159.69999999999999"/>
    <n v="319.39999999999998"/>
    <d v="2025-02-16T00:00:00"/>
    <d v="2025-02-17T00:00:00"/>
    <s v="M"/>
    <s v="Partner App"/>
    <n v="4"/>
    <s v="California"/>
    <s v="Ventura County"/>
    <x v="3"/>
    <n v="8"/>
    <e v="#NAME?"/>
  </r>
  <r>
    <s v="TX501177"/>
    <s v="T-Shirts"/>
    <n v="4"/>
    <n v="19"/>
    <n v="76"/>
    <d v="2025-02-16T00:00:00"/>
    <d v="2025-02-23T00:00:00"/>
    <s v="F"/>
    <s v="Target.com"/>
    <n v="5"/>
    <s v="California"/>
    <s v="Alameda County"/>
    <x v="6"/>
    <n v="8"/>
    <e v="#NAME?"/>
  </r>
  <r>
    <s v="TX501178"/>
    <s v="Jeans"/>
    <n v="6"/>
    <n v="91.1"/>
    <n v="546.59999999999991"/>
    <d v="2025-02-16T00:00:00"/>
    <d v="2025-02-25T00:00:00"/>
    <s v="F"/>
    <s v="Partner App"/>
    <n v="4"/>
    <s v="California"/>
    <s v="Alameda County"/>
    <x v="8"/>
    <n v="8"/>
    <e v="#NAME?"/>
  </r>
  <r>
    <s v="TX501179"/>
    <s v="Sneakers"/>
    <n v="5"/>
    <n v="94.1"/>
    <n v="470.5"/>
    <d v="2025-02-16T00:00:00"/>
    <d v="2025-02-19T00:00:00"/>
    <s v=""/>
    <s v="Website"/>
    <n v="3"/>
    <s v="California"/>
    <s v="Alameda County"/>
    <x v="2"/>
    <n v="8"/>
    <e v="#NAME?"/>
  </r>
  <r>
    <s v="TX501180"/>
    <s v="Sundresses"/>
    <n v="9"/>
    <n v="21.1"/>
    <n v="189.9"/>
    <d v="2025-02-16T00:00:00"/>
    <d v="2025-02-17T00:00:00"/>
    <s v="F"/>
    <s v="Partner App"/>
    <n v="5"/>
    <s v="California"/>
    <s v="Butte County"/>
    <x v="3"/>
    <n v="8"/>
    <e v="#NAME?"/>
  </r>
  <r>
    <s v="TX501181"/>
    <s v="T-Shirts"/>
    <n v="7"/>
    <n v="15.3"/>
    <n v="107.10000000000001"/>
    <d v="2025-02-16T00:00:00"/>
    <d v="2025-02-24T00:00:00"/>
    <s v="F"/>
    <s v="Target.com"/>
    <n v="4"/>
    <s v="California"/>
    <s v="Contra Costa County"/>
    <x v="9"/>
    <n v="8"/>
    <e v="#NAME?"/>
  </r>
  <r>
    <s v="TX501182"/>
    <s v="Crop Tops"/>
    <n v="4"/>
    <n v="21.3"/>
    <n v="85.2"/>
    <d v="2025-02-16T00:00:00"/>
    <d v="2025-02-19T00:00:00"/>
    <s v="M"/>
    <s v="Website"/>
    <n v="4"/>
    <s v="California"/>
    <s v="Los Angeles County"/>
    <x v="2"/>
    <n v="8"/>
    <e v="#NAME?"/>
  </r>
  <r>
    <s v="TX501183"/>
    <s v="Shorts"/>
    <n v="2"/>
    <n v="23.2"/>
    <n v="46.4"/>
    <d v="2025-02-16T00:00:00"/>
    <d v="2025-02-16T00:00:00"/>
    <s v=""/>
    <s v="Instagram"/>
    <n v="3"/>
    <s v="California"/>
    <s v="Los Angeles County"/>
    <x v="7"/>
    <n v="8"/>
    <e v="#NAME?"/>
  </r>
  <r>
    <s v="TX501184"/>
    <s v="Graphic Tees"/>
    <n v="3"/>
    <n v="25.7"/>
    <n v="77.099999999999994"/>
    <d v="2025-02-16T00:00:00"/>
    <d v="2025-02-17T00:00:00"/>
    <s v="M"/>
    <s v="Partner App"/>
    <n v="4"/>
    <s v="California"/>
    <s v="Los Angeles County"/>
    <x v="3"/>
    <n v="8"/>
    <e v="#NAME?"/>
  </r>
  <r>
    <s v="TX501185"/>
    <s v="Shorts"/>
    <n v="9"/>
    <n v="31.6"/>
    <n v="284.40000000000003"/>
    <d v="2025-02-16T00:00:00"/>
    <d v="2025-02-18T00:00:00"/>
    <s v="F"/>
    <s v="App"/>
    <n v="4"/>
    <s v="California"/>
    <s v="Los Angeles County"/>
    <x v="1"/>
    <n v="8"/>
    <e v="#NAME?"/>
  </r>
  <r>
    <s v="TX501186"/>
    <s v="Jeans"/>
    <n v="1"/>
    <n v="64.2"/>
    <n v="64.2"/>
    <d v="2025-02-16T00:00:00"/>
    <d v="2025-02-21T00:00:00"/>
    <s v="M"/>
    <s v="App"/>
    <n v="4"/>
    <s v="California"/>
    <s v="Los Angeles County"/>
    <x v="0"/>
    <n v="8"/>
    <e v="#NAME?"/>
  </r>
  <r>
    <s v="TX501187"/>
    <s v="T-Shirts"/>
    <n v="2"/>
    <n v="55.8"/>
    <n v="111.6"/>
    <d v="2025-02-16T00:00:00"/>
    <d v="2025-02-18T00:00:00"/>
    <s v=""/>
    <s v="App"/>
    <n v="4"/>
    <s v="California"/>
    <s v="Los Angeles County"/>
    <x v="1"/>
    <n v="8"/>
    <e v="#NAME?"/>
  </r>
  <r>
    <s v="TX501188"/>
    <s v="T-Shirts"/>
    <n v="2"/>
    <n v="28.1"/>
    <n v="56.2"/>
    <d v="2025-02-16T00:00:00"/>
    <d v="2025-02-17T00:00:00"/>
    <s v="F"/>
    <s v="Partner App"/>
    <n v="3"/>
    <s v="California"/>
    <s v="Los Angeles County"/>
    <x v="3"/>
    <n v="8"/>
    <e v="#NAME?"/>
  </r>
  <r>
    <s v="TX501189"/>
    <s v="Shorts"/>
    <n v="2"/>
    <n v="11.6"/>
    <n v="23.2"/>
    <d v="2025-02-16T00:00:00"/>
    <d v="2025-02-18T00:00:00"/>
    <s v="F"/>
    <s v="Website"/>
    <n v="4"/>
    <s v="California"/>
    <s v="Merced County"/>
    <x v="1"/>
    <n v="8"/>
    <e v="#NAME?"/>
  </r>
  <r>
    <s v="TX501190"/>
    <s v="Sandals"/>
    <n v="3"/>
    <n v="50.4"/>
    <n v="151.19999999999999"/>
    <d v="2025-02-16T00:00:00"/>
    <d v="2025-02-17T00:00:00"/>
    <s v="M"/>
    <s v="Partner App"/>
    <n v="5"/>
    <s v="California"/>
    <s v="Orange County"/>
    <x v="3"/>
    <n v="8"/>
    <e v="#NAME?"/>
  </r>
  <r>
    <s v="TX501191"/>
    <s v="Jeans"/>
    <n v="6"/>
    <n v="48.3"/>
    <n v="289.79999999999995"/>
    <d v="2025-02-16T00:00:00"/>
    <d v="2025-02-20T00:00:00"/>
    <s v="F"/>
    <s v="App"/>
    <n v="4"/>
    <s v="California"/>
    <s v="Orange County"/>
    <x v="5"/>
    <n v="8"/>
    <e v="#NAME?"/>
  </r>
  <r>
    <s v="TX501192"/>
    <s v="Pajama Sets"/>
    <n v="7"/>
    <n v="32.200000000000003"/>
    <n v="225.40000000000003"/>
    <d v="2025-02-16T00:00:00"/>
    <d v="2025-02-18T00:00:00"/>
    <s v="F"/>
    <s v="Target.com"/>
    <n v="4"/>
    <s v="California"/>
    <s v="Orange County"/>
    <x v="1"/>
    <n v="8"/>
    <e v="#NAME?"/>
  </r>
  <r>
    <s v="TX501193"/>
    <s v="Hoodies &amp; Sweatshirts"/>
    <n v="28"/>
    <n v="48.5"/>
    <n v="1358"/>
    <d v="2025-02-16T00:00:00"/>
    <d v="2025-02-17T00:00:00"/>
    <s v="M"/>
    <s v="App"/>
    <n v="4"/>
    <s v="California"/>
    <s v="Placer County"/>
    <x v="3"/>
    <n v="8"/>
    <e v="#NAME?"/>
  </r>
  <r>
    <s v="TX501194"/>
    <s v="Sneakers"/>
    <n v="5"/>
    <n v="62"/>
    <n v="310"/>
    <d v="2025-02-16T00:00:00"/>
    <d v="2025-02-19T00:00:00"/>
    <s v="F"/>
    <s v="Website"/>
    <n v="4"/>
    <s v="California"/>
    <s v="Sacramento County"/>
    <x v="2"/>
    <n v="8"/>
    <e v="#NAME?"/>
  </r>
  <r>
    <s v="TX501195"/>
    <s v="T-Shirts"/>
    <n v="3"/>
    <n v="32.1"/>
    <n v="96.300000000000011"/>
    <d v="2025-02-17T00:00:00"/>
    <d v="2025-02-19T00:00:00"/>
    <s v="M"/>
    <s v="App"/>
    <n v="4"/>
    <s v="California"/>
    <s v="Sacramento County"/>
    <x v="1"/>
    <n v="8"/>
    <e v="#NAME?"/>
  </r>
  <r>
    <s v="TX501196"/>
    <s v="Casual Dresses"/>
    <n v="3"/>
    <n v="106.1"/>
    <n v="318.29999999999995"/>
    <d v="2025-02-17T00:00:00"/>
    <d v="2025-02-19T00:00:00"/>
    <s v="M"/>
    <s v="App"/>
    <n v="3"/>
    <s v="California"/>
    <s v="San Bernardino County"/>
    <x v="1"/>
    <n v="8"/>
    <e v="#NAME?"/>
  </r>
  <r>
    <s v="TX501197"/>
    <s v="Bikinis"/>
    <n v="3"/>
    <n v="23.5"/>
    <n v="70.5"/>
    <d v="2025-02-17T00:00:00"/>
    <d v="2025-02-20T00:00:00"/>
    <s v="M"/>
    <s v="App"/>
    <n v="2"/>
    <s v="California"/>
    <s v="San Bernardino County"/>
    <x v="2"/>
    <n v="8"/>
    <e v="#NAME?"/>
  </r>
  <r>
    <s v="TX501198"/>
    <s v="Tank Tops"/>
    <n v="2"/>
    <n v="35.6"/>
    <n v="71.2"/>
    <d v="2025-02-17T00:00:00"/>
    <d v="2025-02-22T00:00:00"/>
    <s v="M"/>
    <s v="Partner App"/>
    <n v="4"/>
    <s v="California"/>
    <s v="San Diego County"/>
    <x v="0"/>
    <n v="8"/>
    <e v="#NAME?"/>
  </r>
  <r>
    <s v="TX501199"/>
    <s v="Tank Tops"/>
    <n v="2"/>
    <n v="63.5"/>
    <n v="127"/>
    <d v="2025-02-17T00:00:00"/>
    <d v="2025-02-17T00:00:00"/>
    <s v="F"/>
    <s v="Website"/>
    <n v="5"/>
    <s v="California"/>
    <s v="San Diego County"/>
    <x v="7"/>
    <n v="8"/>
    <e v="#NAME?"/>
  </r>
  <r>
    <s v="TX501200"/>
    <s v="Jeans"/>
    <n v="7"/>
    <n v="82.9"/>
    <n v="580.30000000000007"/>
    <d v="2025-02-17T00:00:00"/>
    <d v="2025-02-22T00:00:00"/>
    <s v="F"/>
    <s v="Partner App"/>
    <n v="4"/>
    <s v="California"/>
    <s v="San Mateo County"/>
    <x v="0"/>
    <n v="8"/>
    <e v="#NAME?"/>
  </r>
  <r>
    <s v="TX501201"/>
    <s v="Jeans"/>
    <n v="2"/>
    <n v="83.6"/>
    <n v="167.2"/>
    <d v="2025-02-17T00:00:00"/>
    <d v="2025-02-22T00:00:00"/>
    <s v="F"/>
    <s v="App"/>
    <n v="4"/>
    <s v="California"/>
    <s v="Santa Clara County"/>
    <x v="0"/>
    <n v="8"/>
    <e v="#NAME?"/>
  </r>
  <r>
    <s v="TX501202"/>
    <s v="Graphic Tees"/>
    <n v="2"/>
    <n v="29.4"/>
    <n v="58.8"/>
    <d v="2025-02-17T00:00:00"/>
    <d v="2025-02-17T00:00:00"/>
    <s v="F"/>
    <s v="App"/>
    <n v="3"/>
    <s v="California"/>
    <s v="Siskiyou County"/>
    <x v="7"/>
    <n v="8"/>
    <e v="#NAME?"/>
  </r>
  <r>
    <s v="TX501203"/>
    <s v="Sneakers"/>
    <n v="3"/>
    <n v="107.1"/>
    <n v="321.29999999999995"/>
    <d v="2025-02-17T00:00:00"/>
    <d v="2025-02-21T00:00:00"/>
    <s v="F"/>
    <s v="Target.com"/>
    <n v="4"/>
    <s v="California"/>
    <s v="Tulare County"/>
    <x v="5"/>
    <n v="8"/>
    <e v="#NAME?"/>
  </r>
  <r>
    <s v="TX501204"/>
    <s v="Sneakers"/>
    <n v="1"/>
    <n v="62.7"/>
    <n v="62.7"/>
    <d v="2025-02-17T00:00:00"/>
    <d v="2025-02-21T00:00:00"/>
    <s v="M"/>
    <s v="Website"/>
    <n v="4"/>
    <s v="California"/>
    <s v="Alameda County"/>
    <x v="5"/>
    <n v="8"/>
    <e v="#NAME?"/>
  </r>
  <r>
    <s v="TX501205"/>
    <s v="Maxi Dresses"/>
    <n v="1"/>
    <n v="41.6"/>
    <n v="41.6"/>
    <d v="2025-02-17T00:00:00"/>
    <d v="2025-02-18T00:00:00"/>
    <s v="M"/>
    <s v="App"/>
    <n v="3"/>
    <s v="California"/>
    <s v="Contra Costa County"/>
    <x v="3"/>
    <n v="8"/>
    <e v="#NAME?"/>
  </r>
  <r>
    <s v="TX501206"/>
    <s v="Jeans"/>
    <n v="1"/>
    <n v="44.2"/>
    <n v="44.2"/>
    <d v="2025-02-17T00:00:00"/>
    <d v="2025-02-18T00:00:00"/>
    <s v="O"/>
    <s v="App"/>
    <n v="3"/>
    <s v="California"/>
    <s v="Contra Costa County"/>
    <x v="3"/>
    <n v="8"/>
    <e v="#NAME?"/>
  </r>
  <r>
    <s v="TX501207"/>
    <s v="Graphic Tees"/>
    <n v="6"/>
    <n v="40.4"/>
    <n v="242.39999999999998"/>
    <d v="2025-02-17T00:00:00"/>
    <d v="2025-03-02T00:00:00"/>
    <s v="F"/>
    <s v="Target.com"/>
    <n v="4"/>
    <s v="California"/>
    <s v="Kern County"/>
    <x v="10"/>
    <n v="8"/>
    <e v="#NAME?"/>
  </r>
  <r>
    <s v="TX501208"/>
    <s v="Crop Tops"/>
    <n v="6"/>
    <n v="59.6"/>
    <n v="357.6"/>
    <d v="2025-02-17T00:00:00"/>
    <d v="2025-02-18T00:00:00"/>
    <s v="F"/>
    <s v="Partner App"/>
    <n v="4"/>
    <s v="California"/>
    <s v="Kings County"/>
    <x v="3"/>
    <n v="8"/>
    <e v="#NAME?"/>
  </r>
  <r>
    <s v="TX501209"/>
    <s v="Pajama Sets"/>
    <n v="12"/>
    <n v="63.8"/>
    <n v="765.59999999999991"/>
    <d v="2025-02-17T00:00:00"/>
    <d v="2025-02-18T00:00:00"/>
    <s v="M"/>
    <s v="Website"/>
    <n v="4"/>
    <s v="California"/>
    <s v="Los Angeles County"/>
    <x v="3"/>
    <n v="8"/>
    <e v="#NAME?"/>
  </r>
  <r>
    <s v="TX501210"/>
    <s v="Sundresses"/>
    <n v="6"/>
    <n v="30.8"/>
    <n v="184.8"/>
    <d v="2025-02-17T00:00:00"/>
    <d v="2025-02-19T00:00:00"/>
    <s v="M"/>
    <s v="Partner App"/>
    <n v="4"/>
    <s v="California"/>
    <s v="Los Angeles County"/>
    <x v="1"/>
    <n v="8"/>
    <e v="#NAME?"/>
  </r>
  <r>
    <s v="TX501211"/>
    <s v="Tank Tops"/>
    <n v="2"/>
    <n v="41.5"/>
    <n v="83"/>
    <d v="2025-02-17T00:00:00"/>
    <d v="2025-02-20T00:00:00"/>
    <s v="O"/>
    <s v="App"/>
    <n v="4"/>
    <s v="California"/>
    <s v="Los Angeles County"/>
    <x v="2"/>
    <n v="8"/>
    <e v="#NAME?"/>
  </r>
  <r>
    <s v="TX501212"/>
    <s v="Bikinis"/>
    <n v="4"/>
    <n v="44.7"/>
    <n v="178.8"/>
    <d v="2025-02-17T00:00:00"/>
    <d v="2025-02-19T00:00:00"/>
    <s v="F"/>
    <s v="Target.com"/>
    <n v="3"/>
    <s v="California"/>
    <s v="Los Angeles County"/>
    <x v="1"/>
    <n v="8"/>
    <e v="#NAME?"/>
  </r>
  <r>
    <s v="TX501213"/>
    <s v="Casual Dresses"/>
    <n v="2"/>
    <n v="64.099999999999994"/>
    <n v="128.19999999999999"/>
    <d v="2025-02-17T00:00:00"/>
    <d v="2025-02-21T00:00:00"/>
    <s v="F"/>
    <s v="Website"/>
    <n v="2"/>
    <s v="California"/>
    <s v="Los Angeles County"/>
    <x v="5"/>
    <n v="8"/>
    <e v="#NAME?"/>
  </r>
  <r>
    <s v="TX501214"/>
    <s v="T-Shirts"/>
    <n v="1"/>
    <n v="15.9"/>
    <n v="15.9"/>
    <d v="2025-02-17T00:00:00"/>
    <d v="2025-02-20T00:00:00"/>
    <s v=""/>
    <s v="Website"/>
    <n v="4"/>
    <s v="California"/>
    <s v="Los Angeles County"/>
    <x v="2"/>
    <n v="8"/>
    <e v="#NAME?"/>
  </r>
  <r>
    <s v="TX501215"/>
    <s v="Jeans"/>
    <n v="2"/>
    <n v="78.7"/>
    <n v="157.4"/>
    <d v="2025-02-17T00:00:00"/>
    <d v="2025-02-17T00:00:00"/>
    <s v="F"/>
    <s v="Target.com"/>
    <n v="3"/>
    <s v="California"/>
    <s v="Los Angeles County"/>
    <x v="7"/>
    <n v="8"/>
    <e v="#NAME?"/>
  </r>
  <r>
    <s v="TX501216"/>
    <s v="Sandals"/>
    <n v="12"/>
    <n v="29.6"/>
    <n v="355.20000000000005"/>
    <d v="2025-02-17T00:00:00"/>
    <d v="2025-02-21T00:00:00"/>
    <s v="M"/>
    <s v="Target.com"/>
    <n v="2"/>
    <s v="California"/>
    <s v="Los Angeles County"/>
    <x v="5"/>
    <n v="8"/>
    <e v="#NAME?"/>
  </r>
  <r>
    <s v="TX501217"/>
    <s v="T-Shirts"/>
    <n v="4"/>
    <n v="21.5"/>
    <n v="86"/>
    <d v="2025-02-17T00:00:00"/>
    <d v="2025-02-20T00:00:00"/>
    <s v="M"/>
    <s v="Website"/>
    <n v="4"/>
    <s v="California"/>
    <s v="Los Angeles County"/>
    <x v="2"/>
    <n v="8"/>
    <e v="#NAME?"/>
  </r>
  <r>
    <s v="TX501218"/>
    <s v="Sundresses"/>
    <n v="3"/>
    <n v="74.900000000000006"/>
    <n v="224.70000000000002"/>
    <d v="2025-02-17T00:00:00"/>
    <d v="2025-02-26T00:00:00"/>
    <s v="M"/>
    <s v="Instagram"/>
    <n v="3"/>
    <s v="California"/>
    <s v="Los Angeles County"/>
    <x v="8"/>
    <n v="8"/>
    <e v="#NAME?"/>
  </r>
  <r>
    <s v="TX501219"/>
    <s v="Bikinis"/>
    <n v="6"/>
    <n v="45"/>
    <n v="270"/>
    <d v="2025-02-17T00:00:00"/>
    <d v="2025-02-22T00:00:00"/>
    <s v="F"/>
    <s v="Target.com"/>
    <n v="4"/>
    <s v="California"/>
    <s v="Los Angeles County"/>
    <x v="0"/>
    <n v="8"/>
    <e v="#NAME?"/>
  </r>
  <r>
    <s v="TX501220"/>
    <s v="Hoodies &amp; Sweatshirts"/>
    <n v="34"/>
    <n v="37.9"/>
    <n v="1288.5999999999999"/>
    <d v="2025-02-17T00:00:00"/>
    <d v="2025-02-18T00:00:00"/>
    <s v="M"/>
    <s v="App"/>
    <n v="4"/>
    <s v="California"/>
    <s v="Los Angeles County"/>
    <x v="3"/>
    <n v="8"/>
    <e v="#NAME?"/>
  </r>
  <r>
    <s v="TX501221"/>
    <s v="Jeans"/>
    <n v="3"/>
    <n v="56.6"/>
    <n v="169.8"/>
    <d v="2025-02-17T00:00:00"/>
    <d v="2025-02-18T00:00:00"/>
    <s v="M"/>
    <s v="Instagram"/>
    <n v="4"/>
    <s v="California"/>
    <s v="Los Angeles County"/>
    <x v="3"/>
    <n v="8"/>
    <e v="#NAME?"/>
  </r>
  <r>
    <s v="TX501222"/>
    <s v="Workout Tops"/>
    <n v="13"/>
    <n v="84.5"/>
    <n v="1098.5"/>
    <d v="2025-02-17T00:00:00"/>
    <d v="2025-02-20T00:00:00"/>
    <s v="F"/>
    <s v="Website"/>
    <n v="2"/>
    <s v="California"/>
    <s v="Los Angeles County"/>
    <x v="2"/>
    <n v="8"/>
    <e v="#NAME?"/>
  </r>
  <r>
    <s v="TX501223"/>
    <s v="Sneakers"/>
    <n v="5"/>
    <n v="105.4"/>
    <n v="527"/>
    <d v="2025-02-17T00:00:00"/>
    <d v="2025-02-19T00:00:00"/>
    <s v="F"/>
    <s v="Website"/>
    <n v="3"/>
    <s v="California"/>
    <s v="Los Angeles County"/>
    <x v="1"/>
    <n v="8"/>
    <e v="#NAME?"/>
  </r>
  <r>
    <s v="TX501224"/>
    <s v="Leggings"/>
    <n v="7"/>
    <n v="39.4"/>
    <n v="275.8"/>
    <d v="2025-02-18T00:00:00"/>
    <d v="2025-02-18T00:00:00"/>
    <s v="M"/>
    <s v="Website"/>
    <n v="4"/>
    <s v="California"/>
    <s v="Madera County"/>
    <x v="7"/>
    <n v="8"/>
    <e v="#NAME?"/>
  </r>
  <r>
    <s v="TX501225"/>
    <s v="Jewelry"/>
    <n v="3"/>
    <n v="38"/>
    <n v="114"/>
    <d v="2025-02-18T00:00:00"/>
    <d v="2025-02-21T00:00:00"/>
    <s v="M"/>
    <s v="Partner App"/>
    <n v="3"/>
    <s v="California"/>
    <s v="Sacramento County"/>
    <x v="2"/>
    <n v="8"/>
    <e v="#NAME?"/>
  </r>
  <r>
    <s v="TX501226"/>
    <s v="Pajama Sets"/>
    <n v="4"/>
    <n v="42.5"/>
    <n v="170"/>
    <d v="2025-02-18T00:00:00"/>
    <d v="2025-02-20T00:00:00"/>
    <s v=""/>
    <s v="App"/>
    <n v="4"/>
    <s v="California"/>
    <s v="Sacramento County"/>
    <x v="1"/>
    <n v="8"/>
    <e v="#NAME?"/>
  </r>
  <r>
    <s v="TX501227"/>
    <s v="Crop Tops"/>
    <n v="1"/>
    <n v="62.3"/>
    <n v="62.3"/>
    <d v="2025-02-18T00:00:00"/>
    <d v="2025-02-27T00:00:00"/>
    <s v="M"/>
    <s v="App"/>
    <n v="5"/>
    <s v="California"/>
    <s v="Sacramento County"/>
    <x v="8"/>
    <n v="8"/>
    <e v="#NAME?"/>
  </r>
  <r>
    <s v="TX501228"/>
    <s v="Jeans"/>
    <n v="5"/>
    <n v="49.1"/>
    <n v="245.5"/>
    <d v="2025-02-18T00:00:00"/>
    <d v="2025-02-20T00:00:00"/>
    <s v="F"/>
    <s v="Website"/>
    <n v="5"/>
    <s v="California"/>
    <s v="San Bernardino County"/>
    <x v="1"/>
    <n v="8"/>
    <e v="#NAME?"/>
  </r>
  <r>
    <s v="TX501229"/>
    <s v="Workout Tops"/>
    <n v="2"/>
    <n v="30.5"/>
    <n v="61"/>
    <d v="2025-02-18T00:00:00"/>
    <d v="2025-02-21T00:00:00"/>
    <s v="M"/>
    <s v="App"/>
    <n v="5"/>
    <s v="California"/>
    <s v="San Diego County"/>
    <x v="2"/>
    <n v="8"/>
    <e v="#NAME?"/>
  </r>
  <r>
    <s v="TX501230"/>
    <s v="Sneakers"/>
    <n v="2"/>
    <n v="154.80000000000001"/>
    <n v="309.60000000000002"/>
    <d v="2025-02-18T00:00:00"/>
    <d v="2025-02-21T00:00:00"/>
    <s v="F"/>
    <s v="Website"/>
    <n v="2"/>
    <s v="California"/>
    <s v="San Diego County"/>
    <x v="2"/>
    <n v="8"/>
    <e v="#NAME?"/>
  </r>
  <r>
    <s v="TX501231"/>
    <s v="Jeans"/>
    <n v="1"/>
    <n v="45"/>
    <n v="45"/>
    <d v="2025-02-18T00:00:00"/>
    <d v="2025-02-22T00:00:00"/>
    <s v="M"/>
    <s v="Instagram"/>
    <n v="3"/>
    <s v="California"/>
    <s v="San Diego County"/>
    <x v="5"/>
    <n v="8"/>
    <e v="#NAME?"/>
  </r>
  <r>
    <s v="TX501232"/>
    <s v="Shorts"/>
    <n v="7"/>
    <n v="15.3"/>
    <n v="107.10000000000001"/>
    <d v="2025-02-18T00:00:00"/>
    <d v="2025-02-19T00:00:00"/>
    <s v="M"/>
    <s v="App"/>
    <n v="5"/>
    <s v="California"/>
    <s v="San Diego County"/>
    <x v="3"/>
    <n v="8"/>
    <e v="#NAME?"/>
  </r>
  <r>
    <s v="TX501233"/>
    <s v="Sneakers"/>
    <n v="11"/>
    <n v="88.6"/>
    <n v="974.59999999999991"/>
    <d v="2025-02-18T00:00:00"/>
    <d v="2025-02-21T00:00:00"/>
    <s v="F"/>
    <s v="App"/>
    <n v="2"/>
    <s v="California"/>
    <s v="San Francisco"/>
    <x v="2"/>
    <n v="8"/>
    <e v="#NAME?"/>
  </r>
  <r>
    <s v="TX501234"/>
    <s v="Sundresses"/>
    <n v="2"/>
    <n v="49.7"/>
    <n v="99.4"/>
    <d v="2025-02-18T00:00:00"/>
    <d v="2025-02-20T00:00:00"/>
    <s v="O"/>
    <s v="Partner App"/>
    <n v="4"/>
    <s v="California"/>
    <s v="Santa Barbara County"/>
    <x v="1"/>
    <n v="8"/>
    <e v="#NAME?"/>
  </r>
  <r>
    <s v="TX501235"/>
    <s v="Bikinis"/>
    <n v="1"/>
    <n v="29"/>
    <n v="29"/>
    <d v="2025-02-18T00:00:00"/>
    <d v="2025-02-19T00:00:00"/>
    <s v="M"/>
    <s v="App"/>
    <n v="4"/>
    <s v="California"/>
    <s v="Santa Clara County"/>
    <x v="3"/>
    <n v="8"/>
    <e v="#NAME?"/>
  </r>
  <r>
    <s v="TX501236"/>
    <s v="Tank Tops"/>
    <n v="1"/>
    <n v="60.7"/>
    <n v="60.7"/>
    <d v="2025-02-18T00:00:00"/>
    <d v="2025-02-19T00:00:00"/>
    <s v="O"/>
    <s v="App"/>
    <n v="3"/>
    <s v="California"/>
    <s v="Santa Clara County"/>
    <x v="3"/>
    <n v="8"/>
    <e v="#NAME?"/>
  </r>
  <r>
    <s v="TX501237"/>
    <s v="Pajama Sets"/>
    <n v="4"/>
    <n v="87.4"/>
    <n v="349.6"/>
    <d v="2025-02-18T00:00:00"/>
    <d v="2025-02-20T00:00:00"/>
    <s v=""/>
    <s v="App"/>
    <n v="4"/>
    <s v="California"/>
    <s v="Santa Clara County"/>
    <x v="1"/>
    <n v="8"/>
    <e v="#NAME?"/>
  </r>
  <r>
    <s v="TX501238"/>
    <s v="Graphic Tees"/>
    <n v="7"/>
    <n v="44.5"/>
    <n v="311.5"/>
    <d v="2025-02-18T00:00:00"/>
    <d v="2025-02-22T00:00:00"/>
    <s v="F"/>
    <s v="Target.com"/>
    <n v="5"/>
    <s v="California"/>
    <s v="Stanislaus County"/>
    <x v="5"/>
    <n v="8"/>
    <e v="#NAME?"/>
  </r>
  <r>
    <s v="TX501239"/>
    <s v="Sneakers"/>
    <n v="1"/>
    <n v="141"/>
    <n v="141"/>
    <d v="2025-02-18T00:00:00"/>
    <d v="2025-02-19T00:00:00"/>
    <s v="M"/>
    <s v="Partner App"/>
    <n v="5"/>
    <s v="California"/>
    <s v="Stanislaus County"/>
    <x v="3"/>
    <n v="8"/>
    <e v="#NAME?"/>
  </r>
  <r>
    <s v="TX501240"/>
    <s v="Shorts"/>
    <n v="3"/>
    <n v="16.7"/>
    <n v="50.099999999999994"/>
    <d v="2025-02-18T00:00:00"/>
    <d v="2025-02-26T00:00:00"/>
    <s v="F"/>
    <s v="App"/>
    <n v="4"/>
    <s v="California"/>
    <s v="Tulare County"/>
    <x v="9"/>
    <n v="8"/>
    <e v="#NAME?"/>
  </r>
  <r>
    <s v="TX501241"/>
    <s v="Tank Tops"/>
    <n v="2"/>
    <n v="77.5"/>
    <n v="155"/>
    <d v="2025-02-18T00:00:00"/>
    <d v="2025-02-19T00:00:00"/>
    <s v=""/>
    <s v="Target.com"/>
    <n v="5"/>
    <s v="California"/>
    <s v="Ventura County"/>
    <x v="3"/>
    <n v="8"/>
    <e v="#NAME?"/>
  </r>
  <r>
    <s v="TX501242"/>
    <s v="Sneakers"/>
    <n v="2"/>
    <n v="163"/>
    <n v="326"/>
    <d v="2025-02-18T00:00:00"/>
    <d v="2025-02-24T00:00:00"/>
    <s v="F"/>
    <s v="Partner App"/>
    <n v="4"/>
    <s v="California"/>
    <s v="Alameda County"/>
    <x v="4"/>
    <n v="8"/>
    <e v="#NAME?"/>
  </r>
  <r>
    <s v="TX501243"/>
    <s v="Graphic Tees"/>
    <n v="9"/>
    <n v="21.4"/>
    <n v="192.6"/>
    <d v="2025-02-18T00:00:00"/>
    <d v="2025-02-21T00:00:00"/>
    <s v="F"/>
    <s v="App"/>
    <n v="4"/>
    <s v="California"/>
    <s v="Butte County"/>
    <x v="2"/>
    <n v="8"/>
    <e v="#NAME?"/>
  </r>
  <r>
    <s v="TX501244"/>
    <s v="Bikinis"/>
    <n v="11"/>
    <n v="31"/>
    <n v="341"/>
    <d v="2025-02-18T00:00:00"/>
    <d v="2025-02-20T00:00:00"/>
    <s v="F"/>
    <s v="Instagram"/>
    <n v="5"/>
    <s v="California"/>
    <s v="Contra Costa County"/>
    <x v="1"/>
    <n v="8"/>
    <e v="#NAME?"/>
  </r>
  <r>
    <s v="TX501245"/>
    <s v="Hoodies &amp; Sweatshirts"/>
    <n v="2"/>
    <n v="34.299999999999997"/>
    <n v="68.599999999999994"/>
    <d v="2025-02-18T00:00:00"/>
    <d v="2025-02-20T00:00:00"/>
    <s v="F"/>
    <s v="App"/>
    <n v="1"/>
    <s v="California"/>
    <s v="Contra Costa County"/>
    <x v="1"/>
    <n v="8"/>
    <e v="#NAME?"/>
  </r>
  <r>
    <s v="TX501246"/>
    <s v="Pajama Sets"/>
    <n v="5"/>
    <n v="48.2"/>
    <n v="241"/>
    <d v="2025-02-18T00:00:00"/>
    <d v="2025-02-19T00:00:00"/>
    <s v="M"/>
    <s v="Website"/>
    <n v="3"/>
    <s v="California"/>
    <s v="Fresno County"/>
    <x v="3"/>
    <n v="8"/>
    <e v="#NAME?"/>
  </r>
  <r>
    <s v="TX501247"/>
    <s v="Bikinis"/>
    <n v="1"/>
    <n v="51.4"/>
    <n v="51.4"/>
    <d v="2025-02-18T00:00:00"/>
    <d v="2025-02-19T00:00:00"/>
    <s v="M"/>
    <s v="App"/>
    <n v="4"/>
    <s v="California"/>
    <s v="Los Angeles County"/>
    <x v="3"/>
    <n v="8"/>
    <e v="#NAME?"/>
  </r>
  <r>
    <s v="TX501248"/>
    <s v="Sneakers"/>
    <n v="5"/>
    <n v="117.2"/>
    <n v="586"/>
    <d v="2025-02-18T00:00:00"/>
    <d v="2025-02-21T00:00:00"/>
    <s v="F"/>
    <s v="Partner App"/>
    <n v="2"/>
    <s v="California"/>
    <s v="Los Angeles County"/>
    <x v="2"/>
    <n v="8"/>
    <e v="#NAME?"/>
  </r>
  <r>
    <s v="TX501249"/>
    <s v="T-Shirts"/>
    <n v="1"/>
    <n v="38.1"/>
    <n v="38.1"/>
    <d v="2025-02-18T00:00:00"/>
    <d v="2025-02-18T00:00:00"/>
    <s v="M"/>
    <s v="Partner App"/>
    <n v="3"/>
    <s v="California"/>
    <s v="Los Angeles County"/>
    <x v="7"/>
    <n v="8"/>
    <e v="#NAME?"/>
  </r>
  <r>
    <s v="TX501250"/>
    <s v="Shorts"/>
    <n v="2"/>
    <n v="44.1"/>
    <n v="88.2"/>
    <d v="2025-02-18T00:00:00"/>
    <d v="2025-02-20T00:00:00"/>
    <s v="F"/>
    <s v="Target.com"/>
    <n v="4"/>
    <s v="California"/>
    <s v="Los Angeles County"/>
    <x v="1"/>
    <n v="8"/>
    <e v="#NAME?"/>
  </r>
  <r>
    <s v="TX501251"/>
    <s v="Crop Tops"/>
    <n v="4"/>
    <n v="80.5"/>
    <n v="322"/>
    <d v="2025-02-18T00:00:00"/>
    <d v="2025-02-23T00:00:00"/>
    <s v="M"/>
    <s v="App"/>
    <n v="4"/>
    <s v="California"/>
    <s v="Los Angeles County"/>
    <x v="0"/>
    <n v="8"/>
    <e v="#NAME?"/>
  </r>
  <r>
    <s v="TX501252"/>
    <s v="Leggings"/>
    <n v="4"/>
    <n v="33.6"/>
    <n v="134.4"/>
    <d v="2025-02-18T00:00:00"/>
    <d v="2025-02-23T00:00:00"/>
    <s v=""/>
    <s v="App"/>
    <n v="5"/>
    <s v="California"/>
    <s v="Los Angeles County"/>
    <x v="0"/>
    <n v="8"/>
    <e v="#NAME?"/>
  </r>
  <r>
    <s v="TX501253"/>
    <s v="Sundresses"/>
    <n v="9"/>
    <n v="41.8"/>
    <n v="376.2"/>
    <d v="2025-02-18T00:00:00"/>
    <d v="2025-02-19T00:00:00"/>
    <s v="F"/>
    <s v="App"/>
    <n v="3"/>
    <s v="California"/>
    <s v="Los Angeles County"/>
    <x v="3"/>
    <n v="8"/>
    <e v="#NAME?"/>
  </r>
  <r>
    <s v="TX501254"/>
    <s v="Tank Tops"/>
    <n v="2"/>
    <n v="106.2"/>
    <n v="212.4"/>
    <d v="2025-02-18T00:00:00"/>
    <d v="2025-02-18T00:00:00"/>
    <s v="F"/>
    <s v="Partner App"/>
    <n v="5"/>
    <s v="California"/>
    <s v="Los Angeles County"/>
    <x v="7"/>
    <n v="8"/>
    <e v="#NAME?"/>
  </r>
  <r>
    <s v="TX501255"/>
    <s v="Tank Tops"/>
    <n v="2"/>
    <n v="52.6"/>
    <n v="105.2"/>
    <d v="2025-02-18T00:00:00"/>
    <d v="2025-02-19T00:00:00"/>
    <s v="F"/>
    <s v="App"/>
    <n v="5"/>
    <s v="California"/>
    <s v="Placer County"/>
    <x v="3"/>
    <n v="8"/>
    <e v="#NAME?"/>
  </r>
  <r>
    <s v="TX501256"/>
    <s v="Maxi Dresses"/>
    <n v="7"/>
    <n v="68.5"/>
    <n v="479.5"/>
    <d v="2025-02-18T00:00:00"/>
    <d v="2025-02-19T00:00:00"/>
    <s v="F"/>
    <s v="Website"/>
    <n v="4"/>
    <s v="California"/>
    <s v="Placer County"/>
    <x v="3"/>
    <n v="8"/>
    <e v="#NAME?"/>
  </r>
  <r>
    <s v="TX501257"/>
    <s v="Tank Tops"/>
    <n v="2"/>
    <n v="55.6"/>
    <n v="111.2"/>
    <d v="2025-02-18T00:00:00"/>
    <d v="2025-02-20T00:00:00"/>
    <s v="M"/>
    <s v="Website"/>
    <n v="5"/>
    <s v="California"/>
    <s v="Sacramento County"/>
    <x v="1"/>
    <n v="8"/>
    <e v="#NAME?"/>
  </r>
  <r>
    <s v="TX501258"/>
    <s v="Sneakers"/>
    <n v="3"/>
    <n v="134.9"/>
    <n v="404.70000000000005"/>
    <d v="2025-02-18T00:00:00"/>
    <d v="2025-02-19T00:00:00"/>
    <s v="M"/>
    <s v="Website"/>
    <n v="3"/>
    <s v="California"/>
    <s v="Sacramento County"/>
    <x v="3"/>
    <n v="8"/>
    <e v="#NAME?"/>
  </r>
  <r>
    <s v="TX501259"/>
    <s v="Bikinis"/>
    <n v="5"/>
    <n v="42.6"/>
    <n v="213"/>
    <d v="2025-02-18T00:00:00"/>
    <d v="2025-02-19T00:00:00"/>
    <s v="M"/>
    <s v="App"/>
    <n v="4"/>
    <s v="California"/>
    <s v="Sacramento County"/>
    <x v="3"/>
    <n v="8"/>
    <e v="#NAME?"/>
  </r>
  <r>
    <s v="TX501260"/>
    <s v="Hoodies &amp; Sweatshirts"/>
    <n v="5"/>
    <n v="60.6"/>
    <n v="303"/>
    <d v="2025-02-18T00:00:00"/>
    <d v="2025-02-20T00:00:00"/>
    <s v="M"/>
    <s v="Partner App"/>
    <n v="4"/>
    <s v="California"/>
    <s v="Sacramento County"/>
    <x v="1"/>
    <n v="8"/>
    <e v="#NAME?"/>
  </r>
  <r>
    <s v="TX501261"/>
    <s v="T-Shirts"/>
    <n v="2"/>
    <n v="43.5"/>
    <n v="87"/>
    <d v="2025-02-18T00:00:00"/>
    <d v="2025-02-19T00:00:00"/>
    <s v="M"/>
    <s v="Partner App"/>
    <n v="4"/>
    <s v="California"/>
    <s v="San Bernardino County"/>
    <x v="3"/>
    <n v="8"/>
    <e v="#NAME?"/>
  </r>
  <r>
    <s v="TX501262"/>
    <s v="Sneakers"/>
    <n v="2"/>
    <n v="187.1"/>
    <n v="374.2"/>
    <d v="2025-02-18T00:00:00"/>
    <d v="2025-02-19T00:00:00"/>
    <s v="M"/>
    <s v="Website"/>
    <n v="5"/>
    <s v="California"/>
    <s v="San Diego County"/>
    <x v="3"/>
    <n v="8"/>
    <e v="#NAME?"/>
  </r>
  <r>
    <s v="TX501263"/>
    <s v="Sundresses"/>
    <n v="3"/>
    <n v="32"/>
    <n v="96"/>
    <d v="2025-02-18T00:00:00"/>
    <d v="2025-02-20T00:00:00"/>
    <s v="M"/>
    <s v="App"/>
    <n v="4"/>
    <s v="California"/>
    <s v="San Diego County"/>
    <x v="1"/>
    <n v="8"/>
    <e v="#NAME?"/>
  </r>
  <r>
    <s v="TX501264"/>
    <s v="Sundresses"/>
    <n v="2"/>
    <n v="110.8"/>
    <n v="221.6"/>
    <d v="2025-02-18T00:00:00"/>
    <d v="2025-02-18T00:00:00"/>
    <s v="M"/>
    <s v="App"/>
    <n v="5"/>
    <s v="California"/>
    <s v="San Diego County"/>
    <x v="7"/>
    <n v="8"/>
    <e v="#NAME?"/>
  </r>
  <r>
    <s v="TX501265"/>
    <s v="Bikinis"/>
    <n v="13"/>
    <n v="36.1"/>
    <n v="469.3"/>
    <d v="2025-02-18T00:00:00"/>
    <d v="2025-02-21T00:00:00"/>
    <s v="F"/>
    <s v="App"/>
    <n v="3"/>
    <s v="California"/>
    <s v="San Diego County"/>
    <x v="2"/>
    <n v="8"/>
    <e v="#NAME?"/>
  </r>
  <r>
    <s v="TX501266"/>
    <s v="Shorts"/>
    <n v="1"/>
    <n v="24.1"/>
    <n v="24.1"/>
    <d v="2025-02-18T00:00:00"/>
    <d v="2025-02-20T00:00:00"/>
    <s v="F"/>
    <s v="Partner App"/>
    <n v="5"/>
    <s v="California"/>
    <s v="San Diego County"/>
    <x v="1"/>
    <n v="8"/>
    <e v="#NAME?"/>
  </r>
  <r>
    <s v="TX501267"/>
    <s v="Jewelry"/>
    <n v="3"/>
    <n v="30.5"/>
    <n v="91.5"/>
    <d v="2025-02-18T00:00:00"/>
    <d v="2025-02-20T00:00:00"/>
    <s v="M"/>
    <s v="Website"/>
    <n v="4"/>
    <s v="California"/>
    <s v="San Diego County"/>
    <x v="1"/>
    <n v="8"/>
    <e v="#NAME?"/>
  </r>
  <r>
    <s v="TX501268"/>
    <s v="Leggings"/>
    <n v="6"/>
    <n v="68.3"/>
    <n v="409.79999999999995"/>
    <d v="2025-02-18T00:00:00"/>
    <d v="2025-02-21T00:00:00"/>
    <s v="M"/>
    <s v="App"/>
    <n v="4"/>
    <s v="California"/>
    <s v="San Diego County"/>
    <x v="2"/>
    <n v="8"/>
    <e v="#NAME?"/>
  </r>
  <r>
    <s v="TX501269"/>
    <s v="Hoodies &amp; Sweatshirts"/>
    <n v="3"/>
    <n v="43.3"/>
    <n v="129.89999999999998"/>
    <d v="2025-02-18T00:00:00"/>
    <d v="2025-02-22T00:00:00"/>
    <s v="F"/>
    <s v="App"/>
    <n v="4"/>
    <s v="California"/>
    <s v="San Francisco"/>
    <x v="5"/>
    <n v="8"/>
    <e v="#NAME?"/>
  </r>
  <r>
    <s v="TX501270"/>
    <s v="Workout Tops"/>
    <n v="1"/>
    <n v="101.7"/>
    <n v="101.7"/>
    <d v="2025-02-18T00:00:00"/>
    <d v="2025-02-21T00:00:00"/>
    <s v="F"/>
    <s v="App"/>
    <n v="3"/>
    <s v="California"/>
    <s v="San Francisco"/>
    <x v="2"/>
    <n v="8"/>
    <e v="#NAME?"/>
  </r>
  <r>
    <s v="TX501271"/>
    <s v="Maxi Dresses"/>
    <n v="2"/>
    <n v="54.2"/>
    <n v="108.4"/>
    <d v="2025-02-18T00:00:00"/>
    <d v="2025-02-19T00:00:00"/>
    <s v="F"/>
    <s v="App"/>
    <n v="3"/>
    <s v="California"/>
    <s v="San Francisco"/>
    <x v="3"/>
    <n v="8"/>
    <e v="#NAME?"/>
  </r>
  <r>
    <s v="TX501272"/>
    <s v="Sunglasses"/>
    <n v="2"/>
    <n v="51"/>
    <n v="102"/>
    <d v="2025-02-18T00:00:00"/>
    <d v="2025-02-18T00:00:00"/>
    <s v="M"/>
    <s v="Website"/>
    <n v="4"/>
    <s v="California"/>
    <s v="San Joaquin County"/>
    <x v="7"/>
    <n v="8"/>
    <e v="#NAME?"/>
  </r>
  <r>
    <s v="TX501273"/>
    <s v="Graphic Tees"/>
    <n v="2"/>
    <n v="23.1"/>
    <n v="46.2"/>
    <d v="2025-02-18T00:00:00"/>
    <d v="2025-02-21T00:00:00"/>
    <s v="M"/>
    <s v="Website"/>
    <n v="4"/>
    <s v="California"/>
    <s v="Santa Barbara County"/>
    <x v="2"/>
    <n v="8"/>
    <e v="#NAME?"/>
  </r>
  <r>
    <s v="TX501274"/>
    <s v="Casual Dresses"/>
    <n v="6"/>
    <n v="60.1"/>
    <n v="360.6"/>
    <d v="2025-02-18T00:00:00"/>
    <d v="2025-02-18T00:00:00"/>
    <s v="F"/>
    <s v="Instagram"/>
    <n v="4"/>
    <s v="California"/>
    <s v="Santa Clara County"/>
    <x v="7"/>
    <n v="8"/>
    <e v="#NAME?"/>
  </r>
  <r>
    <s v="TX501275"/>
    <s v="Sneakers"/>
    <n v="7"/>
    <n v="87.5"/>
    <n v="612.5"/>
    <d v="2025-02-18T00:00:00"/>
    <d v="2025-02-20T00:00:00"/>
    <s v="F"/>
    <s v="App"/>
    <n v="3"/>
    <s v="California"/>
    <s v="Santa Clara County"/>
    <x v="1"/>
    <n v="8"/>
    <e v="#NAME?"/>
  </r>
  <r>
    <s v="TX501276"/>
    <s v="Tank Tops"/>
    <n v="3"/>
    <n v="51"/>
    <n v="153"/>
    <d v="2025-02-18T00:00:00"/>
    <d v="2025-02-19T00:00:00"/>
    <s v="F"/>
    <s v="Website"/>
    <n v="4"/>
    <s v="California"/>
    <s v="Santa Clara County"/>
    <x v="3"/>
    <n v="8"/>
    <e v="#NAME?"/>
  </r>
  <r>
    <s v="TX501277"/>
    <s v="T-Shirts"/>
    <n v="4"/>
    <n v="19.2"/>
    <n v="76.8"/>
    <d v="2025-02-18T00:00:00"/>
    <d v="2025-02-20T00:00:00"/>
    <s v="F"/>
    <s v="App"/>
    <n v="4"/>
    <s v="California"/>
    <s v="Santa Clara County"/>
    <x v="1"/>
    <n v="8"/>
    <e v="#NAME?"/>
  </r>
  <r>
    <s v="TX501278"/>
    <s v="Sandals"/>
    <n v="8"/>
    <n v="26.5"/>
    <n v="212"/>
    <d v="2025-02-18T00:00:00"/>
    <d v="2025-02-19T00:00:00"/>
    <s v=""/>
    <s v="Instagram"/>
    <n v="5"/>
    <s v="California"/>
    <s v="Santa Clara County"/>
    <x v="3"/>
    <n v="8"/>
    <e v="#NAME?"/>
  </r>
  <r>
    <s v="TX501279"/>
    <s v="Sneakers"/>
    <n v="2"/>
    <n v="220.3"/>
    <n v="440.6"/>
    <d v="2025-02-18T00:00:00"/>
    <d v="2025-02-19T00:00:00"/>
    <s v="F"/>
    <s v="Website"/>
    <n v="2"/>
    <s v="California"/>
    <s v="Shasta County"/>
    <x v="3"/>
    <n v="8"/>
    <e v="#NAME?"/>
  </r>
  <r>
    <s v="TX501280"/>
    <s v="T-Shirts"/>
    <n v="3"/>
    <n v="45.7"/>
    <n v="137.10000000000002"/>
    <d v="2025-02-18T00:00:00"/>
    <d v="2025-02-19T00:00:00"/>
    <s v="F"/>
    <s v="Partner App"/>
    <n v="4"/>
    <s v="California"/>
    <s v="Siskiyou County"/>
    <x v="3"/>
    <n v="8"/>
    <e v="#NAME?"/>
  </r>
  <r>
    <s v="TX501281"/>
    <s v="Sandals"/>
    <n v="5"/>
    <n v="47.1"/>
    <n v="235.5"/>
    <d v="2025-02-18T00:00:00"/>
    <d v="2025-02-22T00:00:00"/>
    <s v="F"/>
    <s v="Instagram"/>
    <n v="4"/>
    <s v="California"/>
    <s v="Ventura County"/>
    <x v="5"/>
    <n v="8"/>
    <e v="#NAME?"/>
  </r>
  <r>
    <s v="TX501282"/>
    <s v="Tank Tops"/>
    <n v="5"/>
    <n v="81.7"/>
    <n v="408.5"/>
    <d v="2025-02-18T00:00:00"/>
    <d v="2025-02-19T00:00:00"/>
    <s v="F"/>
    <s v="App"/>
    <n v="5"/>
    <s v="California"/>
    <s v="Alameda County"/>
    <x v="3"/>
    <n v="8"/>
    <e v="#NAME?"/>
  </r>
  <r>
    <s v="TX501283"/>
    <s v="Jeans"/>
    <n v="10"/>
    <n v="97.8"/>
    <n v="978"/>
    <d v="2025-02-18T00:00:00"/>
    <d v="2025-02-18T00:00:00"/>
    <s v="M"/>
    <s v="Website"/>
    <n v="3"/>
    <s v="California"/>
    <s v="Alameda County"/>
    <x v="7"/>
    <n v="8"/>
    <e v="#NAME?"/>
  </r>
  <r>
    <s v="TX501284"/>
    <s v="Jeans"/>
    <n v="3"/>
    <n v="42.4"/>
    <n v="127.19999999999999"/>
    <d v="2025-02-18T00:00:00"/>
    <d v="2025-02-19T00:00:00"/>
    <s v="F"/>
    <s v="App"/>
    <n v="5"/>
    <s v="California"/>
    <s v="Colusa County"/>
    <x v="3"/>
    <n v="8"/>
    <e v="#NAME?"/>
  </r>
  <r>
    <s v="TX501285"/>
    <s v="Sneakers"/>
    <n v="10"/>
    <n v="74.5"/>
    <n v="745"/>
    <d v="2025-02-18T00:00:00"/>
    <d v="2025-02-19T00:00:00"/>
    <s v="M"/>
    <s v="Target.com"/>
    <n v="3"/>
    <s v="California"/>
    <s v="Contra Costa County"/>
    <x v="3"/>
    <n v="8"/>
    <e v="#NAME?"/>
  </r>
  <r>
    <s v="TX501286"/>
    <s v="Pajama Sets"/>
    <n v="6"/>
    <n v="47.4"/>
    <n v="284.39999999999998"/>
    <d v="2025-02-18T00:00:00"/>
    <d v="2025-02-19T00:00:00"/>
    <s v="M"/>
    <s v="Website"/>
    <n v="4"/>
    <s v="California"/>
    <s v="Contra Costa County"/>
    <x v="3"/>
    <n v="8"/>
    <e v="#NAME?"/>
  </r>
  <r>
    <s v="TX501287"/>
    <s v="Baseball Caps"/>
    <n v="3"/>
    <n v="17.3"/>
    <n v="51.900000000000006"/>
    <d v="2025-02-19T00:00:00"/>
    <d v="2025-02-22T00:00:00"/>
    <s v="M"/>
    <s v="Target.com"/>
    <n v="5"/>
    <s v="California"/>
    <s v="Contra Costa County"/>
    <x v="2"/>
    <n v="8"/>
    <e v="#NAME?"/>
  </r>
  <r>
    <s v="TX501288"/>
    <s v="Casual Dresses"/>
    <n v="4"/>
    <n v="77.900000000000006"/>
    <n v="311.60000000000002"/>
    <d v="2025-02-19T00:00:00"/>
    <d v="2025-02-20T00:00:00"/>
    <s v="M"/>
    <s v="Website"/>
    <n v="4"/>
    <s v="California"/>
    <s v="Fresno County"/>
    <x v="3"/>
    <n v="8"/>
    <e v="#NAME?"/>
  </r>
  <r>
    <s v="TX501289"/>
    <s v="T-Shirts"/>
    <n v="1"/>
    <n v="29.1"/>
    <n v="29.1"/>
    <d v="2025-02-19T00:00:00"/>
    <d v="2025-02-22T00:00:00"/>
    <s v="M"/>
    <s v="App"/>
    <n v="5"/>
    <s v="California"/>
    <s v="Lake County"/>
    <x v="2"/>
    <n v="8"/>
    <e v="#NAME?"/>
  </r>
  <r>
    <s v="TX501290"/>
    <s v="T-Shirts"/>
    <n v="1"/>
    <n v="49"/>
    <n v="49"/>
    <d v="2025-02-19T00:00:00"/>
    <d v="2025-02-20T00:00:00"/>
    <s v="M"/>
    <s v="Website"/>
    <n v="4"/>
    <s v="California"/>
    <s v="Los Angeles County"/>
    <x v="3"/>
    <n v="8"/>
    <e v="#NAME?"/>
  </r>
  <r>
    <s v="TX501291"/>
    <s v="T-Shirts"/>
    <n v="6"/>
    <n v="21.1"/>
    <n v="126.60000000000001"/>
    <d v="2025-02-19T00:00:00"/>
    <d v="2025-02-26T00:00:00"/>
    <s v="M"/>
    <s v="App"/>
    <n v="5"/>
    <s v="California"/>
    <s v="Los Angeles County"/>
    <x v="6"/>
    <n v="8"/>
    <e v="#NAME?"/>
  </r>
  <r>
    <s v="TX501292"/>
    <s v="Graphic Tees"/>
    <n v="19"/>
    <n v="36.9"/>
    <n v="701.1"/>
    <d v="2025-02-19T00:00:00"/>
    <d v="2025-02-19T00:00:00"/>
    <s v="F"/>
    <s v="App"/>
    <n v="4"/>
    <s v="California"/>
    <s v="Los Angeles County"/>
    <x v="7"/>
    <n v="8"/>
    <e v="#NAME?"/>
  </r>
  <r>
    <s v="TX501293"/>
    <s v="Tank Tops"/>
    <n v="10"/>
    <n v="92.6"/>
    <n v="926"/>
    <d v="2025-02-19T00:00:00"/>
    <d v="2025-02-24T00:00:00"/>
    <s v="M"/>
    <s v="Partner App"/>
    <n v="5"/>
    <s v="California"/>
    <s v="Los Angeles County"/>
    <x v="0"/>
    <n v="8"/>
    <e v="#NAME?"/>
  </r>
  <r>
    <s v="TX501294"/>
    <s v="Bikinis"/>
    <n v="2"/>
    <n v="38"/>
    <n v="76"/>
    <d v="2025-02-19T00:00:00"/>
    <d v="2025-02-20T00:00:00"/>
    <s v="M"/>
    <s v="Website"/>
    <n v="3"/>
    <s v="California"/>
    <s v="Los Angeles County"/>
    <x v="3"/>
    <n v="8"/>
    <e v="#NAME?"/>
  </r>
  <r>
    <s v="TX501295"/>
    <s v="Sandals"/>
    <n v="3"/>
    <n v="54.8"/>
    <n v="164.39999999999998"/>
    <d v="2025-02-19T00:00:00"/>
    <d v="2025-02-23T00:00:00"/>
    <s v=""/>
    <s v="App"/>
    <n v="3"/>
    <s v="California"/>
    <s v="Los Angeles County"/>
    <x v="5"/>
    <n v="8"/>
    <e v="#NAME?"/>
  </r>
  <r>
    <s v="TX501296"/>
    <s v="Bikinis"/>
    <n v="12"/>
    <n v="56.8"/>
    <n v="681.59999999999991"/>
    <d v="2025-02-19T00:00:00"/>
    <d v="2025-02-21T00:00:00"/>
    <s v="M"/>
    <s v="Website"/>
    <n v="4"/>
    <s v="California"/>
    <s v="Los Angeles County"/>
    <x v="1"/>
    <n v="8"/>
    <e v="#NAME?"/>
  </r>
  <r>
    <s v="TX501297"/>
    <s v="Maxi Dresses"/>
    <n v="33"/>
    <n v="47.2"/>
    <n v="1557.6000000000001"/>
    <d v="2025-02-19T00:00:00"/>
    <d v="2025-02-22T00:00:00"/>
    <s v="F"/>
    <s v="Website"/>
    <n v="4"/>
    <s v="California"/>
    <s v="Los Angeles County"/>
    <x v="2"/>
    <n v="8"/>
    <e v="#NAME?"/>
  </r>
  <r>
    <s v="TX501298"/>
    <s v="Hoodies &amp; Sweatshirts"/>
    <n v="6"/>
    <n v="45.1"/>
    <n v="270.60000000000002"/>
    <d v="2025-02-19T00:00:00"/>
    <d v="2025-02-20T00:00:00"/>
    <s v="F"/>
    <s v="Target.com"/>
    <n v="4"/>
    <s v="California"/>
    <s v="Marin County"/>
    <x v="3"/>
    <n v="8"/>
    <e v="#NAME?"/>
  </r>
  <r>
    <s v="TX501299"/>
    <s v="Graphic Tees"/>
    <n v="12"/>
    <n v="25.2"/>
    <n v="302.39999999999998"/>
    <d v="2025-02-19T00:00:00"/>
    <d v="2025-02-24T00:00:00"/>
    <s v="F"/>
    <s v="Target.com"/>
    <n v="4"/>
    <s v="California"/>
    <s v="Napa County"/>
    <x v="0"/>
    <n v="8"/>
    <e v="#NAME?"/>
  </r>
  <r>
    <s v="TX501300"/>
    <s v="T-Shirts"/>
    <n v="1"/>
    <n v="22"/>
    <n v="22"/>
    <d v="2025-02-19T00:00:00"/>
    <d v="2025-02-20T00:00:00"/>
    <s v="F"/>
    <s v="App"/>
    <n v="4"/>
    <s v="California"/>
    <s v="Placer County"/>
    <x v="3"/>
    <n v="8"/>
    <e v="#NAME?"/>
  </r>
  <r>
    <s v="TX501301"/>
    <s v="Jeans"/>
    <n v="2"/>
    <n v="42.2"/>
    <n v="84.4"/>
    <d v="2025-02-19T00:00:00"/>
    <d v="2025-02-20T00:00:00"/>
    <s v="F"/>
    <s v="Website"/>
    <n v="3"/>
    <s v="California"/>
    <s v="Riverside County"/>
    <x v="3"/>
    <n v="8"/>
    <e v="#NAME?"/>
  </r>
  <r>
    <s v="TX501302"/>
    <s v="Tote Bags"/>
    <n v="3"/>
    <n v="20.5"/>
    <n v="61.5"/>
    <d v="2025-02-19T00:00:00"/>
    <d v="2025-02-20T00:00:00"/>
    <s v="M"/>
    <s v="App"/>
    <n v="3"/>
    <s v="California"/>
    <s v="Sacramento County"/>
    <x v="3"/>
    <n v="8"/>
    <e v="#NAME?"/>
  </r>
  <r>
    <s v="TX501303"/>
    <s v="Sneakers"/>
    <n v="1"/>
    <n v="190.4"/>
    <n v="190.4"/>
    <d v="2025-02-19T00:00:00"/>
    <d v="2025-02-24T00:00:00"/>
    <s v="M"/>
    <s v="Website"/>
    <n v="2"/>
    <s v="California"/>
    <s v="Sacramento County"/>
    <x v="0"/>
    <n v="8"/>
    <e v="#NAME?"/>
  </r>
  <r>
    <s v="TX501304"/>
    <s v="Sneakers"/>
    <n v="1"/>
    <n v="121.9"/>
    <n v="121.9"/>
    <d v="2025-02-19T00:00:00"/>
    <d v="2025-02-21T00:00:00"/>
    <s v="F"/>
    <s v="Website"/>
    <n v="5"/>
    <s v="California"/>
    <s v="Sacramento County"/>
    <x v="1"/>
    <n v="8"/>
    <e v="#NAME?"/>
  </r>
  <r>
    <s v="TX501305"/>
    <s v="Sneakers"/>
    <n v="6"/>
    <n v="149.19999999999999"/>
    <n v="895.19999999999993"/>
    <d v="2025-02-19T00:00:00"/>
    <d v="2025-02-20T00:00:00"/>
    <s v="F"/>
    <s v="Target.com"/>
    <n v="5"/>
    <s v="California"/>
    <s v="San Bernardino County"/>
    <x v="3"/>
    <n v="8"/>
    <e v="#NAME?"/>
  </r>
  <r>
    <s v="TX501306"/>
    <s v="Sneakers"/>
    <n v="1"/>
    <n v="54.1"/>
    <n v="54.1"/>
    <d v="2025-02-19T00:00:00"/>
    <d v="2025-02-28T00:00:00"/>
    <s v="F"/>
    <s v="Target.com"/>
    <n v="5"/>
    <s v="California"/>
    <s v="San Bernardino County"/>
    <x v="8"/>
    <n v="8"/>
    <e v="#NAME?"/>
  </r>
  <r>
    <s v="TX501307"/>
    <s v="Sandals"/>
    <n v="2"/>
    <n v="27.4"/>
    <n v="54.8"/>
    <d v="2025-02-19T00:00:00"/>
    <d v="2025-02-21T00:00:00"/>
    <s v="M"/>
    <s v="Website"/>
    <n v="4"/>
    <s v="California"/>
    <s v="San Diego County"/>
    <x v="1"/>
    <n v="8"/>
    <e v="#NAME?"/>
  </r>
  <r>
    <s v="TX501308"/>
    <s v="Shorts"/>
    <n v="13"/>
    <n v="30.4"/>
    <n v="395.2"/>
    <d v="2025-02-19T00:00:00"/>
    <d v="2025-02-20T00:00:00"/>
    <s v="F"/>
    <s v="App"/>
    <n v="5"/>
    <s v="California"/>
    <s v="San Diego County"/>
    <x v="3"/>
    <n v="8"/>
    <e v="#NAME?"/>
  </r>
  <r>
    <s v="TX501309"/>
    <s v="Casual Dresses"/>
    <n v="3"/>
    <n v="46.2"/>
    <n v="138.60000000000002"/>
    <d v="2025-02-19T00:00:00"/>
    <d v="2025-02-21T00:00:00"/>
    <s v="M"/>
    <s v="Target.com"/>
    <n v="3"/>
    <s v="California"/>
    <s v="San Francisco"/>
    <x v="1"/>
    <n v="8"/>
    <e v="#NAME?"/>
  </r>
  <r>
    <s v="TX501310"/>
    <s v="Hoodies &amp; Sweatshirts"/>
    <n v="8"/>
    <n v="78.599999999999994"/>
    <n v="628.79999999999995"/>
    <d v="2025-02-19T00:00:00"/>
    <d v="2025-02-23T00:00:00"/>
    <s v="M"/>
    <s v="Instagram"/>
    <n v="4"/>
    <s v="California"/>
    <s v="San Francisco"/>
    <x v="5"/>
    <n v="8"/>
    <e v="#NAME?"/>
  </r>
  <r>
    <s v="TX501311"/>
    <s v="Pajama Sets"/>
    <n v="10"/>
    <n v="25.9"/>
    <n v="259"/>
    <d v="2025-02-19T00:00:00"/>
    <d v="2025-02-25T00:00:00"/>
    <s v="M"/>
    <s v="Partner App"/>
    <n v="4"/>
    <s v="California"/>
    <s v="San Mateo County"/>
    <x v="4"/>
    <n v="8"/>
    <e v="#NAME?"/>
  </r>
  <r>
    <s v="TX501312"/>
    <s v="Jeans"/>
    <n v="1"/>
    <n v="134.80000000000001"/>
    <n v="134.80000000000001"/>
    <d v="2025-02-19T00:00:00"/>
    <d v="2025-02-21T00:00:00"/>
    <s v="M"/>
    <s v="Target.com"/>
    <n v="5"/>
    <s v="California"/>
    <s v="San Mateo County"/>
    <x v="1"/>
    <n v="8"/>
    <e v="#NAME?"/>
  </r>
  <r>
    <s v="TX501313"/>
    <s v="Crop Tops"/>
    <n v="5"/>
    <n v="43.1"/>
    <n v="215.5"/>
    <d v="2025-02-19T00:00:00"/>
    <d v="2025-02-21T00:00:00"/>
    <s v="F"/>
    <s v="App"/>
    <n v="4"/>
    <s v="California"/>
    <s v="Santa Clara County"/>
    <x v="1"/>
    <n v="8"/>
    <e v="#NAME?"/>
  </r>
  <r>
    <s v="TX501314"/>
    <s v="Sneakers"/>
    <n v="2"/>
    <n v="215.6"/>
    <n v="431.2"/>
    <d v="2025-02-19T00:00:00"/>
    <d v="2025-02-20T00:00:00"/>
    <s v="F"/>
    <s v="Target.com"/>
    <n v="4"/>
    <s v="California"/>
    <s v="Sonoma County"/>
    <x v="3"/>
    <n v="8"/>
    <e v="#NAME?"/>
  </r>
  <r>
    <s v="TX501315"/>
    <s v="Jeans"/>
    <n v="2"/>
    <n v="80.7"/>
    <n v="161.4"/>
    <d v="2025-02-19T00:00:00"/>
    <d v="2025-02-22T00:00:00"/>
    <s v="F"/>
    <s v="Instagram"/>
    <n v="4"/>
    <s v="California"/>
    <s v="Sonoma County"/>
    <x v="2"/>
    <n v="8"/>
    <e v="#NAME?"/>
  </r>
  <r>
    <s v="TX501316"/>
    <s v="Bikinis"/>
    <n v="7"/>
    <n v="20.6"/>
    <n v="144.20000000000002"/>
    <d v="2025-02-19T00:00:00"/>
    <d v="2025-02-24T00:00:00"/>
    <s v=""/>
    <s v="Target.com"/>
    <n v="3"/>
    <s v="California"/>
    <s v="Stanislaus County"/>
    <x v="0"/>
    <n v="8"/>
    <e v="#NAME?"/>
  </r>
  <r>
    <s v="TX501317"/>
    <s v="Casual Dresses"/>
    <n v="3"/>
    <n v="37.1"/>
    <n v="111.30000000000001"/>
    <d v="2025-02-19T00:00:00"/>
    <d v="2025-02-20T00:00:00"/>
    <s v="F"/>
    <s v="App"/>
    <n v="4"/>
    <s v="California"/>
    <s v="Tuolumne County"/>
    <x v="3"/>
    <n v="8"/>
    <e v="#NAME?"/>
  </r>
  <r>
    <s v="TX501318"/>
    <s v="Casual Dresses"/>
    <n v="1"/>
    <n v="104.8"/>
    <n v="104.8"/>
    <d v="2025-02-20T00:00:00"/>
    <d v="2025-02-22T00:00:00"/>
    <s v="F"/>
    <s v="App"/>
    <n v="4"/>
    <s v="California"/>
    <s v="Ventura County"/>
    <x v="1"/>
    <n v="8"/>
    <e v="#NAME?"/>
  </r>
  <r>
    <s v="TX501319"/>
    <s v="T-Shirts"/>
    <n v="2"/>
    <n v="59"/>
    <n v="118"/>
    <d v="2025-02-20T00:00:00"/>
    <d v="2025-02-21T00:00:00"/>
    <s v="M"/>
    <s v="Website"/>
    <n v="4"/>
    <s v="California"/>
    <s v="Alameda County"/>
    <x v="3"/>
    <n v="8"/>
    <e v="#NAME?"/>
  </r>
  <r>
    <s v="TX501320"/>
    <s v="T-Shirts"/>
    <n v="2"/>
    <n v="32.299999999999997"/>
    <n v="64.599999999999994"/>
    <d v="2025-02-20T00:00:00"/>
    <d v="2025-02-21T00:00:00"/>
    <s v="M"/>
    <s v="App"/>
    <n v="5"/>
    <s v="California"/>
    <s v="Alameda County"/>
    <x v="3"/>
    <n v="8"/>
    <e v="#NAME?"/>
  </r>
  <r>
    <s v="TX501321"/>
    <s v="T-Shirts"/>
    <n v="4"/>
    <n v="28.9"/>
    <n v="115.6"/>
    <d v="2025-02-20T00:00:00"/>
    <d v="2025-02-27T00:00:00"/>
    <s v="M"/>
    <s v="App"/>
    <n v="4"/>
    <s v="California"/>
    <s v="Contra Costa County"/>
    <x v="6"/>
    <n v="8"/>
    <e v="#NAME?"/>
  </r>
  <r>
    <s v="TX501322"/>
    <s v="Shorts"/>
    <n v="2"/>
    <n v="29.6"/>
    <n v="59.2"/>
    <d v="2025-02-20T00:00:00"/>
    <d v="2025-02-22T00:00:00"/>
    <s v="M"/>
    <s v="App"/>
    <n v="4"/>
    <s v="California"/>
    <s v="Contra Costa County"/>
    <x v="1"/>
    <n v="8"/>
    <e v="#NAME?"/>
  </r>
  <r>
    <s v="TX501323"/>
    <s v="Shorts"/>
    <n v="5"/>
    <n v="29.4"/>
    <n v="147"/>
    <d v="2025-02-20T00:00:00"/>
    <d v="2025-02-23T00:00:00"/>
    <s v="F"/>
    <s v="App"/>
    <n v="4"/>
    <s v="California"/>
    <s v="Contra Costa County"/>
    <x v="2"/>
    <n v="8"/>
    <e v="#NAME?"/>
  </r>
  <r>
    <s v="TX501324"/>
    <s v="Tank Tops"/>
    <n v="2"/>
    <n v="40.6"/>
    <n v="81.2"/>
    <d v="2025-02-20T00:00:00"/>
    <d v="2025-02-21T00:00:00"/>
    <s v="M"/>
    <s v="App"/>
    <n v="2"/>
    <s v="California"/>
    <s v="Fresno County"/>
    <x v="3"/>
    <n v="8"/>
    <e v="#NAME?"/>
  </r>
  <r>
    <s v="TX501325"/>
    <s v="Shorts"/>
    <n v="3"/>
    <n v="32.5"/>
    <n v="97.5"/>
    <d v="2025-02-20T00:00:00"/>
    <d v="2025-02-21T00:00:00"/>
    <s v="M"/>
    <s v="Instagram"/>
    <n v="5"/>
    <s v="California"/>
    <s v="Kern County"/>
    <x v="3"/>
    <n v="8"/>
    <e v="#NAME?"/>
  </r>
  <r>
    <s v="TX501326"/>
    <s v="Crop Tops"/>
    <n v="1"/>
    <n v="26.2"/>
    <n v="26.2"/>
    <d v="2025-02-20T00:00:00"/>
    <d v="2025-02-22T00:00:00"/>
    <s v="M"/>
    <s v="Target.com"/>
    <n v="4"/>
    <s v="California"/>
    <s v="Lassen County"/>
    <x v="1"/>
    <n v="8"/>
    <e v="#NAME?"/>
  </r>
  <r>
    <s v="TX501327"/>
    <s v="Bikinis"/>
    <n v="30"/>
    <n v="44"/>
    <n v="1320"/>
    <d v="2025-02-20T00:00:00"/>
    <d v="2025-02-26T00:00:00"/>
    <s v="M"/>
    <s v="Partner App"/>
    <n v="4"/>
    <s v="California"/>
    <s v="Los Angeles County"/>
    <x v="4"/>
    <n v="8"/>
    <e v="#NAME?"/>
  </r>
  <r>
    <s v="TX501328"/>
    <s v="Hoodies &amp; Sweatshirts"/>
    <n v="4"/>
    <n v="65.599999999999994"/>
    <n v="262.39999999999998"/>
    <d v="2025-02-20T00:00:00"/>
    <d v="2025-02-21T00:00:00"/>
    <s v="F"/>
    <s v="Website"/>
    <n v="3"/>
    <s v="California"/>
    <s v="Los Angeles County"/>
    <x v="3"/>
    <n v="8"/>
    <e v="#NAME?"/>
  </r>
  <r>
    <s v="TX501329"/>
    <s v="Sandals"/>
    <n v="12"/>
    <n v="32.6"/>
    <n v="391.20000000000005"/>
    <d v="2025-02-20T00:00:00"/>
    <d v="2025-02-21T00:00:00"/>
    <s v="M"/>
    <s v="Partner App"/>
    <n v="4"/>
    <s v="California"/>
    <s v="Los Angeles County"/>
    <x v="3"/>
    <n v="8"/>
    <e v="#NAME?"/>
  </r>
  <r>
    <s v="TX501330"/>
    <s v="Sunglasses"/>
    <n v="2"/>
    <n v="88.7"/>
    <n v="177.4"/>
    <d v="2025-02-20T00:00:00"/>
    <d v="2025-02-21T00:00:00"/>
    <s v=""/>
    <s v="Instagram"/>
    <n v="5"/>
    <s v="California"/>
    <s v="Los Angeles County"/>
    <x v="3"/>
    <n v="8"/>
    <e v="#NAME?"/>
  </r>
  <r>
    <s v="TX501331"/>
    <s v="Graphic Tees"/>
    <n v="2"/>
    <n v="21.3"/>
    <n v="42.6"/>
    <d v="2025-02-20T00:00:00"/>
    <d v="2025-02-21T00:00:00"/>
    <s v="M"/>
    <s v="App"/>
    <n v="4"/>
    <s v="California"/>
    <s v="Los Angeles County"/>
    <x v="3"/>
    <n v="8"/>
    <e v="#NAME?"/>
  </r>
  <r>
    <s v="TX501332"/>
    <s v="Graphic Tees"/>
    <n v="6"/>
    <n v="50.6"/>
    <n v="303.60000000000002"/>
    <d v="2025-02-20T00:00:00"/>
    <d v="2025-02-24T00:00:00"/>
    <s v="F"/>
    <s v="Target.com"/>
    <n v="4"/>
    <s v="California"/>
    <s v="Los Angeles County"/>
    <x v="5"/>
    <n v="8"/>
    <e v="#NAME?"/>
  </r>
  <r>
    <s v="TX501333"/>
    <s v="Sundresses"/>
    <n v="21"/>
    <n v="86.9"/>
    <n v="1824.9"/>
    <d v="2025-02-20T00:00:00"/>
    <d v="2025-02-23T00:00:00"/>
    <s v="F"/>
    <s v="App"/>
    <n v="3"/>
    <s v="California"/>
    <s v="Los Angeles County"/>
    <x v="2"/>
    <n v="8"/>
    <e v="#NAME?"/>
  </r>
  <r>
    <s v="TX501334"/>
    <s v="Maxi Dresses"/>
    <n v="3"/>
    <n v="31.8"/>
    <n v="95.4"/>
    <d v="2025-02-20T00:00:00"/>
    <d v="2025-02-22T00:00:00"/>
    <s v="M"/>
    <s v="App"/>
    <n v="5"/>
    <s v="California"/>
    <s v="Los Angeles County"/>
    <x v="1"/>
    <n v="8"/>
    <e v="#NAME?"/>
  </r>
  <r>
    <s v="TX501335"/>
    <s v="T-Shirts"/>
    <n v="1"/>
    <n v="19"/>
    <n v="19"/>
    <d v="2025-02-20T00:00:00"/>
    <d v="2025-02-21T00:00:00"/>
    <s v="F"/>
    <s v="App"/>
    <n v="5"/>
    <s v="California"/>
    <s v="Los Angeles County"/>
    <x v="3"/>
    <n v="8"/>
    <e v="#NAME?"/>
  </r>
  <r>
    <s v="TX501336"/>
    <s v="Sandals"/>
    <n v="1"/>
    <n v="54.5"/>
    <n v="54.5"/>
    <d v="2025-02-20T00:00:00"/>
    <d v="2025-02-22T00:00:00"/>
    <s v="M"/>
    <s v="App"/>
    <n v="4"/>
    <s v="California"/>
    <s v="Los Angeles County"/>
    <x v="1"/>
    <n v="8"/>
    <e v="#NAME?"/>
  </r>
  <r>
    <s v="TX501337"/>
    <s v="Sundresses"/>
    <n v="5"/>
    <n v="68.900000000000006"/>
    <n v="344.5"/>
    <d v="2025-02-20T00:00:00"/>
    <d v="2025-02-22T00:00:00"/>
    <s v="M"/>
    <s v="Partner App"/>
    <n v="3"/>
    <s v="California"/>
    <s v="Los Angeles County"/>
    <x v="1"/>
    <n v="8"/>
    <e v="#NAME?"/>
  </r>
  <r>
    <s v="TX501338"/>
    <s v="Jeans"/>
    <n v="3"/>
    <n v="84"/>
    <n v="252"/>
    <d v="2025-02-20T00:00:00"/>
    <d v="2025-02-21T00:00:00"/>
    <s v="M"/>
    <s v="Website"/>
    <n v="2"/>
    <s v="California"/>
    <s v="Napa County"/>
    <x v="3"/>
    <n v="8"/>
    <e v="#NAME?"/>
  </r>
  <r>
    <s v="TX501339"/>
    <s v="Crop Tops"/>
    <n v="8"/>
    <n v="23.1"/>
    <n v="184.8"/>
    <d v="2025-02-20T00:00:00"/>
    <d v="2025-02-25T00:00:00"/>
    <s v="M"/>
    <s v="App"/>
    <n v="5"/>
    <s v="California"/>
    <s v="Riverside County"/>
    <x v="0"/>
    <n v="8"/>
    <e v="#NAME?"/>
  </r>
  <r>
    <s v="TX501340"/>
    <s v="Hoodies &amp; Sweatshirts"/>
    <n v="2"/>
    <n v="62.4"/>
    <n v="124.8"/>
    <d v="2025-02-20T00:00:00"/>
    <d v="2025-02-21T00:00:00"/>
    <s v="F"/>
    <s v="App"/>
    <n v="3"/>
    <s v="California"/>
    <s v="Sacramento County"/>
    <x v="3"/>
    <n v="8"/>
    <e v="#NAME?"/>
  </r>
  <r>
    <s v="TX501341"/>
    <s v="Jeans"/>
    <n v="12"/>
    <n v="40.700000000000003"/>
    <n v="488.40000000000003"/>
    <d v="2025-02-20T00:00:00"/>
    <d v="2025-02-22T00:00:00"/>
    <s v="M"/>
    <s v="Website"/>
    <n v="5"/>
    <s v="California"/>
    <s v="Sacramento County"/>
    <x v="1"/>
    <n v="8"/>
    <e v="#NAME?"/>
  </r>
  <r>
    <s v="TX501342"/>
    <s v="Jeans"/>
    <n v="1"/>
    <n v="49.6"/>
    <n v="49.6"/>
    <d v="2025-02-20T00:00:00"/>
    <d v="2025-02-23T00:00:00"/>
    <s v="M"/>
    <s v="Target.com"/>
    <n v="4"/>
    <s v="California"/>
    <s v="San Bernardino County"/>
    <x v="2"/>
    <n v="8"/>
    <e v="#NAME?"/>
  </r>
  <r>
    <s v="TX501343"/>
    <s v="Hoodies &amp; Sweatshirts"/>
    <n v="45"/>
    <n v="66.599999999999994"/>
    <n v="2996.9999999999995"/>
    <d v="2025-02-20T00:00:00"/>
    <d v="2025-02-23T00:00:00"/>
    <s v="M"/>
    <s v="Target.com"/>
    <n v="4"/>
    <s v="California"/>
    <s v="San Diego County"/>
    <x v="2"/>
    <n v="8"/>
    <e v="#NAME?"/>
  </r>
  <r>
    <s v="TX501344"/>
    <s v="T-Shirts"/>
    <n v="3"/>
    <n v="26.4"/>
    <n v="79.199999999999989"/>
    <d v="2025-02-20T00:00:00"/>
    <d v="2025-02-21T00:00:00"/>
    <s v="F"/>
    <s v="Website"/>
    <n v="3"/>
    <s v="California"/>
    <s v="San Diego County"/>
    <x v="3"/>
    <n v="8"/>
    <e v="#NAME?"/>
  </r>
  <r>
    <s v="TX501345"/>
    <s v="Shorts"/>
    <n v="2"/>
    <n v="17.2"/>
    <n v="34.4"/>
    <d v="2025-02-20T00:00:00"/>
    <d v="2025-02-23T00:00:00"/>
    <s v="M"/>
    <s v="Target.com"/>
    <n v="3"/>
    <s v="California"/>
    <s v="San Diego County"/>
    <x v="2"/>
    <n v="8"/>
    <e v="#NAME?"/>
  </r>
  <r>
    <s v="TX501346"/>
    <s v="Sandals"/>
    <n v="8"/>
    <n v="58.1"/>
    <n v="464.8"/>
    <d v="2025-02-20T00:00:00"/>
    <d v="2025-02-23T00:00:00"/>
    <s v="F"/>
    <s v="Partner App"/>
    <n v="4"/>
    <s v="California"/>
    <s v="San Diego County"/>
    <x v="2"/>
    <n v="8"/>
    <e v="#NAME?"/>
  </r>
  <r>
    <s v="TX501347"/>
    <s v="Crop Tops"/>
    <n v="4"/>
    <n v="31.5"/>
    <n v="126"/>
    <d v="2025-02-20T00:00:00"/>
    <d v="2025-02-23T00:00:00"/>
    <s v="F"/>
    <s v="Partner App"/>
    <n v="2"/>
    <s v="California"/>
    <s v="San Diego County"/>
    <x v="2"/>
    <n v="8"/>
    <e v="#NAME?"/>
  </r>
  <r>
    <s v="TX501348"/>
    <s v="Shorts"/>
    <n v="1"/>
    <n v="27.1"/>
    <n v="27.1"/>
    <d v="2025-02-20T00:00:00"/>
    <d v="2025-02-22T00:00:00"/>
    <s v="F"/>
    <s v="App"/>
    <n v="3"/>
    <s v="California"/>
    <s v="San Francisco"/>
    <x v="1"/>
    <n v="8"/>
    <e v="#NAME?"/>
  </r>
  <r>
    <s v="TX501349"/>
    <s v="Leggings"/>
    <n v="4"/>
    <n v="28.5"/>
    <n v="114"/>
    <d v="2025-02-20T00:00:00"/>
    <d v="2025-02-22T00:00:00"/>
    <s v="M"/>
    <s v="Website"/>
    <n v="5"/>
    <s v="California"/>
    <s v="San Mateo County"/>
    <x v="1"/>
    <n v="8"/>
    <e v="#NAME?"/>
  </r>
  <r>
    <s v="TX501350"/>
    <s v="Bikinis"/>
    <n v="1"/>
    <n v="40.5"/>
    <n v="40.5"/>
    <d v="2025-02-21T00:00:00"/>
    <d v="2025-02-23T00:00:00"/>
    <s v="O"/>
    <s v="Target.com"/>
    <n v="4"/>
    <s v="California"/>
    <s v="San Mateo County"/>
    <x v="1"/>
    <n v="8"/>
    <e v="#NAME?"/>
  </r>
  <r>
    <s v="TX501351"/>
    <s v="Sneakers"/>
    <n v="3"/>
    <n v="77.900000000000006"/>
    <n v="233.70000000000002"/>
    <d v="2025-02-21T00:00:00"/>
    <d v="2025-02-25T00:00:00"/>
    <s v="F"/>
    <s v="Website"/>
    <n v="5"/>
    <s v="California"/>
    <s v="Stanislaus County"/>
    <x v="5"/>
    <n v="8"/>
    <e v="#NAME?"/>
  </r>
  <r>
    <s v="TX501352"/>
    <s v="Leggings"/>
    <n v="4"/>
    <n v="37.1"/>
    <n v="148.4"/>
    <d v="2025-02-21T00:00:00"/>
    <d v="2025-02-23T00:00:00"/>
    <s v="M"/>
    <s v="Partner App"/>
    <n v="5"/>
    <s v="California"/>
    <s v="Stanislaus County"/>
    <x v="1"/>
    <n v="8"/>
    <e v="#NAME?"/>
  </r>
  <r>
    <s v="TX501353"/>
    <s v="Sunglasses"/>
    <n v="3"/>
    <n v="51.6"/>
    <n v="154.80000000000001"/>
    <d v="2025-02-21T00:00:00"/>
    <d v="2025-03-01T00:00:00"/>
    <s v="F"/>
    <s v="App"/>
    <n v="2"/>
    <s v="California"/>
    <s v="Stanislaus County"/>
    <x v="9"/>
    <n v="8"/>
    <e v="#NAME?"/>
  </r>
  <r>
    <s v="TX501354"/>
    <s v="Hoodies &amp; Sweatshirts"/>
    <n v="3"/>
    <n v="98"/>
    <n v="294"/>
    <d v="2025-02-21T00:00:00"/>
    <d v="2025-02-22T00:00:00"/>
    <s v="M"/>
    <s v="Website"/>
    <n v="3"/>
    <s v="California"/>
    <s v="Stanislaus County"/>
    <x v="3"/>
    <n v="8"/>
    <e v="#NAME?"/>
  </r>
  <r>
    <s v="TX501355"/>
    <s v="Jeans"/>
    <n v="7"/>
    <n v="41.4"/>
    <n v="289.8"/>
    <d v="2025-02-21T00:00:00"/>
    <d v="2025-02-22T00:00:00"/>
    <s v="M"/>
    <s v="Website"/>
    <n v="4"/>
    <s v="California"/>
    <s v="Tulare County"/>
    <x v="3"/>
    <n v="8"/>
    <e v="#NAME?"/>
  </r>
  <r>
    <s v="TX501356"/>
    <s v="Maxi Dresses"/>
    <n v="8"/>
    <n v="34"/>
    <n v="272"/>
    <d v="2025-02-21T00:00:00"/>
    <d v="2025-02-26T00:00:00"/>
    <s v="F"/>
    <s v="App"/>
    <n v="5"/>
    <s v="California"/>
    <s v="Tuolumne County"/>
    <x v="0"/>
    <n v="8"/>
    <e v="#NAME?"/>
  </r>
  <r>
    <s v="TX501357"/>
    <s v="Jeans"/>
    <n v="1"/>
    <n v="66.3"/>
    <n v="66.3"/>
    <d v="2025-02-21T00:00:00"/>
    <d v="2025-02-22T00:00:00"/>
    <s v="F"/>
    <s v="Website"/>
    <n v="4"/>
    <s v="California"/>
    <s v="Ventura County"/>
    <x v="3"/>
    <n v="8"/>
    <e v="#NAME?"/>
  </r>
  <r>
    <s v="TX501358"/>
    <s v="Hoodies &amp; Sweatshirts"/>
    <n v="1"/>
    <n v="33.5"/>
    <n v="33.5"/>
    <d v="2025-02-21T00:00:00"/>
    <d v="2025-02-25T00:00:00"/>
    <s v="M"/>
    <s v="Target.com"/>
    <n v="4"/>
    <s v="California"/>
    <s v="Ventura County"/>
    <x v="5"/>
    <n v="8"/>
    <e v="#NAME?"/>
  </r>
  <r>
    <s v="TX501359"/>
    <s v="Casual Dresses"/>
    <n v="2"/>
    <n v="70.8"/>
    <n v="141.6"/>
    <d v="2025-02-21T00:00:00"/>
    <d v="2025-02-22T00:00:00"/>
    <s v=""/>
    <s v="App"/>
    <n v="4"/>
    <s v="California"/>
    <s v="Yolo County"/>
    <x v="3"/>
    <n v="8"/>
    <e v="#NAME?"/>
  </r>
  <r>
    <s v="TX501360"/>
    <s v="Jeans"/>
    <n v="2"/>
    <n v="127.6"/>
    <n v="255.2"/>
    <d v="2025-02-21T00:00:00"/>
    <d v="2025-02-22T00:00:00"/>
    <s v="M"/>
    <s v="App"/>
    <n v="4"/>
    <s v="California"/>
    <s v="Alameda County"/>
    <x v="3"/>
    <n v="8"/>
    <e v="#NAME?"/>
  </r>
  <r>
    <s v="TX501361"/>
    <s v="Jeans"/>
    <n v="3"/>
    <n v="95.9"/>
    <n v="287.70000000000005"/>
    <d v="2025-02-21T00:00:00"/>
    <d v="2025-02-22T00:00:00"/>
    <s v="F"/>
    <s v="Website"/>
    <n v="3"/>
    <s v="California"/>
    <s v="Alameda County"/>
    <x v="3"/>
    <n v="8"/>
    <e v="#NAME?"/>
  </r>
  <r>
    <s v="TX501362"/>
    <s v="Sneakers"/>
    <n v="2"/>
    <n v="78.099999999999994"/>
    <n v="156.19999999999999"/>
    <d v="2025-02-21T00:00:00"/>
    <d v="2025-02-22T00:00:00"/>
    <s v="M"/>
    <s v="App"/>
    <n v="4"/>
    <s v="California"/>
    <s v="Contra Costa County"/>
    <x v="3"/>
    <n v="8"/>
    <e v="#NAME?"/>
  </r>
  <r>
    <s v="TX501363"/>
    <s v="Tote Bags"/>
    <n v="2"/>
    <n v="43.2"/>
    <n v="86.4"/>
    <d v="2025-02-21T00:00:00"/>
    <d v="2025-02-22T00:00:00"/>
    <s v=""/>
    <s v="Website"/>
    <n v="3"/>
    <s v="California"/>
    <s v="Contra Costa County"/>
    <x v="3"/>
    <n v="8"/>
    <e v="#NAME?"/>
  </r>
  <r>
    <s v="TX501364"/>
    <s v="T-Shirts"/>
    <n v="4"/>
    <n v="28.4"/>
    <n v="113.6"/>
    <d v="2025-02-21T00:00:00"/>
    <d v="2025-02-27T00:00:00"/>
    <s v="M"/>
    <s v="Target.com"/>
    <n v="4"/>
    <s v="California"/>
    <s v="Los Angeles County"/>
    <x v="4"/>
    <n v="8"/>
    <e v="#NAME?"/>
  </r>
  <r>
    <s v="TX501365"/>
    <s v="Sneakers"/>
    <n v="2"/>
    <n v="81.7"/>
    <n v="163.4"/>
    <d v="2025-02-21T00:00:00"/>
    <d v="2025-02-21T00:00:00"/>
    <s v="M"/>
    <s v="App"/>
    <n v="4"/>
    <s v="California"/>
    <s v="Los Angeles County"/>
    <x v="7"/>
    <n v="8"/>
    <e v="#NAME?"/>
  </r>
  <r>
    <s v="TX501366"/>
    <s v="Leggings"/>
    <n v="2"/>
    <n v="56.7"/>
    <n v="113.4"/>
    <d v="2025-02-21T00:00:00"/>
    <d v="2025-02-23T00:00:00"/>
    <s v=""/>
    <s v="App"/>
    <n v="5"/>
    <s v="California"/>
    <s v="Los Angeles County"/>
    <x v="1"/>
    <n v="8"/>
    <e v="#NAME?"/>
  </r>
  <r>
    <s v="TX501367"/>
    <s v="Workout Tops"/>
    <n v="4"/>
    <n v="66.5"/>
    <n v="266"/>
    <d v="2025-02-21T00:00:00"/>
    <d v="2025-02-21T00:00:00"/>
    <s v="F"/>
    <s v="App"/>
    <n v="5"/>
    <s v="California"/>
    <s v="Los Angeles County"/>
    <x v="7"/>
    <n v="8"/>
    <e v="#NAME?"/>
  </r>
  <r>
    <s v="TX501368"/>
    <s v="Tank Tops"/>
    <n v="2"/>
    <n v="105.3"/>
    <n v="210.6"/>
    <d v="2025-02-21T00:00:00"/>
    <d v="2025-02-25T00:00:00"/>
    <s v="M"/>
    <s v="App"/>
    <n v="3"/>
    <s v="California"/>
    <s v="Los Angeles County"/>
    <x v="5"/>
    <n v="8"/>
    <e v="#NAME?"/>
  </r>
  <r>
    <s v="TX501369"/>
    <s v="Bikinis"/>
    <n v="5"/>
    <n v="33.799999999999997"/>
    <n v="169"/>
    <d v="2025-02-21T00:00:00"/>
    <d v="2025-02-26T00:00:00"/>
    <s v="M"/>
    <s v="App"/>
    <n v="4"/>
    <s v="California"/>
    <s v="Los Angeles County"/>
    <x v="0"/>
    <n v="8"/>
    <e v="#NAME?"/>
  </r>
  <r>
    <s v="TX501370"/>
    <s v="Jeans"/>
    <n v="3"/>
    <n v="63.4"/>
    <n v="190.2"/>
    <d v="2025-02-21T00:00:00"/>
    <d v="2025-02-26T00:00:00"/>
    <s v="M"/>
    <s v="Instagram"/>
    <n v="3"/>
    <s v="California"/>
    <s v="Merced County"/>
    <x v="0"/>
    <n v="8"/>
    <e v="#NAME?"/>
  </r>
  <r>
    <s v="TX501371"/>
    <s v="Jeans"/>
    <n v="3"/>
    <n v="49"/>
    <n v="147"/>
    <d v="2025-02-21T00:00:00"/>
    <d v="2025-02-25T00:00:00"/>
    <s v="M"/>
    <s v="Instagram"/>
    <n v="4"/>
    <s v="California"/>
    <s v="Monterey County"/>
    <x v="5"/>
    <n v="8"/>
    <e v="#NAME?"/>
  </r>
  <r>
    <s v="TX501372"/>
    <s v="Tank Tops"/>
    <n v="2"/>
    <n v="40"/>
    <n v="80"/>
    <d v="2025-02-21T00:00:00"/>
    <d v="2025-02-22T00:00:00"/>
    <s v="F"/>
    <s v="Partner App"/>
    <n v="3"/>
    <s v="California"/>
    <s v="Riverside County"/>
    <x v="3"/>
    <n v="8"/>
    <e v="#NAME?"/>
  </r>
  <r>
    <s v="TX501373"/>
    <s v="Jeans"/>
    <n v="4"/>
    <n v="86.3"/>
    <n v="345.2"/>
    <d v="2025-02-21T00:00:00"/>
    <d v="2025-02-22T00:00:00"/>
    <s v="O"/>
    <s v="App"/>
    <n v="4"/>
    <s v="California"/>
    <s v="Sacramento County"/>
    <x v="3"/>
    <n v="8"/>
    <e v="#NAME?"/>
  </r>
  <r>
    <s v="TX501374"/>
    <s v="Jeans"/>
    <n v="1"/>
    <n v="51.6"/>
    <n v="51.6"/>
    <d v="2025-02-21T00:00:00"/>
    <d v="2025-02-23T00:00:00"/>
    <s v="F"/>
    <s v="Target.com"/>
    <n v="5"/>
    <s v="California"/>
    <s v="Sacramento County"/>
    <x v="1"/>
    <n v="8"/>
    <e v="#NAME?"/>
  </r>
  <r>
    <s v="TX501375"/>
    <s v="Bikinis"/>
    <n v="3"/>
    <n v="26.7"/>
    <n v="80.099999999999994"/>
    <d v="2025-02-21T00:00:00"/>
    <d v="2025-02-26T00:00:00"/>
    <s v="F"/>
    <s v="Target.com"/>
    <n v="3"/>
    <s v="California"/>
    <s v="Sacramento County"/>
    <x v="0"/>
    <n v="8"/>
    <e v="#NAME?"/>
  </r>
  <r>
    <s v="TX501376"/>
    <s v="Leggings"/>
    <n v="2"/>
    <n v="68.099999999999994"/>
    <n v="136.19999999999999"/>
    <d v="2025-02-21T00:00:00"/>
    <d v="2025-02-22T00:00:00"/>
    <s v="M"/>
    <s v="App"/>
    <n v="3"/>
    <s v="California"/>
    <s v="Sacramento County"/>
    <x v="3"/>
    <n v="8"/>
    <e v="#NAME?"/>
  </r>
  <r>
    <s v="TX501377"/>
    <s v="Tank Tops"/>
    <n v="1"/>
    <n v="81.7"/>
    <n v="81.7"/>
    <d v="2025-02-21T00:00:00"/>
    <d v="2025-02-22T00:00:00"/>
    <s v="M"/>
    <s v="App"/>
    <n v="4"/>
    <s v="California"/>
    <s v="San Bernardino County"/>
    <x v="3"/>
    <n v="8"/>
    <e v="#NAME?"/>
  </r>
  <r>
    <s v="TX501378"/>
    <s v="Leggings"/>
    <n v="10"/>
    <n v="25.1"/>
    <n v="251"/>
    <d v="2025-02-21T00:00:00"/>
    <d v="2025-02-24T00:00:00"/>
    <s v="M"/>
    <s v="Instagram"/>
    <n v="3"/>
    <s v="California"/>
    <s v="San Diego County"/>
    <x v="2"/>
    <n v="8"/>
    <e v="#NAME?"/>
  </r>
  <r>
    <s v="TX501379"/>
    <s v="T-Shirts"/>
    <n v="1"/>
    <n v="20.2"/>
    <n v="20.2"/>
    <d v="2025-02-21T00:00:00"/>
    <d v="2025-02-25T00:00:00"/>
    <s v="F"/>
    <s v="App"/>
    <n v="4"/>
    <s v="California"/>
    <s v="San Diego County"/>
    <x v="5"/>
    <n v="8"/>
    <e v="#NAME?"/>
  </r>
  <r>
    <s v="TX501380"/>
    <s v="T-Shirts"/>
    <n v="3"/>
    <n v="15.4"/>
    <n v="46.2"/>
    <d v="2025-02-21T00:00:00"/>
    <d v="2025-02-22T00:00:00"/>
    <s v="M"/>
    <s v="Website"/>
    <n v="5"/>
    <s v="California"/>
    <s v="San Diego County"/>
    <x v="3"/>
    <n v="8"/>
    <e v="#NAME?"/>
  </r>
  <r>
    <s v="TX501381"/>
    <s v="Bikinis"/>
    <n v="1"/>
    <n v="59.2"/>
    <n v="59.2"/>
    <d v="2025-02-21T00:00:00"/>
    <d v="2025-02-22T00:00:00"/>
    <s v="M"/>
    <s v="Target.com"/>
    <n v="5"/>
    <s v="California"/>
    <s v="San Francisco"/>
    <x v="3"/>
    <n v="8"/>
    <e v="#NAME?"/>
  </r>
  <r>
    <s v="TX501382"/>
    <s v="Shorts"/>
    <n v="1"/>
    <n v="46.7"/>
    <n v="46.7"/>
    <d v="2025-02-21T00:00:00"/>
    <d v="2025-02-26T00:00:00"/>
    <s v="M"/>
    <s v="App"/>
    <n v="4"/>
    <s v="California"/>
    <s v="San Francisco"/>
    <x v="0"/>
    <n v="8"/>
    <e v="#NAME?"/>
  </r>
  <r>
    <s v="TX501383"/>
    <s v="Jeans"/>
    <n v="15"/>
    <n v="41.6"/>
    <n v="624"/>
    <d v="2025-02-21T00:00:00"/>
    <d v="2025-02-23T00:00:00"/>
    <s v="M"/>
    <s v="Website"/>
    <n v="4"/>
    <s v="California"/>
    <s v="San Joaquin County"/>
    <x v="1"/>
    <n v="8"/>
    <e v="#NAME?"/>
  </r>
  <r>
    <s v="TX501384"/>
    <s v="T-Shirts"/>
    <n v="2"/>
    <n v="19.2"/>
    <n v="38.4"/>
    <d v="2025-02-21T00:00:00"/>
    <d v="2025-02-24T00:00:00"/>
    <s v="M"/>
    <s v="Partner App"/>
    <n v="5"/>
    <s v="California"/>
    <s v="San Mateo County"/>
    <x v="2"/>
    <n v="8"/>
    <e v="#NAME?"/>
  </r>
  <r>
    <s v="TX501385"/>
    <s v="Pajama Sets"/>
    <n v="7"/>
    <n v="41.8"/>
    <n v="292.59999999999997"/>
    <d v="2025-02-21T00:00:00"/>
    <d v="2025-02-23T00:00:00"/>
    <s v="F"/>
    <s v="Target.com"/>
    <n v="4"/>
    <s v="California"/>
    <s v="Santa Clara County"/>
    <x v="1"/>
    <n v="8"/>
    <e v="#NAME?"/>
  </r>
  <r>
    <s v="TX501386"/>
    <s v="T-Shirts"/>
    <n v="6"/>
    <n v="37.4"/>
    <n v="224.39999999999998"/>
    <d v="2025-02-21T00:00:00"/>
    <d v="2025-02-23T00:00:00"/>
    <s v="M"/>
    <s v="App"/>
    <n v="5"/>
    <s v="California"/>
    <s v="Santa Clara County"/>
    <x v="1"/>
    <n v="8"/>
    <e v="#NAME?"/>
  </r>
  <r>
    <s v="TX501387"/>
    <s v="Bikinis"/>
    <n v="3"/>
    <n v="60.2"/>
    <n v="180.60000000000002"/>
    <d v="2025-02-21T00:00:00"/>
    <d v="2025-02-24T00:00:00"/>
    <s v="M"/>
    <s v="Partner App"/>
    <n v="3"/>
    <s v="California"/>
    <s v="Solano County"/>
    <x v="2"/>
    <n v="8"/>
    <e v="#NAME?"/>
  </r>
  <r>
    <s v="TX501388"/>
    <s v="Sundresses"/>
    <n v="2"/>
    <n v="91.5"/>
    <n v="183"/>
    <d v="2025-02-22T00:00:00"/>
    <d v="2025-02-23T00:00:00"/>
    <s v="M"/>
    <s v="App"/>
    <n v="4"/>
    <s v="California"/>
    <s v="Ventura County"/>
    <x v="3"/>
    <n v="8"/>
    <e v="#NAME?"/>
  </r>
  <r>
    <s v="TX501389"/>
    <s v="Workout Tops"/>
    <n v="5"/>
    <n v="55.7"/>
    <n v="278.5"/>
    <d v="2025-02-22T00:00:00"/>
    <d v="2025-02-24T00:00:00"/>
    <s v=""/>
    <s v="Website"/>
    <n v="5"/>
    <s v="California"/>
    <s v="Alameda County"/>
    <x v="1"/>
    <n v="8"/>
    <e v="#NAME?"/>
  </r>
  <r>
    <s v="TX501390"/>
    <s v="Hoodies &amp; Sweatshirts"/>
    <n v="2"/>
    <n v="76.7"/>
    <n v="153.4"/>
    <d v="2025-02-22T00:00:00"/>
    <d v="2025-02-24T00:00:00"/>
    <s v="M"/>
    <s v="App"/>
    <n v="3"/>
    <s v="California"/>
    <s v="Alameda County"/>
    <x v="1"/>
    <n v="8"/>
    <e v="#NAME?"/>
  </r>
  <r>
    <s v="TX501391"/>
    <s v="T-Shirts"/>
    <n v="21"/>
    <n v="28.2"/>
    <n v="592.19999999999993"/>
    <d v="2025-02-22T00:00:00"/>
    <d v="2025-02-27T00:00:00"/>
    <s v="M"/>
    <s v="Target.com"/>
    <n v="4"/>
    <s v="California"/>
    <s v="Contra Costa County"/>
    <x v="0"/>
    <n v="8"/>
    <e v="#NAME?"/>
  </r>
  <r>
    <s v="TX501392"/>
    <s v="Hoodies &amp; Sweatshirts"/>
    <n v="5"/>
    <n v="93.2"/>
    <n v="466"/>
    <d v="2025-02-22T00:00:00"/>
    <d v="2025-02-24T00:00:00"/>
    <s v="F"/>
    <s v="Partner App"/>
    <n v="5"/>
    <s v="California"/>
    <s v="Contra Costa County"/>
    <x v="1"/>
    <n v="8"/>
    <e v="#NAME?"/>
  </r>
  <r>
    <s v="TX501393"/>
    <s v="Pajama Sets"/>
    <n v="1"/>
    <n v="33.299999999999997"/>
    <n v="33.299999999999997"/>
    <d v="2025-02-22T00:00:00"/>
    <d v="2025-02-23T00:00:00"/>
    <s v="M"/>
    <s v="Partner App"/>
    <n v="4"/>
    <s v="California"/>
    <s v="Fresno County"/>
    <x v="3"/>
    <n v="8"/>
    <e v="#NAME?"/>
  </r>
  <r>
    <s v="TX501394"/>
    <s v="Bikinis"/>
    <n v="2"/>
    <n v="39.1"/>
    <n v="78.2"/>
    <d v="2025-02-22T00:00:00"/>
    <d v="2025-02-25T00:00:00"/>
    <s v="M"/>
    <s v="App"/>
    <n v="4"/>
    <s v="California"/>
    <s v="Humboldt County"/>
    <x v="2"/>
    <n v="8"/>
    <e v="#NAME?"/>
  </r>
  <r>
    <s v="TX501395"/>
    <s v="Hoodies &amp; Sweatshirts"/>
    <n v="12"/>
    <n v="45.3"/>
    <n v="543.59999999999991"/>
    <d v="2025-02-22T00:00:00"/>
    <d v="2025-02-23T00:00:00"/>
    <s v="M"/>
    <s v="Target.com"/>
    <n v="4"/>
    <s v="California"/>
    <s v="Imperial County"/>
    <x v="3"/>
    <n v="8"/>
    <e v="#NAME?"/>
  </r>
  <r>
    <s v="TX501396"/>
    <s v="Sundresses"/>
    <n v="7"/>
    <n v="33.9"/>
    <n v="237.29999999999998"/>
    <d v="2025-02-22T00:00:00"/>
    <d v="2025-02-23T00:00:00"/>
    <s v="M"/>
    <s v="Partner App"/>
    <n v="4"/>
    <s v="California"/>
    <s v="Imperial County"/>
    <x v="3"/>
    <n v="8"/>
    <e v="#NAME?"/>
  </r>
  <r>
    <s v="TX501397"/>
    <s v="T-Shirts"/>
    <n v="3"/>
    <n v="19"/>
    <n v="57"/>
    <d v="2025-02-22T00:00:00"/>
    <d v="2025-02-23T00:00:00"/>
    <s v="M"/>
    <s v="App"/>
    <n v="5"/>
    <s v="California"/>
    <s v="Inyo County"/>
    <x v="3"/>
    <n v="8"/>
    <e v="#NAME?"/>
  </r>
  <r>
    <s v="TX501398"/>
    <s v="Graphic Tees"/>
    <n v="1"/>
    <n v="41.9"/>
    <n v="41.9"/>
    <d v="2025-02-22T00:00:00"/>
    <d v="2025-02-25T00:00:00"/>
    <s v="F"/>
    <s v="Target.com"/>
    <n v="4"/>
    <s v="California"/>
    <s v="Kern County"/>
    <x v="2"/>
    <n v="8"/>
    <e v="#NAME?"/>
  </r>
  <r>
    <s v="TX501399"/>
    <s v="Tank Tops"/>
    <n v="4"/>
    <n v="37.5"/>
    <n v="150"/>
    <d v="2025-02-22T00:00:00"/>
    <d v="2025-02-22T00:00:00"/>
    <s v="F"/>
    <s v="App"/>
    <n v="4"/>
    <s v="California"/>
    <s v="Los Angeles County"/>
    <x v="7"/>
    <n v="8"/>
    <e v="#NAME?"/>
  </r>
  <r>
    <s v="TX501400"/>
    <s v="Shorts"/>
    <n v="2"/>
    <n v="40.799999999999997"/>
    <n v="81.599999999999994"/>
    <d v="2025-02-22T00:00:00"/>
    <d v="2025-02-25T00:00:00"/>
    <s v="M"/>
    <s v="App"/>
    <n v="4"/>
    <s v="California"/>
    <s v="Los Angeles County"/>
    <x v="2"/>
    <n v="8"/>
    <e v="#NAME?"/>
  </r>
  <r>
    <s v="TX501401"/>
    <s v="Shorts"/>
    <n v="4"/>
    <n v="23.1"/>
    <n v="92.4"/>
    <d v="2025-02-22T00:00:00"/>
    <d v="2025-02-23T00:00:00"/>
    <s v="F"/>
    <s v="Partner App"/>
    <n v="4"/>
    <s v="California"/>
    <s v="Los Angeles County"/>
    <x v="3"/>
    <n v="8"/>
    <e v="#NAME?"/>
  </r>
  <r>
    <s v="TX501402"/>
    <s v="T-Shirts"/>
    <n v="5"/>
    <n v="39.299999999999997"/>
    <n v="196.5"/>
    <d v="2025-02-22T00:00:00"/>
    <d v="2025-02-23T00:00:00"/>
    <s v="F"/>
    <s v="App"/>
    <n v="4"/>
    <s v="California"/>
    <s v="Los Angeles County"/>
    <x v="3"/>
    <n v="8"/>
    <e v="#NAME?"/>
  </r>
  <r>
    <s v="TX501403"/>
    <s v="Sneakers"/>
    <n v="4"/>
    <n v="85.2"/>
    <n v="340.8"/>
    <d v="2025-02-22T00:00:00"/>
    <d v="2025-02-27T00:00:00"/>
    <s v="M"/>
    <s v="Target.com"/>
    <n v="4"/>
    <s v="California"/>
    <s v="Los Angeles County"/>
    <x v="0"/>
    <n v="8"/>
    <e v="#NAME?"/>
  </r>
  <r>
    <s v="TX501404"/>
    <s v="T-Shirts"/>
    <n v="6"/>
    <n v="16"/>
    <n v="96"/>
    <d v="2025-02-22T00:00:00"/>
    <d v="2025-02-25T00:00:00"/>
    <s v="M"/>
    <s v="Website"/>
    <n v="4"/>
    <s v="California"/>
    <s v="Los Angeles County"/>
    <x v="2"/>
    <n v="8"/>
    <e v="#NAME?"/>
  </r>
  <r>
    <s v="TX501405"/>
    <s v="Tank Tops"/>
    <n v="2"/>
    <n v="33.799999999999997"/>
    <n v="67.599999999999994"/>
    <d v="2025-02-22T00:00:00"/>
    <d v="2025-02-26T00:00:00"/>
    <s v="F"/>
    <s v="Website"/>
    <n v="4"/>
    <s v="California"/>
    <s v="Los Angeles County"/>
    <x v="5"/>
    <n v="8"/>
    <e v="#NAME?"/>
  </r>
  <r>
    <s v="TX501406"/>
    <s v="Workout Tops"/>
    <n v="1"/>
    <n v="70"/>
    <n v="70"/>
    <d v="2025-02-22T00:00:00"/>
    <d v="2025-02-23T00:00:00"/>
    <s v="F"/>
    <s v="App"/>
    <n v="4"/>
    <s v="California"/>
    <s v="Los Angeles County"/>
    <x v="3"/>
    <n v="8"/>
    <e v="#NAME?"/>
  </r>
  <r>
    <s v="TX501407"/>
    <s v="Sundresses"/>
    <n v="1"/>
    <n v="88"/>
    <n v="88"/>
    <d v="2025-02-22T00:00:00"/>
    <d v="2025-02-27T00:00:00"/>
    <s v="F"/>
    <s v="Instagram"/>
    <n v="4"/>
    <s v="California"/>
    <s v="Los Angeles County"/>
    <x v="0"/>
    <n v="8"/>
    <e v="#NAME?"/>
  </r>
  <r>
    <s v="TX501408"/>
    <s v="Sneakers"/>
    <n v="3"/>
    <n v="74.099999999999994"/>
    <n v="222.29999999999998"/>
    <d v="2025-02-22T00:00:00"/>
    <d v="2025-02-22T00:00:00"/>
    <s v="M"/>
    <s v="Partner App"/>
    <n v="3"/>
    <s v="California"/>
    <s v="Los Angeles County"/>
    <x v="7"/>
    <n v="8"/>
    <e v="#NAME?"/>
  </r>
  <r>
    <s v="TX501409"/>
    <s v="Sneakers"/>
    <n v="1"/>
    <n v="161.9"/>
    <n v="161.9"/>
    <d v="2025-02-22T00:00:00"/>
    <d v="2025-02-24T00:00:00"/>
    <s v="M"/>
    <s v="Target.com"/>
    <n v="4"/>
    <s v="California"/>
    <s v="Los Angeles County"/>
    <x v="1"/>
    <n v="8"/>
    <e v="#NAME?"/>
  </r>
  <r>
    <s v="TX501410"/>
    <s v="Graphic Tees"/>
    <n v="2"/>
    <n v="44"/>
    <n v="88"/>
    <d v="2025-02-22T00:00:00"/>
    <d v="2025-02-23T00:00:00"/>
    <s v="O"/>
    <s v="Partner App"/>
    <n v="3"/>
    <s v="California"/>
    <s v="Los Angeles County"/>
    <x v="3"/>
    <n v="8"/>
    <e v="#NAME?"/>
  </r>
  <r>
    <s v="TX501411"/>
    <s v="Maxi Dresses"/>
    <n v="1"/>
    <n v="32.1"/>
    <n v="32.1"/>
    <d v="2025-02-22T00:00:00"/>
    <d v="2025-02-22T00:00:00"/>
    <s v="F"/>
    <s v="Instagram"/>
    <n v="1"/>
    <s v="California"/>
    <s v="Los Angeles County"/>
    <x v="7"/>
    <n v="8"/>
    <e v="#NAME?"/>
  </r>
  <r>
    <s v="TX501412"/>
    <s v="Sneakers"/>
    <n v="4"/>
    <n v="104.8"/>
    <n v="419.2"/>
    <d v="2025-02-23T00:00:00"/>
    <d v="2025-02-25T00:00:00"/>
    <s v="O"/>
    <s v="App"/>
    <n v="4"/>
    <s v="California"/>
    <s v="Los Angeles County"/>
    <x v="1"/>
    <n v="9"/>
    <e v="#NAME?"/>
  </r>
  <r>
    <s v="TX501413"/>
    <s v="Sundresses"/>
    <n v="6"/>
    <n v="67.400000000000006"/>
    <n v="404.40000000000003"/>
    <d v="2025-02-23T00:00:00"/>
    <d v="2025-02-24T00:00:00"/>
    <s v="F"/>
    <s v="Instagram"/>
    <n v="4"/>
    <s v="California"/>
    <s v="Los Angeles County"/>
    <x v="3"/>
    <n v="9"/>
    <e v="#NAME?"/>
  </r>
  <r>
    <s v="TX501414"/>
    <s v="Jeans"/>
    <n v="2"/>
    <n v="115.2"/>
    <n v="230.4"/>
    <d v="2025-02-23T00:00:00"/>
    <d v="2025-02-24T00:00:00"/>
    <s v="F"/>
    <s v="Website"/>
    <n v="4"/>
    <s v="California"/>
    <s v="Nevada County"/>
    <x v="3"/>
    <n v="9"/>
    <e v="#NAME?"/>
  </r>
  <r>
    <s v="TX501415"/>
    <s v="T-Shirts"/>
    <n v="29"/>
    <n v="15.5"/>
    <n v="449.5"/>
    <d v="2025-02-23T00:00:00"/>
    <d v="2025-02-25T00:00:00"/>
    <s v="F"/>
    <s v="App"/>
    <n v="3"/>
    <s v="California"/>
    <s v="Riverside County"/>
    <x v="1"/>
    <n v="9"/>
    <e v="#NAME?"/>
  </r>
  <r>
    <s v="TX501416"/>
    <s v="Jeans"/>
    <n v="11"/>
    <n v="66.400000000000006"/>
    <n v="730.40000000000009"/>
    <d v="2025-02-23T00:00:00"/>
    <d v="2025-02-25T00:00:00"/>
    <s v="F"/>
    <s v="App"/>
    <n v="4"/>
    <s v="California"/>
    <s v="Sacramento County"/>
    <x v="1"/>
    <n v="9"/>
    <e v="#NAME?"/>
  </r>
  <r>
    <s v="TX501417"/>
    <s v="Sundresses"/>
    <n v="12"/>
    <n v="68.099999999999994"/>
    <n v="817.19999999999993"/>
    <d v="2025-02-23T00:00:00"/>
    <d v="2025-02-24T00:00:00"/>
    <s v="F"/>
    <s v="Target.com"/>
    <n v="4"/>
    <s v="California"/>
    <s v="San Diego County"/>
    <x v="3"/>
    <n v="9"/>
    <e v="#NAME?"/>
  </r>
  <r>
    <s v="TX501418"/>
    <s v="T-Shirts"/>
    <n v="5"/>
    <n v="32.5"/>
    <n v="162.5"/>
    <d v="2025-02-23T00:00:00"/>
    <d v="2025-02-27T00:00:00"/>
    <s v="M"/>
    <s v="Target.com"/>
    <n v="3"/>
    <s v="California"/>
    <s v="San Diego County"/>
    <x v="5"/>
    <n v="9"/>
    <e v="#NAME?"/>
  </r>
  <r>
    <s v="TX501419"/>
    <s v="Crop Tops"/>
    <n v="3"/>
    <n v="61.2"/>
    <n v="183.60000000000002"/>
    <d v="2025-02-23T00:00:00"/>
    <d v="2025-02-25T00:00:00"/>
    <s v="F"/>
    <s v="Website"/>
    <n v="3"/>
    <s v="California"/>
    <s v="San Diego County"/>
    <x v="1"/>
    <n v="9"/>
    <e v="#NAME?"/>
  </r>
  <r>
    <s v="TX501420"/>
    <s v="Sundresses"/>
    <n v="2"/>
    <n v="54.2"/>
    <n v="108.4"/>
    <d v="2025-02-23T00:00:00"/>
    <d v="2025-02-24T00:00:00"/>
    <s v="F"/>
    <s v="Website"/>
    <n v="4"/>
    <s v="California"/>
    <s v="San Diego County"/>
    <x v="3"/>
    <n v="9"/>
    <e v="#NAME?"/>
  </r>
  <r>
    <s v="TX501421"/>
    <s v="Maxi Dresses"/>
    <n v="8"/>
    <n v="28.7"/>
    <n v="229.6"/>
    <d v="2025-02-23T00:00:00"/>
    <d v="2025-02-25T00:00:00"/>
    <s v="M"/>
    <s v="Website"/>
    <n v="4"/>
    <s v="California"/>
    <s v="San Mateo County"/>
    <x v="1"/>
    <n v="9"/>
    <e v="#NAME?"/>
  </r>
  <r>
    <s v="TX501422"/>
    <s v="Casual Dresses"/>
    <n v="6"/>
    <n v="38.200000000000003"/>
    <n v="229.20000000000002"/>
    <d v="2025-02-23T00:00:00"/>
    <d v="2025-02-27T00:00:00"/>
    <s v="F"/>
    <s v="App"/>
    <n v="3"/>
    <s v="California"/>
    <s v="San Mateo County"/>
    <x v="5"/>
    <n v="9"/>
    <e v="#NAME?"/>
  </r>
  <r>
    <s v="TX501423"/>
    <s v="T-Shirts"/>
    <n v="12"/>
    <n v="17.600000000000001"/>
    <n v="211.20000000000002"/>
    <d v="2025-02-23T00:00:00"/>
    <d v="2025-02-24T00:00:00"/>
    <s v="F"/>
    <s v="Target.com"/>
    <n v="3"/>
    <s v="California"/>
    <s v="San Mateo County"/>
    <x v="3"/>
    <n v="9"/>
    <e v="#NAME?"/>
  </r>
  <r>
    <s v="TX501424"/>
    <s v="Bikinis"/>
    <n v="3"/>
    <n v="74.599999999999994"/>
    <n v="223.79999999999998"/>
    <d v="2025-02-23T00:00:00"/>
    <d v="2025-02-23T00:00:00"/>
    <s v="F"/>
    <s v="Target.com"/>
    <n v="4"/>
    <s v="California"/>
    <s v="Santa Clara County"/>
    <x v="7"/>
    <n v="9"/>
    <e v="#NAME?"/>
  </r>
  <r>
    <s v="TX501425"/>
    <s v="Sunglasses"/>
    <n v="15"/>
    <n v="72.599999999999994"/>
    <n v="1089"/>
    <d v="2025-02-23T00:00:00"/>
    <d v="2025-02-23T00:00:00"/>
    <s v=""/>
    <s v="Website"/>
    <n v="3"/>
    <s v="California"/>
    <s v="Santa Clara County"/>
    <x v="7"/>
    <n v="9"/>
    <e v="#NAME?"/>
  </r>
  <r>
    <s v="TX501426"/>
    <s v="Hoodies &amp; Sweatshirts"/>
    <n v="1"/>
    <n v="62.3"/>
    <n v="62.3"/>
    <d v="2025-02-23T00:00:00"/>
    <d v="2025-02-24T00:00:00"/>
    <s v="F"/>
    <s v="Website"/>
    <n v="4"/>
    <s v="California"/>
    <s v="Santa Clara County"/>
    <x v="3"/>
    <n v="9"/>
    <e v="#NAME?"/>
  </r>
  <r>
    <s v="TX501427"/>
    <s v="Workout Tops"/>
    <n v="3"/>
    <n v="33.799999999999997"/>
    <n v="101.39999999999999"/>
    <d v="2025-02-23T00:00:00"/>
    <d v="2025-02-25T00:00:00"/>
    <s v="M"/>
    <s v="App"/>
    <n v="5"/>
    <s v="California"/>
    <s v="Tulare County"/>
    <x v="1"/>
    <n v="9"/>
    <e v="#NAME?"/>
  </r>
  <r>
    <s v="TX501428"/>
    <s v="Sundresses"/>
    <n v="1"/>
    <n v="85.7"/>
    <n v="85.7"/>
    <d v="2025-02-23T00:00:00"/>
    <d v="2025-02-26T00:00:00"/>
    <s v="M"/>
    <s v="Instagram"/>
    <n v="3"/>
    <s v="California"/>
    <s v="Alameda County"/>
    <x v="2"/>
    <n v="9"/>
    <e v="#NAME?"/>
  </r>
  <r>
    <s v="TX501429"/>
    <s v="Jeans"/>
    <n v="2"/>
    <n v="92.1"/>
    <n v="184.2"/>
    <d v="2025-02-23T00:00:00"/>
    <d v="2025-02-25T00:00:00"/>
    <s v="M"/>
    <s v="Website"/>
    <n v="4"/>
    <s v="California"/>
    <s v="Alameda County"/>
    <x v="1"/>
    <n v="9"/>
    <e v="#NAME?"/>
  </r>
  <r>
    <s v="TX501430"/>
    <s v="Sunglasses"/>
    <n v="3"/>
    <n v="65.099999999999994"/>
    <n v="195.29999999999998"/>
    <d v="2025-02-23T00:00:00"/>
    <d v="2025-02-26T00:00:00"/>
    <s v="M"/>
    <s v="App"/>
    <n v="4"/>
    <s v="California"/>
    <s v="Contra Costa County"/>
    <x v="2"/>
    <n v="9"/>
    <e v="#NAME?"/>
  </r>
  <r>
    <s v="TX501431"/>
    <s v="Sundresses"/>
    <n v="7"/>
    <n v="20.3"/>
    <n v="142.1"/>
    <d v="2025-02-23T00:00:00"/>
    <d v="2025-02-24T00:00:00"/>
    <s v="F"/>
    <s v="Target.com"/>
    <n v="5"/>
    <s v="California"/>
    <s v="Fresno County"/>
    <x v="3"/>
    <n v="9"/>
    <e v="#NAME?"/>
  </r>
  <r>
    <s v="TX501432"/>
    <s v="Jewelry"/>
    <n v="2"/>
    <n v="29.8"/>
    <n v="59.6"/>
    <d v="2025-02-23T00:00:00"/>
    <d v="2025-02-25T00:00:00"/>
    <s v="F"/>
    <s v="Website"/>
    <n v="5"/>
    <s v="California"/>
    <s v="Kings County"/>
    <x v="1"/>
    <n v="9"/>
    <e v="#NAME?"/>
  </r>
  <r>
    <s v="TX501433"/>
    <s v="Shorts"/>
    <n v="2"/>
    <n v="24.2"/>
    <n v="48.4"/>
    <d v="2025-02-23T00:00:00"/>
    <d v="2025-02-25T00:00:00"/>
    <s v="F"/>
    <s v="Instagram"/>
    <n v="5"/>
    <s v="California"/>
    <s v="Los Angeles County"/>
    <x v="1"/>
    <n v="9"/>
    <e v="#NAME?"/>
  </r>
  <r>
    <s v="TX501434"/>
    <s v="Workout Tops"/>
    <n v="1"/>
    <n v="57.3"/>
    <n v="57.3"/>
    <d v="2025-02-23T00:00:00"/>
    <d v="2025-02-25T00:00:00"/>
    <s v="M"/>
    <s v="App"/>
    <n v="4"/>
    <s v="California"/>
    <s v="Los Angeles County"/>
    <x v="1"/>
    <n v="9"/>
    <e v="#NAME?"/>
  </r>
  <r>
    <s v="TX501435"/>
    <s v="Sneakers"/>
    <n v="1"/>
    <n v="108.9"/>
    <n v="108.9"/>
    <d v="2025-02-23T00:00:00"/>
    <d v="2025-02-25T00:00:00"/>
    <s v="F"/>
    <s v="Website"/>
    <n v="4"/>
    <s v="California"/>
    <s v="Los Angeles County"/>
    <x v="1"/>
    <n v="9"/>
    <e v="#NAME?"/>
  </r>
  <r>
    <s v="TX501436"/>
    <s v="Hoodies &amp; Sweatshirts"/>
    <n v="5"/>
    <n v="50.7"/>
    <n v="253.5"/>
    <d v="2025-02-23T00:00:00"/>
    <d v="2025-02-24T00:00:00"/>
    <s v="F"/>
    <s v="App"/>
    <n v="4"/>
    <s v="California"/>
    <s v="Los Angeles County"/>
    <x v="3"/>
    <n v="9"/>
    <e v="#NAME?"/>
  </r>
  <r>
    <s v="TX501437"/>
    <s v="Hoodies &amp; Sweatshirts"/>
    <n v="9"/>
    <n v="66.099999999999994"/>
    <n v="594.9"/>
    <d v="2025-02-23T00:00:00"/>
    <d v="2025-03-09T00:00:00"/>
    <s v="F"/>
    <s v="Website"/>
    <n v="4"/>
    <s v="California"/>
    <s v="Los Angeles County"/>
    <x v="12"/>
    <n v="9"/>
    <e v="#NAME?"/>
  </r>
  <r>
    <s v="TX501438"/>
    <s v="Casual Dresses"/>
    <n v="5"/>
    <n v="36.700000000000003"/>
    <n v="183.5"/>
    <d v="2025-02-23T00:00:00"/>
    <d v="2025-02-27T00:00:00"/>
    <s v="F"/>
    <s v="Partner App"/>
    <n v="4"/>
    <s v="California"/>
    <s v="Los Angeles County"/>
    <x v="5"/>
    <n v="9"/>
    <e v="#NAME?"/>
  </r>
  <r>
    <s v="TX501439"/>
    <s v="T-Shirts"/>
    <n v="17"/>
    <n v="19.3"/>
    <n v="328.1"/>
    <d v="2025-02-23T00:00:00"/>
    <d v="2025-02-25T00:00:00"/>
    <s v="M"/>
    <s v="App"/>
    <n v="4"/>
    <s v="California"/>
    <s v="Marin County"/>
    <x v="1"/>
    <n v="9"/>
    <e v="#NAME?"/>
  </r>
  <r>
    <s v="TX501440"/>
    <s v="T-Shirts"/>
    <n v="4"/>
    <n v="20.7"/>
    <n v="82.8"/>
    <d v="2025-02-23T00:00:00"/>
    <d v="2025-02-24T00:00:00"/>
    <s v="M"/>
    <s v="Website"/>
    <n v="5"/>
    <s v="California"/>
    <s v="Sacramento County"/>
    <x v="3"/>
    <n v="9"/>
    <e v="#NAME?"/>
  </r>
  <r>
    <s v="TX501441"/>
    <s v="Sandals"/>
    <n v="3"/>
    <n v="54.7"/>
    <n v="164.10000000000002"/>
    <d v="2025-02-23T00:00:00"/>
    <d v="2025-02-23T00:00:00"/>
    <s v="O"/>
    <s v="Website"/>
    <n v="2"/>
    <s v="California"/>
    <s v="Sacramento County"/>
    <x v="7"/>
    <n v="9"/>
    <e v="#NAME?"/>
  </r>
  <r>
    <s v="TX501442"/>
    <s v="Graphic Tees"/>
    <n v="2"/>
    <n v="19.8"/>
    <n v="39.6"/>
    <d v="2025-02-23T00:00:00"/>
    <d v="2025-02-27T00:00:00"/>
    <s v="F"/>
    <s v="Partner App"/>
    <n v="3"/>
    <s v="California"/>
    <s v="San Diego County"/>
    <x v="5"/>
    <n v="9"/>
    <e v="#NAME?"/>
  </r>
  <r>
    <s v="TX501443"/>
    <s v="Hoodies &amp; Sweatshirts"/>
    <n v="1"/>
    <n v="41.1"/>
    <n v="41.1"/>
    <d v="2025-02-23T00:00:00"/>
    <d v="2025-02-25T00:00:00"/>
    <s v="F"/>
    <s v="App"/>
    <n v="5"/>
    <s v="California"/>
    <s v="San Diego County"/>
    <x v="1"/>
    <n v="9"/>
    <e v="#NAME?"/>
  </r>
  <r>
    <s v="TX501444"/>
    <s v="Maxi Dresses"/>
    <n v="8"/>
    <n v="43.5"/>
    <n v="348"/>
    <d v="2025-02-23T00:00:00"/>
    <d v="2025-02-27T00:00:00"/>
    <s v="F"/>
    <s v="Instagram"/>
    <n v="4"/>
    <s v="California"/>
    <s v="San Diego County"/>
    <x v="5"/>
    <n v="9"/>
    <e v="#NAME?"/>
  </r>
  <r>
    <s v="TX501445"/>
    <s v="T-Shirts"/>
    <n v="14"/>
    <n v="19"/>
    <n v="266"/>
    <d v="2025-02-23T00:00:00"/>
    <d v="2025-02-24T00:00:00"/>
    <s v="M"/>
    <s v="App"/>
    <n v="4"/>
    <s v="California"/>
    <s v="San Joaquin County"/>
    <x v="3"/>
    <n v="9"/>
    <e v="#NAME?"/>
  </r>
  <r>
    <s v="TX501446"/>
    <s v="Sneakers"/>
    <n v="4"/>
    <n v="51.4"/>
    <n v="205.6"/>
    <d v="2025-02-23T00:00:00"/>
    <d v="2025-02-23T00:00:00"/>
    <s v="F"/>
    <s v="App"/>
    <n v="4"/>
    <s v="California"/>
    <s v="San Joaquin County"/>
    <x v="7"/>
    <n v="9"/>
    <e v="#NAME?"/>
  </r>
  <r>
    <s v="TX501447"/>
    <s v="Bikinis"/>
    <n v="2"/>
    <n v="39.799999999999997"/>
    <n v="79.599999999999994"/>
    <d v="2025-02-23T00:00:00"/>
    <d v="2025-02-26T00:00:00"/>
    <s v="M"/>
    <s v="Instagram"/>
    <n v="3"/>
    <s v="California"/>
    <s v="Ventura County"/>
    <x v="2"/>
    <n v="9"/>
    <e v="#NAME?"/>
  </r>
  <r>
    <s v="TX501448"/>
    <s v="Jeans"/>
    <n v="5"/>
    <n v="61"/>
    <n v="305"/>
    <d v="2025-02-23T00:00:00"/>
    <d v="2025-02-24T00:00:00"/>
    <s v=""/>
    <s v="App"/>
    <n v="5"/>
    <s v="California"/>
    <s v="Alameda County"/>
    <x v="3"/>
    <n v="9"/>
    <e v="#NAME?"/>
  </r>
  <r>
    <s v="TX501449"/>
    <s v="T-Shirts"/>
    <n v="11"/>
    <n v="15.1"/>
    <n v="166.1"/>
    <d v="2025-02-24T00:00:00"/>
    <d v="2025-03-01T00:00:00"/>
    <s v="M"/>
    <s v="Instagram"/>
    <n v="5"/>
    <s v="California"/>
    <s v="Fresno County"/>
    <x v="0"/>
    <n v="9"/>
    <e v="#NAME?"/>
  </r>
  <r>
    <s v="TX501450"/>
    <s v="Tank Tops"/>
    <n v="7"/>
    <n v="71.3"/>
    <n v="499.09999999999997"/>
    <d v="2025-02-24T00:00:00"/>
    <d v="2025-02-25T00:00:00"/>
    <s v="M"/>
    <s v="Partner App"/>
    <n v="4"/>
    <s v="California"/>
    <s v="Los Angeles County"/>
    <x v="3"/>
    <n v="9"/>
    <e v="#NAME?"/>
  </r>
  <r>
    <s v="TX501451"/>
    <s v="Bikinis"/>
    <n v="1"/>
    <n v="25.8"/>
    <n v="25.8"/>
    <d v="2025-02-24T00:00:00"/>
    <d v="2025-02-26T00:00:00"/>
    <s v="F"/>
    <s v="App"/>
    <n v="5"/>
    <s v="California"/>
    <s v="Los Angeles County"/>
    <x v="1"/>
    <n v="9"/>
    <e v="#NAME?"/>
  </r>
  <r>
    <s v="TX501452"/>
    <s v="T-Shirts"/>
    <n v="5"/>
    <n v="39.6"/>
    <n v="198"/>
    <d v="2025-02-24T00:00:00"/>
    <d v="2025-02-26T00:00:00"/>
    <s v="M"/>
    <s v="Website"/>
    <n v="5"/>
    <s v="California"/>
    <s v="Los Angeles County"/>
    <x v="1"/>
    <n v="9"/>
    <e v="#NAME?"/>
  </r>
  <r>
    <s v="TX501453"/>
    <s v="Sandals"/>
    <n v="2"/>
    <n v="64"/>
    <n v="128"/>
    <d v="2025-02-24T00:00:00"/>
    <d v="2025-02-24T00:00:00"/>
    <s v="M"/>
    <s v="Website"/>
    <n v="3"/>
    <s v="California"/>
    <s v="Los Angeles County"/>
    <x v="7"/>
    <n v="9"/>
    <e v="#NAME?"/>
  </r>
  <r>
    <s v="TX501454"/>
    <s v="T-Shirts"/>
    <n v="2"/>
    <n v="30.6"/>
    <n v="61.2"/>
    <d v="2025-02-24T00:00:00"/>
    <d v="2025-02-27T00:00:00"/>
    <s v="M"/>
    <s v="App"/>
    <n v="5"/>
    <s v="California"/>
    <s v="Los Angeles County"/>
    <x v="2"/>
    <n v="9"/>
    <e v="#NAME?"/>
  </r>
  <r>
    <s v="TX501455"/>
    <s v="T-Shirts"/>
    <n v="2"/>
    <n v="21.3"/>
    <n v="42.6"/>
    <d v="2025-02-24T00:00:00"/>
    <d v="2025-02-25T00:00:00"/>
    <s v="M"/>
    <s v="App"/>
    <n v="3"/>
    <s v="California"/>
    <s v="Los Angeles County"/>
    <x v="3"/>
    <n v="9"/>
    <e v="#NAME?"/>
  </r>
  <r>
    <s v="TX501456"/>
    <s v="Hoodies &amp; Sweatshirts"/>
    <n v="1"/>
    <n v="40.799999999999997"/>
    <n v="40.799999999999997"/>
    <d v="2025-02-24T00:00:00"/>
    <d v="2025-02-26T00:00:00"/>
    <s v="F"/>
    <s v="Partner App"/>
    <n v="4"/>
    <s v="California"/>
    <s v="Los Angeles County"/>
    <x v="1"/>
    <n v="9"/>
    <e v="#NAME?"/>
  </r>
  <r>
    <s v="TX501457"/>
    <s v="Sundresses"/>
    <n v="4"/>
    <n v="27.7"/>
    <n v="110.8"/>
    <d v="2025-02-24T00:00:00"/>
    <d v="2025-02-25T00:00:00"/>
    <s v="F"/>
    <s v="App"/>
    <n v="3"/>
    <s v="California"/>
    <s v="Los Angeles County"/>
    <x v="3"/>
    <n v="9"/>
    <e v="#NAME?"/>
  </r>
  <r>
    <s v="TX501458"/>
    <s v="Jeans"/>
    <n v="2"/>
    <n v="64.599999999999994"/>
    <n v="129.19999999999999"/>
    <d v="2025-02-24T00:00:00"/>
    <d v="2025-02-25T00:00:00"/>
    <s v="M"/>
    <s v="App"/>
    <n v="3"/>
    <s v="California"/>
    <s v="Los Angeles County"/>
    <x v="3"/>
    <n v="9"/>
    <e v="#NAME?"/>
  </r>
  <r>
    <s v="TX501459"/>
    <s v="Jeans"/>
    <n v="16"/>
    <n v="91.1"/>
    <n v="1457.6"/>
    <d v="2025-02-24T00:00:00"/>
    <d v="2025-02-25T00:00:00"/>
    <s v="F"/>
    <s v="Website"/>
    <n v="5"/>
    <s v="California"/>
    <s v="Los Angeles County"/>
    <x v="3"/>
    <n v="9"/>
    <e v="#NAME?"/>
  </r>
  <r>
    <s v="TX501460"/>
    <s v="Tank Tops"/>
    <n v="1"/>
    <n v="39.5"/>
    <n v="39.5"/>
    <d v="2025-02-24T00:00:00"/>
    <d v="2025-03-04T00:00:00"/>
    <s v="F"/>
    <s v="App"/>
    <n v="4"/>
    <s v="California"/>
    <s v="Los Angeles County"/>
    <x v="9"/>
    <n v="9"/>
    <e v="#NAME?"/>
  </r>
  <r>
    <s v="TX501461"/>
    <s v="Sundresses"/>
    <n v="2"/>
    <n v="21.8"/>
    <n v="43.6"/>
    <d v="2025-02-24T00:00:00"/>
    <d v="2025-02-28T00:00:00"/>
    <s v="M"/>
    <s v="Partner App"/>
    <n v="5"/>
    <s v="California"/>
    <s v="Los Angeles County"/>
    <x v="5"/>
    <n v="9"/>
    <e v="#NAME?"/>
  </r>
  <r>
    <s v="TX501462"/>
    <s v="T-Shirts"/>
    <n v="2"/>
    <n v="51"/>
    <n v="102"/>
    <d v="2025-02-24T00:00:00"/>
    <d v="2025-02-27T00:00:00"/>
    <s v="M"/>
    <s v="Instagram"/>
    <n v="5"/>
    <s v="California"/>
    <s v="Los Angeles County"/>
    <x v="2"/>
    <n v="9"/>
    <e v="#NAME?"/>
  </r>
  <r>
    <s v="TX501463"/>
    <s v="Sneakers"/>
    <n v="1"/>
    <n v="92.6"/>
    <n v="92.6"/>
    <d v="2025-02-24T00:00:00"/>
    <d v="2025-02-27T00:00:00"/>
    <s v="F"/>
    <s v="App"/>
    <n v="5"/>
    <s v="California"/>
    <s v="Plumas County"/>
    <x v="2"/>
    <n v="9"/>
    <e v="#NAME?"/>
  </r>
  <r>
    <s v="TX501464"/>
    <s v="Sundresses"/>
    <n v="2"/>
    <n v="31.1"/>
    <n v="62.2"/>
    <d v="2025-02-24T00:00:00"/>
    <d v="2025-03-01T00:00:00"/>
    <s v=""/>
    <s v="Website"/>
    <n v="1"/>
    <s v="California"/>
    <s v="Riverside County"/>
    <x v="0"/>
    <n v="9"/>
    <e v="#NAME?"/>
  </r>
  <r>
    <s v="TX501465"/>
    <s v="Sandals"/>
    <n v="3"/>
    <n v="56.4"/>
    <n v="169.2"/>
    <d v="2025-02-24T00:00:00"/>
    <d v="2025-02-25T00:00:00"/>
    <s v=""/>
    <s v="Website"/>
    <n v="4"/>
    <s v="California"/>
    <s v="Sacramento County"/>
    <x v="3"/>
    <n v="9"/>
    <e v="#NAME?"/>
  </r>
  <r>
    <s v="TX501466"/>
    <s v="Sundresses"/>
    <n v="1"/>
    <n v="41.9"/>
    <n v="41.9"/>
    <d v="2025-02-24T00:00:00"/>
    <d v="2025-02-24T00:00:00"/>
    <s v="M"/>
    <s v="Website"/>
    <n v="4"/>
    <s v="California"/>
    <s v="Sacramento County"/>
    <x v="7"/>
    <n v="9"/>
    <e v="#NAME?"/>
  </r>
  <r>
    <s v="TX501467"/>
    <s v="Bikinis"/>
    <n v="7"/>
    <n v="45.9"/>
    <n v="321.3"/>
    <d v="2025-02-24T00:00:00"/>
    <d v="2025-02-25T00:00:00"/>
    <s v="M"/>
    <s v="Instagram"/>
    <n v="5"/>
    <s v="California"/>
    <s v="San Diego County"/>
    <x v="3"/>
    <n v="9"/>
    <e v="#NAME?"/>
  </r>
  <r>
    <s v="TX501468"/>
    <s v="Baseball Caps"/>
    <n v="9"/>
    <n v="24.4"/>
    <n v="219.6"/>
    <d v="2025-02-24T00:00:00"/>
    <d v="2025-02-28T00:00:00"/>
    <s v="M"/>
    <s v="Instagram"/>
    <n v="5"/>
    <s v="California"/>
    <s v="San Diego County"/>
    <x v="5"/>
    <n v="9"/>
    <e v="#NAME?"/>
  </r>
  <r>
    <s v="TX501469"/>
    <s v="T-Shirts"/>
    <n v="1"/>
    <n v="18.2"/>
    <n v="18.2"/>
    <d v="2025-02-24T00:00:00"/>
    <d v="2025-02-25T00:00:00"/>
    <s v="F"/>
    <s v="Target.com"/>
    <n v="5"/>
    <s v="California"/>
    <s v="San Diego County"/>
    <x v="3"/>
    <n v="9"/>
    <e v="#NAME?"/>
  </r>
  <r>
    <s v="TX501470"/>
    <s v="T-Shirts"/>
    <n v="4"/>
    <n v="51.2"/>
    <n v="204.8"/>
    <d v="2025-02-24T00:00:00"/>
    <d v="2025-02-25T00:00:00"/>
    <s v="F"/>
    <s v="App"/>
    <n v="4"/>
    <s v="California"/>
    <s v="San Diego County"/>
    <x v="3"/>
    <n v="9"/>
    <e v="#NAME?"/>
  </r>
  <r>
    <s v="TX501471"/>
    <s v="Jeans"/>
    <n v="1"/>
    <n v="59.7"/>
    <n v="59.7"/>
    <d v="2025-02-24T00:00:00"/>
    <d v="2025-02-27T00:00:00"/>
    <s v="M"/>
    <s v="App"/>
    <n v="5"/>
    <s v="California"/>
    <s v="San Diego County"/>
    <x v="2"/>
    <n v="9"/>
    <e v="#NAME?"/>
  </r>
  <r>
    <s v="TX501472"/>
    <s v="Graphic Tees"/>
    <n v="2"/>
    <n v="33.6"/>
    <n v="67.2"/>
    <d v="2025-02-24T00:00:00"/>
    <d v="2025-02-26T00:00:00"/>
    <s v="F"/>
    <s v="App"/>
    <n v="4"/>
    <s v="California"/>
    <s v="San Francisco"/>
    <x v="1"/>
    <n v="9"/>
    <e v="#NAME?"/>
  </r>
  <r>
    <s v="TX501473"/>
    <s v="Casual Dresses"/>
    <n v="1"/>
    <n v="90.4"/>
    <n v="90.4"/>
    <d v="2025-02-24T00:00:00"/>
    <d v="2025-02-28T00:00:00"/>
    <s v="M"/>
    <s v="Website"/>
    <n v="5"/>
    <s v="California"/>
    <s v="Santa Barbara County"/>
    <x v="5"/>
    <n v="9"/>
    <e v="#NAME?"/>
  </r>
  <r>
    <s v="TX501474"/>
    <s v="Maxi Dresses"/>
    <n v="3"/>
    <n v="70.3"/>
    <n v="210.89999999999998"/>
    <d v="2025-02-24T00:00:00"/>
    <d v="2025-02-24T00:00:00"/>
    <s v="M"/>
    <s v="Website"/>
    <n v="5"/>
    <s v="California"/>
    <s v="Santa Clara County"/>
    <x v="7"/>
    <n v="9"/>
    <e v="#NAME?"/>
  </r>
  <r>
    <s v="TX501475"/>
    <s v="Graphic Tees"/>
    <n v="2"/>
    <n v="20.5"/>
    <n v="41"/>
    <d v="2025-02-24T00:00:00"/>
    <d v="2025-02-27T00:00:00"/>
    <s v="F"/>
    <s v="App"/>
    <n v="3"/>
    <s v="California"/>
    <s v="Santa Clara County"/>
    <x v="2"/>
    <n v="9"/>
    <e v="#NAME?"/>
  </r>
  <r>
    <s v="TX501476"/>
    <s v="Sandals"/>
    <n v="11"/>
    <n v="37.6"/>
    <n v="413.6"/>
    <d v="2025-02-24T00:00:00"/>
    <d v="2025-02-25T00:00:00"/>
    <s v="M"/>
    <s v="App"/>
    <n v="4"/>
    <s v="California"/>
    <s v="Solano County"/>
    <x v="3"/>
    <n v="9"/>
    <e v="#NAME?"/>
  </r>
  <r>
    <s v="TX501477"/>
    <s v="Sandals"/>
    <n v="4"/>
    <n v="61.5"/>
    <n v="246"/>
    <d v="2025-02-24T00:00:00"/>
    <d v="2025-03-03T00:00:00"/>
    <s v="F"/>
    <s v="Website"/>
    <n v="2"/>
    <s v="California"/>
    <s v="Ventura County"/>
    <x v="6"/>
    <n v="9"/>
    <e v="#NAME?"/>
  </r>
  <r>
    <s v="TX501478"/>
    <s v="Sundresses"/>
    <n v="1"/>
    <n v="33.5"/>
    <n v="33.5"/>
    <d v="2025-02-25T00:00:00"/>
    <d v="2025-03-01T00:00:00"/>
    <s v="M"/>
    <s v="Partner App"/>
    <n v="3"/>
    <s v="California"/>
    <s v="Alameda County"/>
    <x v="5"/>
    <n v="9"/>
    <e v="#NAME?"/>
  </r>
  <r>
    <s v="TX501479"/>
    <s v="Graphic Tees"/>
    <n v="3"/>
    <n v="29.3"/>
    <n v="87.9"/>
    <d v="2025-02-25T00:00:00"/>
    <d v="2025-02-27T00:00:00"/>
    <s v="F"/>
    <s v="Website"/>
    <n v="5"/>
    <s v="California"/>
    <s v="Contra Costa County"/>
    <x v="1"/>
    <n v="9"/>
    <e v="#NAME?"/>
  </r>
  <r>
    <s v="TX501480"/>
    <s v="Sneakers"/>
    <n v="2"/>
    <n v="125.9"/>
    <n v="251.8"/>
    <d v="2025-02-25T00:00:00"/>
    <d v="2025-03-02T00:00:00"/>
    <s v="F"/>
    <s v="Partner App"/>
    <n v="3"/>
    <s v="California"/>
    <s v="Contra Costa County"/>
    <x v="0"/>
    <n v="9"/>
    <e v="#NAME?"/>
  </r>
  <r>
    <s v="TX501481"/>
    <s v="Sandals"/>
    <n v="5"/>
    <n v="29.3"/>
    <n v="146.5"/>
    <d v="2025-02-25T00:00:00"/>
    <d v="2025-02-25T00:00:00"/>
    <s v="M"/>
    <s v="Target.com"/>
    <n v="4"/>
    <s v="California"/>
    <s v="Humboldt County"/>
    <x v="7"/>
    <n v="9"/>
    <e v="#NAME?"/>
  </r>
  <r>
    <s v="TX501482"/>
    <s v="Sundresses"/>
    <n v="1"/>
    <n v="37.799999999999997"/>
    <n v="37.799999999999997"/>
    <d v="2025-02-25T00:00:00"/>
    <d v="2025-02-28T00:00:00"/>
    <s v="F"/>
    <s v="App"/>
    <n v="5"/>
    <s v="California"/>
    <s v="Los Angeles County"/>
    <x v="2"/>
    <n v="9"/>
    <e v="#NAME?"/>
  </r>
  <r>
    <s v="TX501483"/>
    <s v="Shorts"/>
    <n v="4"/>
    <n v="31.7"/>
    <n v="126.8"/>
    <d v="2025-02-25T00:00:00"/>
    <d v="2025-02-26T00:00:00"/>
    <s v="M"/>
    <s v="Target.com"/>
    <n v="5"/>
    <s v="California"/>
    <s v="Los Angeles County"/>
    <x v="3"/>
    <n v="9"/>
    <e v="#NAME?"/>
  </r>
  <r>
    <s v="TX501484"/>
    <s v="T-Shirts"/>
    <n v="5"/>
    <n v="26.3"/>
    <n v="131.5"/>
    <d v="2025-02-25T00:00:00"/>
    <d v="2025-02-26T00:00:00"/>
    <s v="F"/>
    <s v="Instagram"/>
    <n v="5"/>
    <s v="California"/>
    <s v="Los Angeles County"/>
    <x v="3"/>
    <n v="9"/>
    <e v="#NAME?"/>
  </r>
  <r>
    <s v="TX501485"/>
    <s v="T-Shirts"/>
    <n v="3"/>
    <n v="23.1"/>
    <n v="69.300000000000011"/>
    <d v="2025-02-25T00:00:00"/>
    <d v="2025-02-26T00:00:00"/>
    <s v="O"/>
    <s v="Target.com"/>
    <n v="3"/>
    <s v="California"/>
    <s v="Los Angeles County"/>
    <x v="3"/>
    <n v="9"/>
    <e v="#NAME?"/>
  </r>
  <r>
    <s v="TX501486"/>
    <s v="Graphic Tees"/>
    <n v="1"/>
    <n v="22.3"/>
    <n v="22.3"/>
    <d v="2025-02-25T00:00:00"/>
    <d v="2025-02-27T00:00:00"/>
    <s v="F"/>
    <s v="Target.com"/>
    <n v="4"/>
    <s v="California"/>
    <s v="Los Angeles County"/>
    <x v="1"/>
    <n v="9"/>
    <e v="#NAME?"/>
  </r>
  <r>
    <s v="TX501487"/>
    <s v="Casual Dresses"/>
    <n v="2"/>
    <n v="99.5"/>
    <n v="199"/>
    <d v="2025-02-25T00:00:00"/>
    <d v="2025-02-27T00:00:00"/>
    <s v="F"/>
    <s v="Target.com"/>
    <n v="4"/>
    <s v="California"/>
    <s v="Los Angeles County"/>
    <x v="1"/>
    <n v="9"/>
    <e v="#NAME?"/>
  </r>
  <r>
    <s v="TX501488"/>
    <s v="Casual Dresses"/>
    <n v="4"/>
    <n v="47.4"/>
    <n v="189.6"/>
    <d v="2025-02-25T00:00:00"/>
    <d v="2025-02-28T00:00:00"/>
    <s v="F"/>
    <s v="Website"/>
    <n v="4"/>
    <s v="California"/>
    <s v="Los Angeles County"/>
    <x v="2"/>
    <n v="9"/>
    <e v="#NAME?"/>
  </r>
  <r>
    <s v="TX501489"/>
    <s v="Shorts"/>
    <n v="11"/>
    <n v="37.5"/>
    <n v="412.5"/>
    <d v="2025-02-25T00:00:00"/>
    <d v="2025-02-27T00:00:00"/>
    <s v="F"/>
    <s v="App"/>
    <n v="1"/>
    <s v="California"/>
    <s v="Los Angeles County"/>
    <x v="1"/>
    <n v="9"/>
    <e v="#NAME?"/>
  </r>
  <r>
    <s v="TX501490"/>
    <s v="Bikinis"/>
    <n v="1"/>
    <n v="45.1"/>
    <n v="45.1"/>
    <d v="2025-02-25T00:00:00"/>
    <d v="2025-03-02T00:00:00"/>
    <s v="M"/>
    <s v="Instagram"/>
    <n v="5"/>
    <s v="California"/>
    <s v="Merced County"/>
    <x v="0"/>
    <n v="9"/>
    <e v="#NAME?"/>
  </r>
  <r>
    <s v="TX501491"/>
    <s v="Sandals"/>
    <n v="10"/>
    <n v="34.4"/>
    <n v="344"/>
    <d v="2025-02-25T00:00:00"/>
    <d v="2025-02-28T00:00:00"/>
    <s v="M"/>
    <s v="Target.com"/>
    <n v="4"/>
    <s v="California"/>
    <s v="Napa County"/>
    <x v="2"/>
    <n v="9"/>
    <e v="#NAME?"/>
  </r>
  <r>
    <s v="TX501492"/>
    <s v="Graphic Tees"/>
    <n v="2"/>
    <n v="38"/>
    <n v="76"/>
    <d v="2025-02-25T00:00:00"/>
    <d v="2025-02-27T00:00:00"/>
    <s v="F"/>
    <s v="Website"/>
    <n v="4"/>
    <s v="California"/>
    <s v="Placer County"/>
    <x v="1"/>
    <n v="9"/>
    <e v="#NAME?"/>
  </r>
  <r>
    <s v="TX501493"/>
    <s v="Workout Tops"/>
    <n v="14"/>
    <n v="32.4"/>
    <n v="453.59999999999997"/>
    <d v="2025-02-25T00:00:00"/>
    <d v="2025-02-28T00:00:00"/>
    <s v="M"/>
    <s v="Partner App"/>
    <n v="4"/>
    <s v="California"/>
    <s v="Sacramento County"/>
    <x v="2"/>
    <n v="9"/>
    <e v="#NAME?"/>
  </r>
  <r>
    <s v="TX501494"/>
    <s v="Jeans"/>
    <n v="3"/>
    <n v="40.9"/>
    <n v="122.69999999999999"/>
    <d v="2025-02-25T00:00:00"/>
    <d v="2025-02-25T00:00:00"/>
    <s v=""/>
    <s v="Website"/>
    <n v="4"/>
    <s v="California"/>
    <s v="San Diego County"/>
    <x v="7"/>
    <n v="9"/>
    <e v="#NAME?"/>
  </r>
  <r>
    <s v="TX501495"/>
    <s v="Hoodies &amp; Sweatshirts"/>
    <n v="7"/>
    <n v="76.2"/>
    <n v="533.4"/>
    <d v="2025-02-25T00:00:00"/>
    <d v="2025-02-27T00:00:00"/>
    <s v="F"/>
    <s v="Target.com"/>
    <n v="3"/>
    <s v="California"/>
    <s v="San Diego County"/>
    <x v="1"/>
    <n v="9"/>
    <e v="#NAME?"/>
  </r>
  <r>
    <s v="TX501496"/>
    <s v="Sneakers"/>
    <n v="1"/>
    <n v="85.6"/>
    <n v="85.6"/>
    <d v="2025-02-25T00:00:00"/>
    <d v="2025-02-27T00:00:00"/>
    <s v="M"/>
    <s v="Target.com"/>
    <n v="4"/>
    <s v="California"/>
    <s v="San Diego County"/>
    <x v="1"/>
    <n v="9"/>
    <e v="#NAME?"/>
  </r>
  <r>
    <s v="TX501497"/>
    <s v="Graphic Tees"/>
    <n v="4"/>
    <n v="25"/>
    <n v="100"/>
    <d v="2025-02-25T00:00:00"/>
    <d v="2025-02-27T00:00:00"/>
    <s v="F"/>
    <s v="Target.com"/>
    <n v="5"/>
    <s v="California"/>
    <s v="San Diego County"/>
    <x v="1"/>
    <n v="9"/>
    <e v="#NAME?"/>
  </r>
  <r>
    <s v="TX501498"/>
    <s v="Sneakers"/>
    <n v="5"/>
    <n v="150.69999999999999"/>
    <n v="753.5"/>
    <d v="2025-02-25T00:00:00"/>
    <d v="2025-02-26T00:00:00"/>
    <s v=""/>
    <s v="App"/>
    <n v="5"/>
    <s v="California"/>
    <s v="San Diego County"/>
    <x v="3"/>
    <n v="9"/>
    <e v="#NAME?"/>
  </r>
  <r>
    <s v="TX501499"/>
    <s v="T-Shirts"/>
    <n v="1"/>
    <n v="19.600000000000001"/>
    <n v="19.600000000000001"/>
    <d v="2025-02-25T00:00:00"/>
    <d v="2025-02-26T00:00:00"/>
    <s v="M"/>
    <s v="Website"/>
    <n v="2"/>
    <s v="California"/>
    <s v="San Diego County"/>
    <x v="3"/>
    <n v="9"/>
    <e v="#NAME?"/>
  </r>
  <r>
    <s v="TX501500"/>
    <s v="Tote Bags"/>
    <n v="2"/>
    <n v="37.5"/>
    <n v="75"/>
    <d v="2025-02-25T00:00:00"/>
    <d v="2025-02-28T00:00:00"/>
    <s v="F"/>
    <s v="Website"/>
    <n v="5"/>
    <s v="California"/>
    <s v="San Francisco"/>
    <x v="2"/>
    <n v="9"/>
    <e v="#NAME?"/>
  </r>
  <r>
    <s v="TX501501"/>
    <s v="Sundresses"/>
    <n v="3"/>
    <n v="51.9"/>
    <n v="155.69999999999999"/>
    <d v="2025-02-25T00:00:00"/>
    <d v="2025-03-03T00:00:00"/>
    <s v="F"/>
    <s v="App"/>
    <n v="2"/>
    <s v="California"/>
    <s v="Santa Clara County"/>
    <x v="4"/>
    <n v="9"/>
    <e v="#NAME?"/>
  </r>
  <r>
    <s v="TX501502"/>
    <s v="Tank Tops"/>
    <n v="2"/>
    <n v="30.9"/>
    <n v="61.8"/>
    <d v="2025-02-25T00:00:00"/>
    <d v="2025-02-27T00:00:00"/>
    <s v="F"/>
    <s v="Website"/>
    <n v="4"/>
    <s v="California"/>
    <s v="Sonoma County"/>
    <x v="1"/>
    <n v="9"/>
    <e v="#NAME?"/>
  </r>
  <r>
    <s v="TX501503"/>
    <s v="Graphic Tees"/>
    <n v="3"/>
    <n v="21.2"/>
    <n v="63.599999999999994"/>
    <d v="2025-02-25T00:00:00"/>
    <d v="2025-02-28T00:00:00"/>
    <s v="F"/>
    <s v="Website"/>
    <n v="4"/>
    <s v="California"/>
    <s v="Stanislaus County"/>
    <x v="2"/>
    <n v="9"/>
    <e v="#NAME?"/>
  </r>
  <r>
    <s v="TX501504"/>
    <s v="Tote Bags"/>
    <n v="17"/>
    <n v="17.5"/>
    <n v="297.5"/>
    <d v="2025-02-25T00:00:00"/>
    <d v="2025-02-26T00:00:00"/>
    <s v="M"/>
    <s v="Website"/>
    <n v="3"/>
    <s v="California"/>
    <s v="Ventura County"/>
    <x v="3"/>
    <n v="9"/>
    <e v="#NAME?"/>
  </r>
  <r>
    <s v="TX501505"/>
    <s v="Casual Dresses"/>
    <n v="2"/>
    <n v="53.8"/>
    <n v="107.6"/>
    <d v="2025-02-25T00:00:00"/>
    <d v="2025-03-02T00:00:00"/>
    <s v="F"/>
    <s v="App"/>
    <n v="5"/>
    <s v="California"/>
    <s v="Alameda County"/>
    <x v="0"/>
    <n v="9"/>
    <e v="#NAME?"/>
  </r>
  <r>
    <s v="TX501506"/>
    <s v="Jewelry"/>
    <n v="2"/>
    <n v="17"/>
    <n v="34"/>
    <d v="2025-02-25T00:00:00"/>
    <d v="2025-02-26T00:00:00"/>
    <s v="M"/>
    <s v="Instagram"/>
    <n v="4"/>
    <s v="California"/>
    <s v="Alameda County"/>
    <x v="3"/>
    <n v="9"/>
    <e v="#NAME?"/>
  </r>
  <r>
    <s v="TX501507"/>
    <s v="Jeans"/>
    <n v="1"/>
    <n v="103.2"/>
    <n v="103.2"/>
    <d v="2025-02-25T00:00:00"/>
    <d v="2025-03-05T00:00:00"/>
    <s v="M"/>
    <s v="Target.com"/>
    <n v="3"/>
    <s v="California"/>
    <s v="Contra Costa County"/>
    <x v="9"/>
    <n v="9"/>
    <e v="#NAME?"/>
  </r>
  <r>
    <s v="TX501508"/>
    <s v="Jeans"/>
    <n v="4"/>
    <n v="70.3"/>
    <n v="281.2"/>
    <d v="2025-02-25T00:00:00"/>
    <d v="2025-02-26T00:00:00"/>
    <s v="M"/>
    <s v="App"/>
    <n v="4"/>
    <s v="California"/>
    <s v="Los Angeles County"/>
    <x v="3"/>
    <n v="9"/>
    <e v="#NAME?"/>
  </r>
  <r>
    <s v="TX501509"/>
    <s v="Sneakers"/>
    <n v="2"/>
    <n v="73.8"/>
    <n v="147.6"/>
    <d v="2025-02-25T00:00:00"/>
    <d v="2025-02-25T00:00:00"/>
    <s v="M"/>
    <s v="Instagram"/>
    <n v="5"/>
    <s v="California"/>
    <s v="Los Angeles County"/>
    <x v="7"/>
    <n v="9"/>
    <e v="#NAME?"/>
  </r>
  <r>
    <s v="TX501510"/>
    <s v="Tank Tops"/>
    <n v="12"/>
    <n v="67.7"/>
    <n v="812.40000000000009"/>
    <d v="2025-02-25T00:00:00"/>
    <d v="2025-03-01T00:00:00"/>
    <s v="M"/>
    <s v="Website"/>
    <n v="3"/>
    <s v="California"/>
    <s v="Los Angeles County"/>
    <x v="5"/>
    <n v="9"/>
    <e v="#NAME?"/>
  </r>
  <r>
    <s v="TX501511"/>
    <s v="Tote Bags"/>
    <n v="7"/>
    <n v="43.8"/>
    <n v="306.59999999999997"/>
    <d v="2025-02-25T00:00:00"/>
    <d v="2025-02-27T00:00:00"/>
    <s v="M"/>
    <s v="Website"/>
    <n v="4"/>
    <s v="California"/>
    <s v="Los Angeles County"/>
    <x v="1"/>
    <n v="9"/>
    <e v="#NAME?"/>
  </r>
  <r>
    <s v="TX501512"/>
    <s v="Pajama Sets"/>
    <n v="6"/>
    <n v="71.900000000000006"/>
    <n v="431.40000000000003"/>
    <d v="2025-02-25T00:00:00"/>
    <d v="2025-02-26T00:00:00"/>
    <s v="F"/>
    <s v="Target.com"/>
    <n v="4"/>
    <s v="California"/>
    <s v="Los Angeles County"/>
    <x v="3"/>
    <n v="9"/>
    <e v="#NAME?"/>
  </r>
  <r>
    <s v="TX501513"/>
    <s v="T-Shirts"/>
    <n v="2"/>
    <n v="26.3"/>
    <n v="52.6"/>
    <d v="2025-02-26T00:00:00"/>
    <d v="2025-02-28T00:00:00"/>
    <s v="F"/>
    <s v="App"/>
    <n v="3"/>
    <s v="California"/>
    <s v="Los Angeles County"/>
    <x v="1"/>
    <n v="9"/>
    <e v="#NAME?"/>
  </r>
  <r>
    <s v="TX501514"/>
    <s v="Jeans"/>
    <n v="4"/>
    <n v="52.6"/>
    <n v="210.4"/>
    <d v="2025-02-26T00:00:00"/>
    <d v="2025-02-28T00:00:00"/>
    <s v="F"/>
    <s v="Target.com"/>
    <n v="3"/>
    <s v="California"/>
    <s v="Los Angeles County"/>
    <x v="1"/>
    <n v="9"/>
    <e v="#NAME?"/>
  </r>
  <r>
    <s v="TX501515"/>
    <s v="Bikinis"/>
    <n v="1"/>
    <n v="32.700000000000003"/>
    <n v="32.700000000000003"/>
    <d v="2025-02-26T00:00:00"/>
    <d v="2025-03-05T00:00:00"/>
    <s v="F"/>
    <s v="App"/>
    <n v="5"/>
    <s v="California"/>
    <s v="Los Angeles County"/>
    <x v="6"/>
    <n v="9"/>
    <e v="#NAME?"/>
  </r>
  <r>
    <s v="TX501516"/>
    <s v="Sandals"/>
    <n v="4"/>
    <n v="38.9"/>
    <n v="155.6"/>
    <d v="2025-02-26T00:00:00"/>
    <d v="2025-02-27T00:00:00"/>
    <s v="F"/>
    <s v="App"/>
    <n v="4"/>
    <s v="California"/>
    <s v="Los Angeles County"/>
    <x v="3"/>
    <n v="9"/>
    <e v="#NAME?"/>
  </r>
  <r>
    <s v="TX501517"/>
    <s v="Sundresses"/>
    <n v="5"/>
    <n v="35"/>
    <n v="175"/>
    <d v="2025-02-26T00:00:00"/>
    <d v="2025-02-28T00:00:00"/>
    <s v="M"/>
    <s v="App"/>
    <n v="4"/>
    <s v="California"/>
    <s v="Los Angeles County"/>
    <x v="1"/>
    <n v="9"/>
    <e v="#NAME?"/>
  </r>
  <r>
    <s v="TX501518"/>
    <s v="Sneakers"/>
    <n v="2"/>
    <n v="121"/>
    <n v="242"/>
    <d v="2025-02-26T00:00:00"/>
    <d v="2025-02-27T00:00:00"/>
    <s v="F"/>
    <s v="Website"/>
    <n v="3"/>
    <s v="California"/>
    <s v="Los Angeles County"/>
    <x v="3"/>
    <n v="9"/>
    <e v="#NAME?"/>
  </r>
  <r>
    <s v="TX501519"/>
    <s v="Jeans"/>
    <n v="3"/>
    <n v="65.099999999999994"/>
    <n v="195.29999999999998"/>
    <d v="2025-02-26T00:00:00"/>
    <d v="2025-03-02T00:00:00"/>
    <s v="M"/>
    <s v="Target.com"/>
    <n v="4"/>
    <s v="California"/>
    <s v="San Benito County"/>
    <x v="5"/>
    <n v="9"/>
    <e v="#NAME?"/>
  </r>
  <r>
    <s v="TX501520"/>
    <s v="Tank Tops"/>
    <n v="21"/>
    <n v="63.8"/>
    <n v="1339.8"/>
    <d v="2025-02-26T00:00:00"/>
    <d v="2025-02-28T00:00:00"/>
    <s v="F"/>
    <s v="App"/>
    <n v="4"/>
    <s v="California"/>
    <s v="San Diego County"/>
    <x v="1"/>
    <n v="9"/>
    <e v="#NAME?"/>
  </r>
  <r>
    <s v="TX501521"/>
    <s v="Hoodies &amp; Sweatshirts"/>
    <n v="1"/>
    <n v="77.7"/>
    <n v="77.7"/>
    <d v="2025-02-26T00:00:00"/>
    <d v="2025-02-28T00:00:00"/>
    <s v="M"/>
    <s v="App"/>
    <n v="4"/>
    <s v="California"/>
    <s v="San Diego County"/>
    <x v="1"/>
    <n v="9"/>
    <e v="#NAME?"/>
  </r>
  <r>
    <s v="TX501522"/>
    <s v="Sandals"/>
    <n v="4"/>
    <n v="60.3"/>
    <n v="241.2"/>
    <d v="2025-02-26T00:00:00"/>
    <d v="2025-02-26T00:00:00"/>
    <s v="M"/>
    <s v="App"/>
    <n v="5"/>
    <s v="California"/>
    <s v="San Diego County"/>
    <x v="7"/>
    <n v="9"/>
    <e v="#NAME?"/>
  </r>
  <r>
    <s v="TX501523"/>
    <s v="Sandals"/>
    <n v="2"/>
    <n v="124.1"/>
    <n v="248.2"/>
    <d v="2025-02-26T00:00:00"/>
    <d v="2025-03-01T00:00:00"/>
    <s v="F"/>
    <s v="App"/>
    <n v="5"/>
    <s v="California"/>
    <s v="San Diego County"/>
    <x v="2"/>
    <n v="9"/>
    <e v="#NAME?"/>
  </r>
  <r>
    <s v="TX501524"/>
    <s v="Sunglasses"/>
    <n v="7"/>
    <n v="66"/>
    <n v="462"/>
    <d v="2025-02-26T00:00:00"/>
    <d v="2025-02-26T00:00:00"/>
    <s v=""/>
    <s v="Instagram"/>
    <n v="4"/>
    <s v="California"/>
    <s v="San Francisco"/>
    <x v="7"/>
    <n v="9"/>
    <e v="#NAME?"/>
  </r>
  <r>
    <s v="TX501525"/>
    <s v="Sneakers"/>
    <n v="63"/>
    <n v="118.2"/>
    <n v="7446.6"/>
    <d v="2025-02-26T00:00:00"/>
    <d v="2025-03-03T00:00:00"/>
    <s v=""/>
    <s v="App"/>
    <n v="4"/>
    <s v="California"/>
    <s v="San Francisco"/>
    <x v="0"/>
    <n v="9"/>
    <e v="#NAME?"/>
  </r>
  <r>
    <s v="TX501526"/>
    <s v="Sandals"/>
    <n v="5"/>
    <n v="64.3"/>
    <n v="321.5"/>
    <d v="2025-02-26T00:00:00"/>
    <d v="2025-02-27T00:00:00"/>
    <s v="M"/>
    <s v="Partner App"/>
    <n v="2"/>
    <s v="California"/>
    <s v="San Joaquin County"/>
    <x v="3"/>
    <n v="9"/>
    <e v="#NAME?"/>
  </r>
  <r>
    <s v="TX501527"/>
    <s v="Tank Tops"/>
    <n v="2"/>
    <n v="54.8"/>
    <n v="109.6"/>
    <d v="2025-02-26T00:00:00"/>
    <d v="2025-02-26T00:00:00"/>
    <s v="M"/>
    <s v="App"/>
    <n v="3"/>
    <s v="California"/>
    <s v="San Joaquin County"/>
    <x v="7"/>
    <n v="9"/>
    <e v="#NAME?"/>
  </r>
  <r>
    <s v="TX501528"/>
    <s v="Hoodies &amp; Sweatshirts"/>
    <n v="2"/>
    <n v="78.599999999999994"/>
    <n v="157.19999999999999"/>
    <d v="2025-02-26T00:00:00"/>
    <d v="2025-02-27T00:00:00"/>
    <s v="M"/>
    <s v="App"/>
    <n v="5"/>
    <s v="California"/>
    <s v="San Mateo County"/>
    <x v="3"/>
    <n v="9"/>
    <e v="#NAME?"/>
  </r>
  <r>
    <s v="TX501529"/>
    <s v="Sneakers"/>
    <n v="5"/>
    <n v="158.5"/>
    <n v="792.5"/>
    <d v="2025-02-26T00:00:00"/>
    <d v="2025-02-28T00:00:00"/>
    <s v=""/>
    <s v="Target.com"/>
    <n v="5"/>
    <s v="California"/>
    <s v="San Mateo County"/>
    <x v="1"/>
    <n v="9"/>
    <e v="#NAME?"/>
  </r>
  <r>
    <s v="TX501530"/>
    <s v="Graphic Tees"/>
    <n v="10"/>
    <n v="23.5"/>
    <n v="235"/>
    <d v="2025-02-26T00:00:00"/>
    <d v="2025-03-01T00:00:00"/>
    <s v="M"/>
    <s v="App"/>
    <n v="2"/>
    <s v="California"/>
    <s v="Santa Barbara County"/>
    <x v="2"/>
    <n v="9"/>
    <e v="#NAME?"/>
  </r>
  <r>
    <s v="TX501531"/>
    <s v="Sandals"/>
    <n v="2"/>
    <n v="32.1"/>
    <n v="64.2"/>
    <d v="2025-02-26T00:00:00"/>
    <d v="2025-02-28T00:00:00"/>
    <s v=""/>
    <s v="Instagram"/>
    <n v="4"/>
    <s v="California"/>
    <s v="Santa Barbara County"/>
    <x v="1"/>
    <n v="9"/>
    <e v="#NAME?"/>
  </r>
  <r>
    <s v="TX501532"/>
    <s v="Pajama Sets"/>
    <n v="4"/>
    <n v="71.900000000000006"/>
    <n v="287.60000000000002"/>
    <d v="2025-02-26T00:00:00"/>
    <d v="2025-02-26T00:00:00"/>
    <s v="M"/>
    <s v="Target.com"/>
    <n v="4"/>
    <s v="California"/>
    <s v="Stanislaus County"/>
    <x v="7"/>
    <n v="9"/>
    <e v="#NAME?"/>
  </r>
  <r>
    <s v="TX501533"/>
    <s v="Graphic Tees"/>
    <n v="6"/>
    <n v="22.3"/>
    <n v="133.80000000000001"/>
    <d v="2025-02-26T00:00:00"/>
    <d v="2025-02-27T00:00:00"/>
    <s v=""/>
    <s v="Instagram"/>
    <n v="5"/>
    <s v="California"/>
    <s v="Ventura County"/>
    <x v="3"/>
    <n v="9"/>
    <e v="#NAME?"/>
  </r>
  <r>
    <s v="TX501534"/>
    <s v="Maxi Dresses"/>
    <n v="2"/>
    <n v="29.5"/>
    <n v="59"/>
    <d v="2025-02-26T00:00:00"/>
    <d v="2025-02-27T00:00:00"/>
    <s v="F"/>
    <s v="App"/>
    <n v="5"/>
    <s v="California"/>
    <s v="Ventura County"/>
    <x v="3"/>
    <n v="9"/>
    <e v="#NAME?"/>
  </r>
  <r>
    <s v="TX501535"/>
    <s v="Jeans"/>
    <n v="4"/>
    <n v="41.9"/>
    <n v="167.6"/>
    <d v="2025-02-26T00:00:00"/>
    <d v="2025-03-02T00:00:00"/>
    <s v="F"/>
    <s v="App"/>
    <n v="3"/>
    <s v="California"/>
    <s v="Alameda County"/>
    <x v="5"/>
    <n v="9"/>
    <e v="#NAME?"/>
  </r>
  <r>
    <s v="TX501536"/>
    <s v="Jeans"/>
    <n v="3"/>
    <n v="107.8"/>
    <n v="323.39999999999998"/>
    <d v="2025-02-26T00:00:00"/>
    <d v="2025-02-27T00:00:00"/>
    <s v="M"/>
    <s v="Website"/>
    <n v="5"/>
    <s v="California"/>
    <s v="Amador County"/>
    <x v="3"/>
    <n v="9"/>
    <e v="#NAME?"/>
  </r>
  <r>
    <s v="TX501537"/>
    <s v="Graphic Tees"/>
    <n v="5"/>
    <n v="18.100000000000001"/>
    <n v="90.5"/>
    <d v="2025-02-26T00:00:00"/>
    <d v="2025-03-01T00:00:00"/>
    <s v="M"/>
    <s v="App"/>
    <n v="5"/>
    <s v="California"/>
    <s v="Fresno County"/>
    <x v="2"/>
    <n v="9"/>
    <e v="#NAME?"/>
  </r>
  <r>
    <s v="TX501538"/>
    <s v="Casual Dresses"/>
    <n v="9"/>
    <n v="79.8"/>
    <n v="718.19999999999993"/>
    <d v="2025-02-26T00:00:00"/>
    <d v="2025-02-27T00:00:00"/>
    <s v="F"/>
    <s v="Website"/>
    <n v="3"/>
    <s v="California"/>
    <s v="Kern County"/>
    <x v="3"/>
    <n v="9"/>
    <e v="#NAME?"/>
  </r>
  <r>
    <s v="TX501539"/>
    <s v="Shorts"/>
    <n v="3"/>
    <n v="22.3"/>
    <n v="66.900000000000006"/>
    <d v="2025-02-26T00:00:00"/>
    <d v="2025-03-01T00:00:00"/>
    <s v="F"/>
    <s v="App"/>
    <n v="5"/>
    <s v="California"/>
    <s v="Kern County"/>
    <x v="2"/>
    <n v="9"/>
    <e v="#NAME?"/>
  </r>
  <r>
    <s v="TX501540"/>
    <s v="T-Shirts"/>
    <n v="1"/>
    <n v="22.9"/>
    <n v="22.9"/>
    <d v="2025-02-26T00:00:00"/>
    <d v="2025-02-26T00:00:00"/>
    <s v="F"/>
    <s v="Website"/>
    <n v="4"/>
    <s v="California"/>
    <s v="Kern County"/>
    <x v="7"/>
    <n v="9"/>
    <e v="#NAME?"/>
  </r>
  <r>
    <s v="TX501541"/>
    <s v="Shorts"/>
    <n v="3"/>
    <n v="16.2"/>
    <n v="48.599999999999994"/>
    <d v="2025-02-27T00:00:00"/>
    <d v="2025-02-27T00:00:00"/>
    <s v="M"/>
    <s v="Partner App"/>
    <n v="5"/>
    <s v="California"/>
    <s v="Los Angeles County"/>
    <x v="7"/>
    <n v="9"/>
    <e v="#NAME?"/>
  </r>
  <r>
    <s v="TX501542"/>
    <s v="Bikinis"/>
    <n v="4"/>
    <n v="59.5"/>
    <n v="238"/>
    <d v="2025-02-27T00:00:00"/>
    <d v="2025-02-28T00:00:00"/>
    <s v="M"/>
    <s v="Website"/>
    <n v="5"/>
    <s v="California"/>
    <s v="Los Angeles County"/>
    <x v="3"/>
    <n v="9"/>
    <e v="#NAME?"/>
  </r>
  <r>
    <s v="TX501543"/>
    <s v="Leggings"/>
    <n v="5"/>
    <n v="26.2"/>
    <n v="131"/>
    <d v="2025-02-27T00:00:00"/>
    <d v="2025-03-02T00:00:00"/>
    <s v="M"/>
    <s v="Instagram"/>
    <n v="2"/>
    <s v="California"/>
    <s v="Los Angeles County"/>
    <x v="2"/>
    <n v="9"/>
    <e v="#NAME?"/>
  </r>
  <r>
    <s v="TX501544"/>
    <s v="Workout Tops"/>
    <n v="1"/>
    <n v="44.2"/>
    <n v="44.2"/>
    <d v="2025-02-27T00:00:00"/>
    <d v="2025-03-02T00:00:00"/>
    <s v="F"/>
    <s v="Website"/>
    <n v="4"/>
    <s v="California"/>
    <s v="Los Angeles County"/>
    <x v="2"/>
    <n v="9"/>
    <e v="#NAME?"/>
  </r>
  <r>
    <s v="TX501545"/>
    <s v="Sundresses"/>
    <n v="2"/>
    <n v="59.2"/>
    <n v="118.4"/>
    <d v="2025-02-27T00:00:00"/>
    <d v="2025-02-27T00:00:00"/>
    <s v="F"/>
    <s v="Website"/>
    <n v="2"/>
    <s v="California"/>
    <s v="Los Angeles County"/>
    <x v="7"/>
    <n v="9"/>
    <e v="#NAME?"/>
  </r>
  <r>
    <s v="TX501546"/>
    <s v="Crop Tops"/>
    <n v="4"/>
    <n v="41.5"/>
    <n v="166"/>
    <d v="2025-02-27T00:00:00"/>
    <d v="2025-03-01T00:00:00"/>
    <s v="F"/>
    <s v="App"/>
    <n v="4"/>
    <s v="California"/>
    <s v="Napa County"/>
    <x v="1"/>
    <n v="9"/>
    <e v="#NAME?"/>
  </r>
  <r>
    <s v="TX501547"/>
    <s v="Jeans"/>
    <n v="12"/>
    <n v="67.099999999999994"/>
    <n v="805.19999999999993"/>
    <d v="2025-02-27T00:00:00"/>
    <d v="2025-03-13T00:00:00"/>
    <s v="F"/>
    <s v="App"/>
    <n v="5"/>
    <s v="California"/>
    <s v="Riverside County"/>
    <x v="12"/>
    <n v="9"/>
    <e v="#NAME?"/>
  </r>
  <r>
    <s v="TX501548"/>
    <s v="T-Shirts"/>
    <n v="2"/>
    <n v="28.7"/>
    <n v="57.4"/>
    <d v="2025-02-27T00:00:00"/>
    <d v="2025-03-03T00:00:00"/>
    <s v="F"/>
    <s v="Website"/>
    <n v="4"/>
    <s v="California"/>
    <s v="Sacramento County"/>
    <x v="5"/>
    <n v="9"/>
    <e v="#NAME?"/>
  </r>
  <r>
    <s v="TX501549"/>
    <s v="Sneakers"/>
    <n v="4"/>
    <n v="132.1"/>
    <n v="528.4"/>
    <d v="2025-02-27T00:00:00"/>
    <d v="2025-02-28T00:00:00"/>
    <s v="F"/>
    <s v="App"/>
    <n v="3"/>
    <s v="California"/>
    <s v="Sacramento County"/>
    <x v="3"/>
    <n v="9"/>
    <e v="#NAME?"/>
  </r>
  <r>
    <s v="TX501550"/>
    <s v="Leggings"/>
    <n v="2"/>
    <n v="47"/>
    <n v="94"/>
    <d v="2025-02-27T00:00:00"/>
    <d v="2025-03-01T00:00:00"/>
    <s v="M"/>
    <s v="Partner App"/>
    <n v="4"/>
    <s v="California"/>
    <s v="San Diego County"/>
    <x v="1"/>
    <n v="9"/>
    <e v="#NAME?"/>
  </r>
  <r>
    <s v="TX501551"/>
    <s v="T-Shirts"/>
    <n v="2"/>
    <n v="41.6"/>
    <n v="83.2"/>
    <d v="2025-02-27T00:00:00"/>
    <d v="2025-03-03T00:00:00"/>
    <s v="M"/>
    <s v="Website"/>
    <n v="5"/>
    <s v="California"/>
    <s v="San Diego County"/>
    <x v="5"/>
    <n v="9"/>
    <e v="#NAME?"/>
  </r>
  <r>
    <s v="TX501552"/>
    <s v="T-Shirts"/>
    <n v="38"/>
    <n v="17.3"/>
    <n v="657.4"/>
    <d v="2025-02-27T00:00:00"/>
    <d v="2025-03-01T00:00:00"/>
    <s v="M"/>
    <s v="Target.com"/>
    <n v="5"/>
    <s v="California"/>
    <s v="San Diego County"/>
    <x v="1"/>
    <n v="9"/>
    <e v="#NAME?"/>
  </r>
  <r>
    <s v="TX501553"/>
    <s v="Tote Bags"/>
    <n v="3"/>
    <n v="41.8"/>
    <n v="125.39999999999999"/>
    <d v="2025-02-27T00:00:00"/>
    <d v="2025-03-02T00:00:00"/>
    <s v="M"/>
    <s v="App"/>
    <n v="5"/>
    <s v="California"/>
    <s v="San Diego County"/>
    <x v="2"/>
    <n v="9"/>
    <e v="#NAME?"/>
  </r>
  <r>
    <s v="TX501554"/>
    <s v="Bikinis"/>
    <n v="1"/>
    <n v="24"/>
    <n v="24"/>
    <d v="2025-02-27T00:00:00"/>
    <d v="2025-02-28T00:00:00"/>
    <s v="F"/>
    <s v="App"/>
    <n v="4"/>
    <s v="California"/>
    <s v="San Francisco"/>
    <x v="3"/>
    <n v="9"/>
    <e v="#NAME?"/>
  </r>
  <r>
    <s v="TX501555"/>
    <s v="Baseball Caps"/>
    <n v="9"/>
    <n v="18.5"/>
    <n v="166.5"/>
    <d v="2025-02-27T00:00:00"/>
    <d v="2025-03-01T00:00:00"/>
    <s v="F"/>
    <s v="App"/>
    <n v="4"/>
    <s v="California"/>
    <s v="San Mateo County"/>
    <x v="1"/>
    <n v="9"/>
    <e v="#NAME?"/>
  </r>
  <r>
    <s v="TX501556"/>
    <s v="Workout Tops"/>
    <n v="12"/>
    <n v="66.7"/>
    <n v="800.40000000000009"/>
    <d v="2025-02-27T00:00:00"/>
    <d v="2025-03-02T00:00:00"/>
    <s v=""/>
    <s v="App"/>
    <n v="5"/>
    <s v="California"/>
    <s v="Santa Clara County"/>
    <x v="2"/>
    <n v="9"/>
    <e v="#NAME?"/>
  </r>
  <r>
    <s v="TX501557"/>
    <s v="Tank Tops"/>
    <n v="4"/>
    <n v="33.1"/>
    <n v="132.4"/>
    <d v="2025-02-27T00:00:00"/>
    <d v="2025-03-04T00:00:00"/>
    <s v="M"/>
    <s v="Instagram"/>
    <n v="4"/>
    <s v="California"/>
    <s v="Santa Clara County"/>
    <x v="0"/>
    <n v="9"/>
    <e v="#NAME?"/>
  </r>
  <r>
    <s v="TX501558"/>
    <s v="Jewelry"/>
    <n v="9"/>
    <n v="42.1"/>
    <n v="378.90000000000003"/>
    <d v="2025-02-27T00:00:00"/>
    <d v="2025-03-10T00:00:00"/>
    <s v="M"/>
    <s v="Website"/>
    <n v="4"/>
    <s v="California"/>
    <s v="Sonoma County"/>
    <x v="11"/>
    <n v="9"/>
    <e v="#NAME?"/>
  </r>
  <r>
    <s v="TX501559"/>
    <s v="Leggings"/>
    <n v="7"/>
    <n v="58.7"/>
    <n v="410.90000000000003"/>
    <d v="2025-02-27T00:00:00"/>
    <d v="2025-02-27T00:00:00"/>
    <s v="O"/>
    <s v="Instagram"/>
    <n v="4"/>
    <s v="California"/>
    <s v="Sutter County"/>
    <x v="7"/>
    <n v="9"/>
    <e v="#NAME?"/>
  </r>
  <r>
    <s v="TX501560"/>
    <s v="Jeans"/>
    <n v="4"/>
    <n v="54"/>
    <n v="216"/>
    <d v="2025-02-27T00:00:00"/>
    <d v="2025-03-01T00:00:00"/>
    <s v="F"/>
    <s v="Website"/>
    <n v="4"/>
    <s v="California"/>
    <s v="Contra Costa County"/>
    <x v="1"/>
    <n v="9"/>
    <e v="#NAME?"/>
  </r>
  <r>
    <s v="TX501561"/>
    <s v="T-Shirts"/>
    <n v="1"/>
    <n v="52.1"/>
    <n v="52.1"/>
    <d v="2025-02-27T00:00:00"/>
    <d v="2025-02-28T00:00:00"/>
    <s v="F"/>
    <s v="Target.com"/>
    <n v="5"/>
    <s v="California"/>
    <s v="Fresno County"/>
    <x v="3"/>
    <n v="9"/>
    <e v="#NAME?"/>
  </r>
  <r>
    <s v="TX501562"/>
    <s v="Jewelry"/>
    <n v="2"/>
    <n v="27"/>
    <n v="54"/>
    <d v="2025-02-27T00:00:00"/>
    <d v="2025-03-02T00:00:00"/>
    <s v="O"/>
    <s v="Target.com"/>
    <n v="4"/>
    <s v="California"/>
    <s v="Kern County"/>
    <x v="2"/>
    <n v="9"/>
    <e v="#NAME?"/>
  </r>
  <r>
    <s v="TX501563"/>
    <s v="Casual Dresses"/>
    <n v="10"/>
    <n v="31"/>
    <n v="310"/>
    <d v="2025-02-28T00:00:00"/>
    <d v="2025-03-01T00:00:00"/>
    <s v="F"/>
    <s v="Instagram"/>
    <n v="5"/>
    <s v="California"/>
    <s v="Kern County"/>
    <x v="3"/>
    <n v="9"/>
    <e v="#NAME?"/>
  </r>
  <r>
    <s v="TX501564"/>
    <s v="Bikinis"/>
    <n v="2"/>
    <n v="46.7"/>
    <n v="93.4"/>
    <d v="2025-02-28T00:00:00"/>
    <d v="2025-02-28T00:00:00"/>
    <s v="F"/>
    <s v="App"/>
    <n v="4"/>
    <s v="California"/>
    <s v="Kings County"/>
    <x v="7"/>
    <n v="9"/>
    <e v="#NAME?"/>
  </r>
  <r>
    <s v="TX501565"/>
    <s v="Jeans"/>
    <n v="1"/>
    <n v="144.69999999999999"/>
    <n v="144.69999999999999"/>
    <d v="2025-02-28T00:00:00"/>
    <d v="2025-03-03T00:00:00"/>
    <s v="M"/>
    <s v="App"/>
    <n v="5"/>
    <s v="California"/>
    <s v="Los Angeles County"/>
    <x v="2"/>
    <n v="9"/>
    <e v="#NAME?"/>
  </r>
  <r>
    <s v="TX501566"/>
    <s v="Sneakers"/>
    <n v="9"/>
    <n v="90.9"/>
    <n v="818.1"/>
    <d v="2025-02-28T00:00:00"/>
    <d v="2025-03-01T00:00:00"/>
    <s v="M"/>
    <s v="App"/>
    <n v="5"/>
    <s v="California"/>
    <s v="Los Angeles County"/>
    <x v="3"/>
    <n v="9"/>
    <e v="#NAME?"/>
  </r>
  <r>
    <s v="TX501567"/>
    <s v="Tank Tops"/>
    <n v="2"/>
    <n v="75.8"/>
    <n v="151.6"/>
    <d v="2025-02-28T00:00:00"/>
    <d v="2025-03-01T00:00:00"/>
    <s v="F"/>
    <s v="Target.com"/>
    <n v="3"/>
    <s v="California"/>
    <s v="Los Angeles County"/>
    <x v="3"/>
    <n v="9"/>
    <e v="#NAME?"/>
  </r>
  <r>
    <s v="TX501568"/>
    <s v="Hoodies &amp; Sweatshirts"/>
    <n v="5"/>
    <n v="57.9"/>
    <n v="289.5"/>
    <d v="2025-02-28T00:00:00"/>
    <d v="2025-03-02T00:00:00"/>
    <s v="M"/>
    <s v="Target.com"/>
    <n v="5"/>
    <s v="California"/>
    <s v="Los Angeles County"/>
    <x v="1"/>
    <n v="9"/>
    <e v="#NAME?"/>
  </r>
  <r>
    <s v="TX501569"/>
    <s v="T-Shirts"/>
    <n v="5"/>
    <n v="44.8"/>
    <n v="224"/>
    <d v="2025-02-28T00:00:00"/>
    <d v="2025-03-01T00:00:00"/>
    <s v="F"/>
    <s v="Instagram"/>
    <n v="5"/>
    <s v="California"/>
    <s v="Los Angeles County"/>
    <x v="3"/>
    <n v="9"/>
    <e v="#NAME?"/>
  </r>
  <r>
    <s v="TX501570"/>
    <s v="Sundresses"/>
    <n v="3"/>
    <n v="44.2"/>
    <n v="132.60000000000002"/>
    <d v="2025-02-28T00:00:00"/>
    <d v="2025-03-04T00:00:00"/>
    <s v="M"/>
    <s v="Target.com"/>
    <n v="5"/>
    <s v="California"/>
    <s v="Los Angeles County"/>
    <x v="5"/>
    <n v="9"/>
    <e v="#NAME?"/>
  </r>
  <r>
    <s v="TX501571"/>
    <s v="Sandals"/>
    <n v="5"/>
    <n v="53.5"/>
    <n v="267.5"/>
    <d v="2025-02-28T00:00:00"/>
    <d v="2025-03-02T00:00:00"/>
    <s v="M"/>
    <s v="App"/>
    <n v="4"/>
    <s v="California"/>
    <s v="Madera County"/>
    <x v="1"/>
    <n v="9"/>
    <e v="#NAME?"/>
  </r>
  <r>
    <s v="TX501572"/>
    <s v="Jeans"/>
    <n v="2"/>
    <n v="72.2"/>
    <n v="144.4"/>
    <d v="2025-02-28T00:00:00"/>
    <d v="2025-03-01T00:00:00"/>
    <s v="M"/>
    <s v="App"/>
    <n v="5"/>
    <s v="California"/>
    <s v="Orange County"/>
    <x v="3"/>
    <n v="9"/>
    <e v="#NAME?"/>
  </r>
  <r>
    <s v="TX501573"/>
    <s v="Jeans"/>
    <n v="4"/>
    <n v="62.4"/>
    <n v="249.6"/>
    <d v="2025-02-28T00:00:00"/>
    <d v="2025-03-03T00:00:00"/>
    <s v="F"/>
    <s v="App"/>
    <n v="3"/>
    <s v="California"/>
    <s v="Riverside County"/>
    <x v="2"/>
    <n v="9"/>
    <e v="#NAME?"/>
  </r>
  <r>
    <s v="TX501574"/>
    <s v="Bikinis"/>
    <n v="5"/>
    <n v="24.7"/>
    <n v="123.5"/>
    <d v="2025-02-28T00:00:00"/>
    <d v="2025-03-01T00:00:00"/>
    <s v="F"/>
    <s v="App"/>
    <n v="4"/>
    <s v="California"/>
    <s v="Sacramento County"/>
    <x v="3"/>
    <n v="9"/>
    <e v="#NAME?"/>
  </r>
  <r>
    <s v="TX501575"/>
    <s v="Tank Tops"/>
    <n v="5"/>
    <n v="61.7"/>
    <n v="308.5"/>
    <d v="2025-02-28T00:00:00"/>
    <d v="2025-03-02T00:00:00"/>
    <s v="F"/>
    <s v="Target.com"/>
    <n v="4"/>
    <s v="California"/>
    <s v="San Diego County"/>
    <x v="1"/>
    <n v="9"/>
    <e v="#NAME?"/>
  </r>
  <r>
    <s v="TX501576"/>
    <s v="T-Shirts"/>
    <n v="5"/>
    <n v="18.2"/>
    <n v="91"/>
    <d v="2025-02-28T00:00:00"/>
    <d v="2025-03-02T00:00:00"/>
    <s v="F"/>
    <s v="Instagram"/>
    <n v="4"/>
    <s v="California"/>
    <s v="San Diego County"/>
    <x v="1"/>
    <n v="9"/>
    <e v="#NAME?"/>
  </r>
  <r>
    <s v="TX501577"/>
    <s v="Bikinis"/>
    <n v="4"/>
    <n v="37.200000000000003"/>
    <n v="148.80000000000001"/>
    <d v="2025-02-28T00:00:00"/>
    <d v="2025-03-06T00:00:00"/>
    <s v="F"/>
    <s v="App"/>
    <n v="4"/>
    <s v="California"/>
    <s v="San Diego County"/>
    <x v="4"/>
    <n v="9"/>
    <e v="#NAME?"/>
  </r>
  <r>
    <s v="TX501578"/>
    <s v="Sundresses"/>
    <n v="3"/>
    <n v="53.5"/>
    <n v="160.5"/>
    <d v="2025-02-28T00:00:00"/>
    <d v="2025-03-02T00:00:00"/>
    <s v="F"/>
    <s v="Website"/>
    <n v="5"/>
    <s v="California"/>
    <s v="San Mateo County"/>
    <x v="1"/>
    <n v="9"/>
    <e v="#NAME?"/>
  </r>
  <r>
    <s v="TX501579"/>
    <s v="T-Shirts"/>
    <n v="3"/>
    <n v="43.6"/>
    <n v="130.80000000000001"/>
    <d v="2025-02-28T00:00:00"/>
    <d v="2025-02-28T00:00:00"/>
    <s v="F"/>
    <s v="App"/>
    <n v="4"/>
    <s v="California"/>
    <s v="San Mateo County"/>
    <x v="7"/>
    <n v="9"/>
    <e v="#NAME?"/>
  </r>
  <r>
    <s v="TX501580"/>
    <s v="Tank Tops"/>
    <n v="10"/>
    <n v="135"/>
    <n v="1350"/>
    <d v="2025-02-28T00:00:00"/>
    <d v="2025-03-02T00:00:00"/>
    <s v="F"/>
    <s v="App"/>
    <n v="5"/>
    <s v="California"/>
    <s v="San Mateo County"/>
    <x v="1"/>
    <n v="9"/>
    <e v="#NAME?"/>
  </r>
  <r>
    <s v="TX501581"/>
    <s v="T-Shirts"/>
    <n v="5"/>
    <n v="38.5"/>
    <n v="192.5"/>
    <d v="2025-02-28T00:00:00"/>
    <d v="2025-02-28T00:00:00"/>
    <s v="M"/>
    <s v="Partner App"/>
    <n v="5"/>
    <s v="California"/>
    <s v="Santa Barbara County"/>
    <x v="7"/>
    <n v="9"/>
    <e v="#NAME?"/>
  </r>
  <r>
    <s v="TX501582"/>
    <s v="Sundresses"/>
    <n v="2"/>
    <n v="24"/>
    <n v="48"/>
    <d v="2025-02-28T00:00:00"/>
    <d v="2025-03-05T00:00:00"/>
    <s v="F"/>
    <s v="App"/>
    <n v="4"/>
    <s v="California"/>
    <s v="Santa Clara County"/>
    <x v="0"/>
    <n v="9"/>
    <e v="#NAME?"/>
  </r>
  <r>
    <s v="TX501583"/>
    <s v="Graphic Tees"/>
    <n v="3"/>
    <n v="28.2"/>
    <n v="84.6"/>
    <d v="2025-02-28T00:00:00"/>
    <d v="2025-03-02T00:00:00"/>
    <s v="M"/>
    <s v="App"/>
    <n v="1"/>
    <s v="California"/>
    <s v="Sonoma County"/>
    <x v="1"/>
    <n v="9"/>
    <e v="#NAME?"/>
  </r>
  <r>
    <s v="TX501584"/>
    <s v="Hoodies &amp; Sweatshirts"/>
    <n v="3"/>
    <n v="37.4"/>
    <n v="112.19999999999999"/>
    <d v="2025-02-28T00:00:00"/>
    <d v="2025-03-01T00:00:00"/>
    <s v="F"/>
    <s v="Instagram"/>
    <n v="4"/>
    <s v="California"/>
    <s v="Contra Costa County"/>
    <x v="3"/>
    <n v="9"/>
    <e v="#NAME?"/>
  </r>
  <r>
    <s v="TX501585"/>
    <s v="Jeans"/>
    <n v="3"/>
    <n v="53.5"/>
    <n v="160.5"/>
    <d v="2025-02-28T00:00:00"/>
    <d v="2025-03-03T00:00:00"/>
    <s v=""/>
    <s v="Partner App"/>
    <n v="2"/>
    <s v="California"/>
    <s v="Contra Costa County"/>
    <x v="2"/>
    <n v="9"/>
    <e v="#NAME?"/>
  </r>
  <r>
    <s v="TX501586"/>
    <s v="Maxi Dresses"/>
    <n v="5"/>
    <n v="36.200000000000003"/>
    <n v="181"/>
    <d v="2025-02-28T00:00:00"/>
    <d v="2025-03-01T00:00:00"/>
    <s v="M"/>
    <s v="Website"/>
    <n v="5"/>
    <s v="California"/>
    <s v="Imperial County"/>
    <x v="3"/>
    <n v="9"/>
    <e v="#NAME?"/>
  </r>
  <r>
    <s v="TX501587"/>
    <s v="Shorts"/>
    <n v="8"/>
    <n v="31.9"/>
    <n v="255.2"/>
    <d v="2025-02-28T00:00:00"/>
    <d v="2025-03-01T00:00:00"/>
    <s v="F"/>
    <s v="Partner App"/>
    <n v="4"/>
    <s v="California"/>
    <s v="Los Angeles County"/>
    <x v="3"/>
    <n v="9"/>
    <e v="#NAME?"/>
  </r>
  <r>
    <s v="TX501588"/>
    <s v="T-Shirts"/>
    <n v="3"/>
    <n v="21.3"/>
    <n v="63.900000000000006"/>
    <d v="2025-02-28T00:00:00"/>
    <d v="2025-03-01T00:00:00"/>
    <s v="M"/>
    <s v="App"/>
    <n v="5"/>
    <s v="California"/>
    <s v="Los Angeles County"/>
    <x v="3"/>
    <n v="9"/>
    <e v="#NAME?"/>
  </r>
  <r>
    <s v="TX501589"/>
    <s v="T-Shirts"/>
    <n v="1"/>
    <n v="36.299999999999997"/>
    <n v="36.299999999999997"/>
    <d v="2025-02-28T00:00:00"/>
    <d v="2025-03-02T00:00:00"/>
    <s v="O"/>
    <s v="Partner App"/>
    <n v="4"/>
    <s v="California"/>
    <s v="Los Angeles County"/>
    <x v="1"/>
    <n v="9"/>
    <e v="#NAME?"/>
  </r>
  <r>
    <s v="TX501590"/>
    <s v="Jeans"/>
    <n v="3"/>
    <n v="110.5"/>
    <n v="331.5"/>
    <d v="2025-02-28T00:00:00"/>
    <d v="2025-03-01T00:00:00"/>
    <s v="F"/>
    <s v="App"/>
    <n v="1"/>
    <s v="California"/>
    <s v="Los Angeles County"/>
    <x v="3"/>
    <n v="9"/>
    <e v="#NAME?"/>
  </r>
  <r>
    <s v="TX501591"/>
    <s v="Bikinis"/>
    <n v="7"/>
    <n v="32.6"/>
    <n v="228.20000000000002"/>
    <d v="2025-02-28T00:00:00"/>
    <d v="2025-03-02T00:00:00"/>
    <s v="F"/>
    <s v="App"/>
    <n v="3"/>
    <s v="California"/>
    <s v="Los Angeles County"/>
    <x v="1"/>
    <n v="9"/>
    <e v="#NAME?"/>
  </r>
  <r>
    <s v="TX501592"/>
    <s v="Sandals"/>
    <n v="3"/>
    <n v="55.6"/>
    <n v="166.8"/>
    <d v="2025-03-01T00:00:00"/>
    <d v="2025-03-14T00:00:00"/>
    <s v="F"/>
    <s v="App"/>
    <n v="4"/>
    <s v="California"/>
    <s v="Los Angeles County"/>
    <x v="10"/>
    <n v="9"/>
    <e v="#NAME?"/>
  </r>
  <r>
    <s v="TX501593"/>
    <s v="Tank Tops"/>
    <n v="4"/>
    <n v="38"/>
    <n v="152"/>
    <d v="2025-03-01T00:00:00"/>
    <d v="2025-03-02T00:00:00"/>
    <s v="F"/>
    <s v="Instagram"/>
    <n v="5"/>
    <s v="California"/>
    <s v="Placer County"/>
    <x v="3"/>
    <n v="9"/>
    <e v="#NAME?"/>
  </r>
  <r>
    <s v="TX501594"/>
    <s v="Bikinis"/>
    <n v="2"/>
    <n v="51.8"/>
    <n v="103.6"/>
    <d v="2025-03-01T00:00:00"/>
    <d v="2025-03-07T00:00:00"/>
    <s v="M"/>
    <s v="Website"/>
    <n v="2"/>
    <s v="California"/>
    <s v="Sacramento County"/>
    <x v="4"/>
    <n v="9"/>
    <e v="#NAME?"/>
  </r>
  <r>
    <s v="TX501595"/>
    <s v="Maxi Dresses"/>
    <n v="8"/>
    <n v="28.7"/>
    <n v="229.6"/>
    <d v="2025-03-01T00:00:00"/>
    <d v="2025-03-06T00:00:00"/>
    <s v="F"/>
    <s v="App"/>
    <n v="4"/>
    <s v="California"/>
    <s v="Sacramento County"/>
    <x v="0"/>
    <n v="9"/>
    <e v="#NAME?"/>
  </r>
  <r>
    <s v="TX501596"/>
    <s v="Jeans"/>
    <n v="12"/>
    <n v="52.2"/>
    <n v="626.40000000000009"/>
    <d v="2025-03-01T00:00:00"/>
    <d v="2025-03-01T00:00:00"/>
    <s v="M"/>
    <s v="App"/>
    <n v="3"/>
    <s v="California"/>
    <s v="Sacramento County"/>
    <x v="7"/>
    <n v="9"/>
    <e v="#NAME?"/>
  </r>
  <r>
    <s v="TX501597"/>
    <s v="Tank Tops"/>
    <n v="2"/>
    <n v="68.2"/>
    <n v="136.4"/>
    <d v="2025-03-01T00:00:00"/>
    <d v="2025-03-02T00:00:00"/>
    <s v=""/>
    <s v="Target.com"/>
    <n v="4"/>
    <s v="California"/>
    <s v="San Bernardino County"/>
    <x v="3"/>
    <n v="9"/>
    <e v="#NAME?"/>
  </r>
  <r>
    <s v="TX501598"/>
    <s v="Shorts"/>
    <n v="3"/>
    <n v="34"/>
    <n v="102"/>
    <d v="2025-03-01T00:00:00"/>
    <d v="2025-03-05T00:00:00"/>
    <s v="F"/>
    <s v="App"/>
    <n v="4"/>
    <s v="California"/>
    <s v="San Diego County"/>
    <x v="5"/>
    <n v="9"/>
    <e v="#NAME?"/>
  </r>
  <r>
    <s v="TX501599"/>
    <s v="T-Shirts"/>
    <n v="3"/>
    <n v="19.100000000000001"/>
    <n v="57.300000000000004"/>
    <d v="2025-03-01T00:00:00"/>
    <d v="2025-03-02T00:00:00"/>
    <s v="F"/>
    <s v="Partner App"/>
    <n v="4"/>
    <s v="California"/>
    <s v="San Diego County"/>
    <x v="3"/>
    <n v="9"/>
    <e v="#NAME?"/>
  </r>
  <r>
    <s v="TX501600"/>
    <s v="Sandals"/>
    <n v="8"/>
    <n v="34"/>
    <n v="272"/>
    <d v="2025-03-01T00:00:00"/>
    <d v="2025-03-09T00:00:00"/>
    <s v="F"/>
    <s v="Partner App"/>
    <n v="4"/>
    <s v="California"/>
    <s v="San Diego County"/>
    <x v="9"/>
    <n v="9"/>
    <e v="#NAME?"/>
  </r>
  <r>
    <s v="TX501601"/>
    <s v="Casual Dresses"/>
    <n v="2"/>
    <n v="109.1"/>
    <n v="218.2"/>
    <d v="2025-03-01T00:00:00"/>
    <d v="2025-03-03T00:00:00"/>
    <s v="M"/>
    <s v="App"/>
    <n v="5"/>
    <s v="California"/>
    <s v="San Diego County"/>
    <x v="1"/>
    <n v="9"/>
    <e v="#NAME?"/>
  </r>
  <r>
    <s v="TX501602"/>
    <s v="Leggings"/>
    <n v="2"/>
    <n v="64.8"/>
    <n v="129.6"/>
    <d v="2025-03-01T00:00:00"/>
    <d v="2025-03-03T00:00:00"/>
    <s v="M"/>
    <s v="App"/>
    <n v="5"/>
    <s v="California"/>
    <s v="San Diego County"/>
    <x v="1"/>
    <n v="9"/>
    <e v="#NAME?"/>
  </r>
  <r>
    <s v="TX501603"/>
    <s v="Bikinis"/>
    <n v="2"/>
    <n v="21.1"/>
    <n v="42.2"/>
    <d v="2025-03-01T00:00:00"/>
    <d v="2025-03-01T00:00:00"/>
    <s v="F"/>
    <s v="Website"/>
    <n v="4"/>
    <s v="California"/>
    <s v="Santa Clara County"/>
    <x v="7"/>
    <n v="9"/>
    <e v="#NAME?"/>
  </r>
  <r>
    <s v="TX501604"/>
    <s v="Shorts"/>
    <n v="8"/>
    <n v="21.3"/>
    <n v="170.4"/>
    <d v="2025-03-01T00:00:00"/>
    <d v="2025-03-03T00:00:00"/>
    <s v="M"/>
    <s v="Instagram"/>
    <n v="3"/>
    <s v="California"/>
    <s v="Sonoma County"/>
    <x v="1"/>
    <n v="9"/>
    <e v="#NAME?"/>
  </r>
  <r>
    <s v="TX501605"/>
    <s v="Sundresses"/>
    <n v="3"/>
    <n v="24.3"/>
    <n v="72.900000000000006"/>
    <d v="2025-03-01T00:00:00"/>
    <d v="2025-03-02T00:00:00"/>
    <s v="M"/>
    <s v="Website"/>
    <n v="4"/>
    <s v="California"/>
    <s v="Stanislaus County"/>
    <x v="3"/>
    <n v="9"/>
    <e v="#NAME?"/>
  </r>
  <r>
    <s v="TX501606"/>
    <s v="T-Shirts"/>
    <n v="1"/>
    <n v="43.3"/>
    <n v="43.3"/>
    <d v="2025-03-01T00:00:00"/>
    <d v="2025-03-05T00:00:00"/>
    <s v="M"/>
    <s v="Website"/>
    <n v="3"/>
    <s v="California"/>
    <s v="Ventura County"/>
    <x v="5"/>
    <n v="9"/>
    <e v="#NAME?"/>
  </r>
  <r>
    <s v="TX501607"/>
    <s v="Sundresses"/>
    <n v="3"/>
    <n v="41"/>
    <n v="123"/>
    <d v="2025-03-01T00:00:00"/>
    <d v="2025-03-02T00:00:00"/>
    <s v="F"/>
    <s v="Instagram"/>
    <n v="2"/>
    <s v="California"/>
    <s v="Alameda County"/>
    <x v="3"/>
    <n v="9"/>
    <e v="#NAME?"/>
  </r>
  <r>
    <s v="TX501608"/>
    <s v="Sunglasses"/>
    <n v="3"/>
    <n v="54.1"/>
    <n v="162.30000000000001"/>
    <d v="2025-03-01T00:00:00"/>
    <d v="2025-03-03T00:00:00"/>
    <s v="F"/>
    <s v="Partner App"/>
    <n v="4"/>
    <s v="California"/>
    <s v="Alameda County"/>
    <x v="1"/>
    <n v="9"/>
    <e v="#NAME?"/>
  </r>
  <r>
    <s v="TX501609"/>
    <s v="Maxi Dresses"/>
    <n v="2"/>
    <n v="39"/>
    <n v="78"/>
    <d v="2025-03-01T00:00:00"/>
    <d v="2025-03-02T00:00:00"/>
    <s v="M"/>
    <s v="Website"/>
    <n v="5"/>
    <s v="California"/>
    <s v="Contra Costa County"/>
    <x v="3"/>
    <n v="9"/>
    <e v="#NAME?"/>
  </r>
  <r>
    <s v="TX501610"/>
    <s v="T-Shirts"/>
    <n v="2"/>
    <n v="40.299999999999997"/>
    <n v="80.599999999999994"/>
    <d v="2025-03-01T00:00:00"/>
    <d v="2025-03-03T00:00:00"/>
    <s v="M"/>
    <s v="Instagram"/>
    <n v="4"/>
    <s v="California"/>
    <s v="Glenn County"/>
    <x v="1"/>
    <n v="9"/>
    <e v="#NAME?"/>
  </r>
  <r>
    <s v="TX501611"/>
    <s v="T-Shirts"/>
    <n v="3"/>
    <n v="24.1"/>
    <n v="72.300000000000011"/>
    <d v="2025-03-01T00:00:00"/>
    <d v="2025-03-02T00:00:00"/>
    <s v="M"/>
    <s v="App"/>
    <n v="5"/>
    <s v="California"/>
    <s v="Kings County"/>
    <x v="3"/>
    <n v="9"/>
    <e v="#NAME?"/>
  </r>
  <r>
    <s v="TX501612"/>
    <s v="Jeans"/>
    <n v="5"/>
    <n v="52.3"/>
    <n v="261.5"/>
    <d v="2025-03-01T00:00:00"/>
    <d v="2025-03-02T00:00:00"/>
    <s v="M"/>
    <s v="Target.com"/>
    <n v="4"/>
    <s v="California"/>
    <s v="Los Angeles County"/>
    <x v="3"/>
    <n v="9"/>
    <e v="#NAME?"/>
  </r>
  <r>
    <s v="TX501613"/>
    <s v="Casual Dresses"/>
    <n v="4"/>
    <n v="68.8"/>
    <n v="275.2"/>
    <d v="2025-03-01T00:00:00"/>
    <d v="2025-03-05T00:00:00"/>
    <s v="F"/>
    <s v="Partner App"/>
    <n v="5"/>
    <s v="California"/>
    <s v="Los Angeles County"/>
    <x v="5"/>
    <n v="9"/>
    <e v="#NAME?"/>
  </r>
  <r>
    <s v="TX501614"/>
    <s v="Sneakers"/>
    <n v="2"/>
    <n v="128.80000000000001"/>
    <n v="257.60000000000002"/>
    <d v="2025-03-02T00:00:00"/>
    <d v="2025-03-05T00:00:00"/>
    <s v="F"/>
    <s v="Website"/>
    <n v="3"/>
    <s v="California"/>
    <s v="Los Angeles County"/>
    <x v="2"/>
    <n v="10"/>
    <e v="#NAME?"/>
  </r>
  <r>
    <s v="TX501615"/>
    <s v="Crop Tops"/>
    <n v="5"/>
    <n v="48.2"/>
    <n v="241"/>
    <d v="2025-03-02T00:00:00"/>
    <d v="2025-03-04T00:00:00"/>
    <s v="F"/>
    <s v="Instagram"/>
    <n v="4"/>
    <s v="California"/>
    <s v="Los Angeles County"/>
    <x v="1"/>
    <n v="10"/>
    <e v="#NAME?"/>
  </r>
  <r>
    <s v="TX501616"/>
    <s v="Bikinis"/>
    <n v="1"/>
    <n v="39.700000000000003"/>
    <n v="39.700000000000003"/>
    <d v="2025-03-02T00:00:00"/>
    <d v="2025-03-04T00:00:00"/>
    <s v="F"/>
    <s v="App"/>
    <n v="3"/>
    <s v="California"/>
    <s v="Los Angeles County"/>
    <x v="1"/>
    <n v="10"/>
    <e v="#NAME?"/>
  </r>
  <r>
    <s v="TX501617"/>
    <s v="Sundresses"/>
    <n v="1"/>
    <n v="59.7"/>
    <n v="59.7"/>
    <d v="2025-03-02T00:00:00"/>
    <d v="2025-03-05T00:00:00"/>
    <s v="F"/>
    <s v="Partner App"/>
    <n v="4"/>
    <s v="California"/>
    <s v="Los Angeles County"/>
    <x v="2"/>
    <n v="10"/>
    <e v="#NAME?"/>
  </r>
  <r>
    <s v="TX501618"/>
    <s v="Jeans"/>
    <n v="1"/>
    <n v="48.3"/>
    <n v="48.3"/>
    <d v="2025-03-02T00:00:00"/>
    <d v="2025-03-16T00:00:00"/>
    <s v="O"/>
    <s v="App"/>
    <n v="5"/>
    <s v="California"/>
    <s v="Los Angeles County"/>
    <x v="12"/>
    <n v="10"/>
    <e v="#NAME?"/>
  </r>
  <r>
    <s v="TX501619"/>
    <s v="T-Shirts"/>
    <n v="3"/>
    <n v="45.5"/>
    <n v="136.5"/>
    <d v="2025-03-02T00:00:00"/>
    <d v="2025-03-04T00:00:00"/>
    <s v="M"/>
    <s v="Target.com"/>
    <n v="3"/>
    <s v="California"/>
    <s v="Los Angeles County"/>
    <x v="1"/>
    <n v="10"/>
    <e v="#NAME?"/>
  </r>
  <r>
    <s v="TX501620"/>
    <s v="Sundresses"/>
    <n v="27"/>
    <n v="51"/>
    <n v="1377"/>
    <d v="2025-03-02T00:00:00"/>
    <d v="2025-03-02T00:00:00"/>
    <s v="F"/>
    <s v="Target.com"/>
    <n v="4"/>
    <s v="California"/>
    <s v="Los Angeles County"/>
    <x v="7"/>
    <n v="10"/>
    <e v="#NAME?"/>
  </r>
  <r>
    <s v="TX501621"/>
    <s v="Graphic Tees"/>
    <n v="6"/>
    <n v="20.399999999999999"/>
    <n v="122.39999999999999"/>
    <d v="2025-03-02T00:00:00"/>
    <d v="2025-03-03T00:00:00"/>
    <s v="M"/>
    <s v="Target.com"/>
    <n v="4"/>
    <s v="California"/>
    <s v="Los Angeles County"/>
    <x v="3"/>
    <n v="10"/>
    <e v="#NAME?"/>
  </r>
  <r>
    <s v="TX501622"/>
    <s v="Bikinis"/>
    <n v="2"/>
    <n v="30.4"/>
    <n v="60.8"/>
    <d v="2025-03-02T00:00:00"/>
    <d v="2025-03-04T00:00:00"/>
    <s v="M"/>
    <s v="Target.com"/>
    <n v="4"/>
    <s v="California"/>
    <s v="Los Angeles County"/>
    <x v="1"/>
    <n v="10"/>
    <e v="#NAME?"/>
  </r>
  <r>
    <s v="TX501623"/>
    <s v="Hoodies &amp; Sweatshirts"/>
    <n v="2"/>
    <n v="71.5"/>
    <n v="143"/>
    <d v="2025-03-02T00:00:00"/>
    <d v="2025-03-06T00:00:00"/>
    <s v="F"/>
    <s v="App"/>
    <n v="4"/>
    <s v="California"/>
    <s v="Los Angeles County"/>
    <x v="5"/>
    <n v="10"/>
    <e v="#NAME?"/>
  </r>
  <r>
    <s v="TX501624"/>
    <s v="T-Shirts"/>
    <n v="6"/>
    <n v="18"/>
    <n v="108"/>
    <d v="2025-03-02T00:00:00"/>
    <d v="2025-03-03T00:00:00"/>
    <s v="O"/>
    <s v="Website"/>
    <n v="5"/>
    <s v="California"/>
    <s v="Sacramento County"/>
    <x v="3"/>
    <n v="10"/>
    <e v="#NAME?"/>
  </r>
  <r>
    <s v="TX501625"/>
    <s v="Crop Tops"/>
    <n v="11"/>
    <n v="45.6"/>
    <n v="501.6"/>
    <d v="2025-03-02T00:00:00"/>
    <d v="2025-03-03T00:00:00"/>
    <s v="O"/>
    <s v="Website"/>
    <n v="3"/>
    <s v="California"/>
    <s v="San Bernardino County"/>
    <x v="3"/>
    <n v="10"/>
    <e v="#NAME?"/>
  </r>
  <r>
    <s v="TX501626"/>
    <s v="Sundresses"/>
    <n v="1"/>
    <n v="31.8"/>
    <n v="31.8"/>
    <d v="2025-03-02T00:00:00"/>
    <d v="2025-03-06T00:00:00"/>
    <s v="F"/>
    <s v="App"/>
    <n v="5"/>
    <s v="California"/>
    <s v="San Bernardino County"/>
    <x v="5"/>
    <n v="10"/>
    <e v="#NAME?"/>
  </r>
  <r>
    <s v="TX501627"/>
    <s v="T-Shirts"/>
    <n v="5"/>
    <n v="19.899999999999999"/>
    <n v="99.5"/>
    <d v="2025-03-02T00:00:00"/>
    <d v="2025-03-03T00:00:00"/>
    <s v="F"/>
    <s v="Website"/>
    <n v="4"/>
    <s v="California"/>
    <s v="San Bernardino County"/>
    <x v="3"/>
    <n v="10"/>
    <e v="#NAME?"/>
  </r>
  <r>
    <s v="TX501628"/>
    <s v="Casual Dresses"/>
    <n v="9"/>
    <n v="52.1"/>
    <n v="468.90000000000003"/>
    <d v="2025-03-02T00:00:00"/>
    <d v="2025-03-04T00:00:00"/>
    <s v="M"/>
    <s v="App"/>
    <n v="4"/>
    <s v="California"/>
    <s v="San Diego County"/>
    <x v="1"/>
    <n v="10"/>
    <e v="#NAME?"/>
  </r>
  <r>
    <s v="TX501629"/>
    <s v="Tank Tops"/>
    <n v="7"/>
    <n v="45.9"/>
    <n v="321.3"/>
    <d v="2025-03-02T00:00:00"/>
    <d v="2025-03-03T00:00:00"/>
    <s v="M"/>
    <s v="App"/>
    <n v="3"/>
    <s v="California"/>
    <s v="San Diego County"/>
    <x v="3"/>
    <n v="10"/>
    <e v="#NAME?"/>
  </r>
  <r>
    <s v="TX501630"/>
    <s v="Tank Tops"/>
    <n v="10"/>
    <n v="115.9"/>
    <n v="1159"/>
    <d v="2025-03-02T00:00:00"/>
    <d v="2025-03-05T00:00:00"/>
    <s v="F"/>
    <s v="Website"/>
    <n v="4"/>
    <s v="California"/>
    <s v="San Diego County"/>
    <x v="2"/>
    <n v="10"/>
    <e v="#NAME?"/>
  </r>
  <r>
    <s v="TX501631"/>
    <s v="Jeans"/>
    <n v="9"/>
    <n v="86"/>
    <n v="774"/>
    <d v="2025-03-02T00:00:00"/>
    <d v="2025-03-07T00:00:00"/>
    <s v="F"/>
    <s v="App"/>
    <n v="3"/>
    <s v="California"/>
    <s v="San Diego County"/>
    <x v="0"/>
    <n v="10"/>
    <e v="#NAME?"/>
  </r>
  <r>
    <s v="TX501632"/>
    <s v="Hoodies &amp; Sweatshirts"/>
    <n v="7"/>
    <n v="73.599999999999994"/>
    <n v="515.19999999999993"/>
    <d v="2025-03-02T00:00:00"/>
    <d v="2025-03-04T00:00:00"/>
    <s v="F"/>
    <s v="App"/>
    <n v="4"/>
    <s v="California"/>
    <s v="San Francisco"/>
    <x v="1"/>
    <n v="10"/>
    <e v="#NAME?"/>
  </r>
  <r>
    <s v="TX501633"/>
    <s v="Bikinis"/>
    <n v="3"/>
    <n v="26.7"/>
    <n v="80.099999999999994"/>
    <d v="2025-03-02T00:00:00"/>
    <d v="2025-03-06T00:00:00"/>
    <s v="F"/>
    <s v="App"/>
    <n v="4"/>
    <s v="California"/>
    <s v="Santa Clara County"/>
    <x v="5"/>
    <n v="10"/>
    <e v="#NAME?"/>
  </r>
  <r>
    <s v="TX501634"/>
    <s v="T-Shirts"/>
    <n v="7"/>
    <n v="46.6"/>
    <n v="326.2"/>
    <d v="2025-03-02T00:00:00"/>
    <d v="2025-03-04T00:00:00"/>
    <s v=""/>
    <s v="Instagram"/>
    <n v="4"/>
    <s v="California"/>
    <s v="Santa Clara County"/>
    <x v="1"/>
    <n v="10"/>
    <e v="#NAME?"/>
  </r>
  <r>
    <s v="TX501635"/>
    <s v="Workout Tops"/>
    <n v="3"/>
    <n v="84.6"/>
    <n v="253.79999999999998"/>
    <d v="2025-03-02T00:00:00"/>
    <d v="2025-03-04T00:00:00"/>
    <s v="M"/>
    <s v="Partner App"/>
    <n v="4"/>
    <s v="California"/>
    <s v="Santa Clara County"/>
    <x v="1"/>
    <n v="10"/>
    <e v="#NAME?"/>
  </r>
  <r>
    <s v="TX501636"/>
    <s v="Hoodies &amp; Sweatshirts"/>
    <n v="14"/>
    <n v="41.5"/>
    <n v="581"/>
    <d v="2025-03-02T00:00:00"/>
    <d v="2025-03-16T00:00:00"/>
    <s v="M"/>
    <s v="Website"/>
    <n v="4"/>
    <s v="California"/>
    <s v="Shasta County"/>
    <x v="12"/>
    <n v="10"/>
    <e v="#NAME?"/>
  </r>
  <r>
    <s v="TX501637"/>
    <s v="T-Shirts"/>
    <n v="1"/>
    <n v="32.799999999999997"/>
    <n v="32.799999999999997"/>
    <d v="2025-03-02T00:00:00"/>
    <d v="2025-03-05T00:00:00"/>
    <s v="M"/>
    <s v="App"/>
    <n v="5"/>
    <s v="California"/>
    <s v="Siskiyou County"/>
    <x v="2"/>
    <n v="10"/>
    <e v="#NAME?"/>
  </r>
  <r>
    <s v="TX501638"/>
    <s v="Graphic Tees"/>
    <n v="7"/>
    <n v="46.7"/>
    <n v="326.90000000000003"/>
    <d v="2025-03-02T00:00:00"/>
    <d v="2025-03-04T00:00:00"/>
    <s v="O"/>
    <s v="App"/>
    <n v="5"/>
    <s v="California"/>
    <s v="Sonoma County"/>
    <x v="1"/>
    <n v="10"/>
    <e v="#NAME?"/>
  </r>
  <r>
    <s v="TX501639"/>
    <s v="Crop Tops"/>
    <n v="7"/>
    <n v="21"/>
    <n v="147"/>
    <d v="2025-03-02T00:00:00"/>
    <d v="2025-03-05T00:00:00"/>
    <s v="M"/>
    <s v="Target.com"/>
    <n v="3"/>
    <s v="California"/>
    <s v="Alameda County"/>
    <x v="2"/>
    <n v="10"/>
    <e v="#NAME?"/>
  </r>
  <r>
    <s v="TX501640"/>
    <s v="Sandals"/>
    <n v="7"/>
    <n v="29.4"/>
    <n v="205.79999999999998"/>
    <d v="2025-03-02T00:00:00"/>
    <d v="2025-03-02T00:00:00"/>
    <s v="M"/>
    <s v="Instagram"/>
    <n v="5"/>
    <s v="California"/>
    <s v="Alameda County"/>
    <x v="7"/>
    <n v="10"/>
    <e v="#NAME?"/>
  </r>
  <r>
    <s v="TX501641"/>
    <s v="Crop Tops"/>
    <n v="2"/>
    <n v="32.299999999999997"/>
    <n v="64.599999999999994"/>
    <d v="2025-03-02T00:00:00"/>
    <d v="2025-03-03T00:00:00"/>
    <s v="M"/>
    <s v="App"/>
    <n v="5"/>
    <s v="California"/>
    <s v="Alameda County"/>
    <x v="3"/>
    <n v="10"/>
    <e v="#NAME?"/>
  </r>
  <r>
    <s v="TX501642"/>
    <s v="Jeans"/>
    <n v="1"/>
    <n v="42.2"/>
    <n v="42.2"/>
    <d v="2025-03-03T00:00:00"/>
    <d v="2025-03-05T00:00:00"/>
    <s v="F"/>
    <s v="App"/>
    <n v="5"/>
    <s v="California"/>
    <s v="Alameda County"/>
    <x v="1"/>
    <n v="10"/>
    <e v="#NAME?"/>
  </r>
  <r>
    <s v="TX501643"/>
    <s v="Jeans"/>
    <n v="1"/>
    <n v="53.7"/>
    <n v="53.7"/>
    <d v="2025-03-03T00:00:00"/>
    <d v="2025-03-05T00:00:00"/>
    <s v="M"/>
    <s v="Website"/>
    <n v="3"/>
    <s v="California"/>
    <s v="Contra Costa County"/>
    <x v="1"/>
    <n v="10"/>
    <e v="#NAME?"/>
  </r>
  <r>
    <s v="TX501644"/>
    <s v="Sneakers"/>
    <n v="2"/>
    <n v="123.9"/>
    <n v="247.8"/>
    <d v="2025-03-03T00:00:00"/>
    <d v="2025-03-06T00:00:00"/>
    <s v="M"/>
    <s v="Target.com"/>
    <n v="4"/>
    <s v="California"/>
    <s v="Contra Costa County"/>
    <x v="2"/>
    <n v="10"/>
    <e v="#NAME?"/>
  </r>
  <r>
    <s v="TX501645"/>
    <s v="Graphic Tees"/>
    <n v="3"/>
    <n v="35.9"/>
    <n v="107.69999999999999"/>
    <d v="2025-03-03T00:00:00"/>
    <d v="2025-03-05T00:00:00"/>
    <s v="M"/>
    <s v="Target.com"/>
    <n v="4"/>
    <s v="California"/>
    <s v="Kern County"/>
    <x v="1"/>
    <n v="10"/>
    <e v="#NAME?"/>
  </r>
  <r>
    <s v="TX501646"/>
    <s v="Graphic Tees"/>
    <n v="2"/>
    <n v="23.6"/>
    <n v="47.2"/>
    <d v="2025-03-03T00:00:00"/>
    <d v="2025-03-06T00:00:00"/>
    <s v="M"/>
    <s v="App"/>
    <n v="5"/>
    <s v="California"/>
    <s v="Los Angeles County"/>
    <x v="2"/>
    <n v="10"/>
    <e v="#NAME?"/>
  </r>
  <r>
    <s v="TX501647"/>
    <s v="Crop Tops"/>
    <n v="35"/>
    <n v="45.7"/>
    <n v="1599.5"/>
    <d v="2025-03-03T00:00:00"/>
    <d v="2025-03-04T00:00:00"/>
    <s v="M"/>
    <s v="App"/>
    <n v="3"/>
    <s v="California"/>
    <s v="Los Angeles County"/>
    <x v="3"/>
    <n v="10"/>
    <e v="#NAME?"/>
  </r>
  <r>
    <s v="TX501648"/>
    <s v="Jeans"/>
    <n v="11"/>
    <n v="118.3"/>
    <n v="1301.3"/>
    <d v="2025-03-03T00:00:00"/>
    <d v="2025-03-05T00:00:00"/>
    <s v="M"/>
    <s v="Partner App"/>
    <n v="5"/>
    <s v="California"/>
    <s v="Los Angeles County"/>
    <x v="1"/>
    <n v="10"/>
    <e v="#NAME?"/>
  </r>
  <r>
    <s v="TX501649"/>
    <s v="Jewelry"/>
    <n v="1"/>
    <n v="36"/>
    <n v="36"/>
    <d v="2025-03-03T00:00:00"/>
    <d v="2025-03-04T00:00:00"/>
    <s v="F"/>
    <s v="App"/>
    <n v="3"/>
    <s v="California"/>
    <s v="Los Angeles County"/>
    <x v="3"/>
    <n v="10"/>
    <e v="#NAME?"/>
  </r>
  <r>
    <s v="TX501650"/>
    <s v="T-Shirts"/>
    <n v="2"/>
    <n v="37.1"/>
    <n v="74.2"/>
    <d v="2025-03-03T00:00:00"/>
    <d v="2025-03-06T00:00:00"/>
    <s v="F"/>
    <s v="Target.com"/>
    <n v="4"/>
    <s v="California"/>
    <s v="Los Angeles County"/>
    <x v="2"/>
    <n v="10"/>
    <e v="#NAME?"/>
  </r>
  <r>
    <s v="TX501651"/>
    <s v="Leggings"/>
    <n v="3"/>
    <n v="45.1"/>
    <n v="135.30000000000001"/>
    <d v="2025-03-03T00:00:00"/>
    <d v="2025-03-05T00:00:00"/>
    <s v="F"/>
    <s v="Website"/>
    <n v="5"/>
    <s v="California"/>
    <s v="Los Angeles County"/>
    <x v="1"/>
    <n v="10"/>
    <e v="#NAME?"/>
  </r>
  <r>
    <s v="TX501652"/>
    <s v="Sandals"/>
    <n v="16"/>
    <n v="37.9"/>
    <n v="606.4"/>
    <d v="2025-03-03T00:00:00"/>
    <d v="2025-03-04T00:00:00"/>
    <s v="F"/>
    <s v="Instagram"/>
    <n v="5"/>
    <s v="California"/>
    <s v="Los Angeles County"/>
    <x v="3"/>
    <n v="10"/>
    <e v="#NAME?"/>
  </r>
  <r>
    <s v="TX501653"/>
    <s v="Sneakers"/>
    <n v="2"/>
    <n v="121.6"/>
    <n v="243.2"/>
    <d v="2025-03-03T00:00:00"/>
    <d v="2025-03-06T00:00:00"/>
    <s v="M"/>
    <s v="Instagram"/>
    <n v="5"/>
    <s v="California"/>
    <s v="Los Angeles County"/>
    <x v="2"/>
    <n v="10"/>
    <e v="#NAME?"/>
  </r>
  <r>
    <s v="TX501654"/>
    <s v="Sandals"/>
    <n v="7"/>
    <n v="38.200000000000003"/>
    <n v="267.40000000000003"/>
    <d v="2025-03-03T00:00:00"/>
    <d v="2025-03-06T00:00:00"/>
    <s v="F"/>
    <s v="App"/>
    <n v="4"/>
    <s v="California"/>
    <s v="Los Angeles County"/>
    <x v="2"/>
    <n v="10"/>
    <e v="#NAME?"/>
  </r>
  <r>
    <s v="TX501655"/>
    <s v="Pajama Sets"/>
    <n v="2"/>
    <n v="37.200000000000003"/>
    <n v="74.400000000000006"/>
    <d v="2025-03-03T00:00:00"/>
    <d v="2025-03-06T00:00:00"/>
    <s v="M"/>
    <s v="Partner App"/>
    <n v="4"/>
    <s v="California"/>
    <s v="Los Angeles County"/>
    <x v="2"/>
    <n v="10"/>
    <e v="#NAME?"/>
  </r>
  <r>
    <s v="TX501656"/>
    <s v="Sneakers"/>
    <n v="4"/>
    <n v="115.7"/>
    <n v="462.8"/>
    <d v="2025-03-03T00:00:00"/>
    <d v="2025-03-06T00:00:00"/>
    <s v="F"/>
    <s v="Website"/>
    <n v="4"/>
    <s v="California"/>
    <s v="Los Angeles County"/>
    <x v="2"/>
    <n v="10"/>
    <e v="#NAME?"/>
  </r>
  <r>
    <s v="TX501657"/>
    <s v="Sneakers"/>
    <n v="6"/>
    <n v="99.4"/>
    <n v="596.40000000000009"/>
    <d v="2025-03-03T00:00:00"/>
    <d v="2025-03-06T00:00:00"/>
    <s v="M"/>
    <s v="App"/>
    <n v="5"/>
    <s v="California"/>
    <s v="Los Angeles County"/>
    <x v="2"/>
    <n v="10"/>
    <e v="#NAME?"/>
  </r>
  <r>
    <s v="TX501658"/>
    <s v="Maxi Dresses"/>
    <n v="1"/>
    <n v="38.700000000000003"/>
    <n v="38.700000000000003"/>
    <d v="2025-03-03T00:00:00"/>
    <d v="2025-03-04T00:00:00"/>
    <s v="F"/>
    <s v="Target.com"/>
    <n v="4"/>
    <s v="California"/>
    <s v="Orange County"/>
    <x v="3"/>
    <n v="10"/>
    <e v="#NAME?"/>
  </r>
  <r>
    <s v="TX501659"/>
    <s v="Graphic Tees"/>
    <n v="2"/>
    <n v="35.5"/>
    <n v="71"/>
    <d v="2025-03-03T00:00:00"/>
    <d v="2025-03-06T00:00:00"/>
    <s v="M"/>
    <s v="App"/>
    <n v="5"/>
    <s v="California"/>
    <s v="Orange County"/>
    <x v="2"/>
    <n v="10"/>
    <e v="#NAME?"/>
  </r>
  <r>
    <s v="TX501660"/>
    <s v="Sneakers"/>
    <n v="4"/>
    <n v="93.3"/>
    <n v="373.2"/>
    <d v="2025-03-03T00:00:00"/>
    <d v="2025-03-06T00:00:00"/>
    <s v="F"/>
    <s v="App"/>
    <n v="5"/>
    <s v="California"/>
    <s v="Sacramento County"/>
    <x v="2"/>
    <n v="10"/>
    <e v="#NAME?"/>
  </r>
  <r>
    <s v="TX501661"/>
    <s v="Sunglasses"/>
    <n v="1"/>
    <n v="31.4"/>
    <n v="31.4"/>
    <d v="2025-03-03T00:00:00"/>
    <d v="2025-03-08T00:00:00"/>
    <s v="F"/>
    <s v="Target.com"/>
    <n v="5"/>
    <s v="California"/>
    <s v="Sacramento County"/>
    <x v="0"/>
    <n v="10"/>
    <e v="#NAME?"/>
  </r>
  <r>
    <s v="TX501662"/>
    <s v="Tank Tops"/>
    <n v="1"/>
    <n v="85.9"/>
    <n v="85.9"/>
    <d v="2025-03-03T00:00:00"/>
    <d v="2025-03-06T00:00:00"/>
    <s v="M"/>
    <s v="Website"/>
    <n v="4"/>
    <s v="California"/>
    <s v="Sacramento County"/>
    <x v="2"/>
    <n v="10"/>
    <e v="#NAME?"/>
  </r>
  <r>
    <s v="TX501663"/>
    <s v="Jeans"/>
    <n v="8"/>
    <n v="41.7"/>
    <n v="333.6"/>
    <d v="2025-03-03T00:00:00"/>
    <d v="2025-03-11T00:00:00"/>
    <s v="M"/>
    <s v="App"/>
    <n v="5"/>
    <s v="California"/>
    <s v="San Bernardino County"/>
    <x v="9"/>
    <n v="10"/>
    <e v="#NAME?"/>
  </r>
  <r>
    <s v="TX501664"/>
    <s v="T-Shirts"/>
    <n v="4"/>
    <n v="31.5"/>
    <n v="126"/>
    <d v="2025-03-03T00:00:00"/>
    <d v="2025-03-04T00:00:00"/>
    <s v="F"/>
    <s v="App"/>
    <n v="4"/>
    <s v="California"/>
    <s v="San Bernardino County"/>
    <x v="3"/>
    <n v="10"/>
    <e v="#NAME?"/>
  </r>
  <r>
    <s v="TX501665"/>
    <s v="T-Shirts"/>
    <n v="2"/>
    <n v="36.299999999999997"/>
    <n v="72.599999999999994"/>
    <d v="2025-03-03T00:00:00"/>
    <d v="2025-03-04T00:00:00"/>
    <s v="F"/>
    <s v="App"/>
    <n v="2"/>
    <s v="California"/>
    <s v="San Diego County"/>
    <x v="3"/>
    <n v="10"/>
    <e v="#NAME?"/>
  </r>
  <r>
    <s v="TX501666"/>
    <s v="T-Shirts"/>
    <n v="3"/>
    <n v="33.4"/>
    <n v="100.19999999999999"/>
    <d v="2025-03-03T00:00:00"/>
    <d v="2025-03-04T00:00:00"/>
    <s v="F"/>
    <s v="Instagram"/>
    <n v="4"/>
    <s v="California"/>
    <s v="San Francisco"/>
    <x v="3"/>
    <n v="10"/>
    <e v="#NAME?"/>
  </r>
  <r>
    <s v="TX501667"/>
    <s v="Sneakers"/>
    <n v="3"/>
    <n v="65.2"/>
    <n v="195.60000000000002"/>
    <d v="2025-03-03T00:00:00"/>
    <d v="2025-03-04T00:00:00"/>
    <s v="F"/>
    <s v="Target.com"/>
    <n v="5"/>
    <s v="California"/>
    <s v="San Joaquin County"/>
    <x v="3"/>
    <n v="10"/>
    <e v="#NAME?"/>
  </r>
  <r>
    <s v="TX501668"/>
    <s v="T-Shirts"/>
    <n v="9"/>
    <n v="65.5"/>
    <n v="589.5"/>
    <d v="2025-03-03T00:00:00"/>
    <d v="2025-03-06T00:00:00"/>
    <s v="F"/>
    <s v="App"/>
    <n v="5"/>
    <s v="California"/>
    <s v="San Mateo County"/>
    <x v="2"/>
    <n v="10"/>
    <e v="#NAME?"/>
  </r>
  <r>
    <s v="TX501669"/>
    <s v="Jeans"/>
    <n v="3"/>
    <n v="52.8"/>
    <n v="158.39999999999998"/>
    <d v="2025-03-03T00:00:00"/>
    <d v="2025-03-06T00:00:00"/>
    <s v="M"/>
    <s v="Target.com"/>
    <n v="4"/>
    <s v="California"/>
    <s v="San Mateo County"/>
    <x v="2"/>
    <n v="10"/>
    <e v="#NAME?"/>
  </r>
  <r>
    <s v="TX501670"/>
    <s v="Sundresses"/>
    <n v="5"/>
    <n v="24"/>
    <n v="120"/>
    <d v="2025-03-03T00:00:00"/>
    <d v="2025-03-07T00:00:00"/>
    <s v="M"/>
    <s v="App"/>
    <n v="3"/>
    <s v="California"/>
    <s v="Santa Clara County"/>
    <x v="5"/>
    <n v="10"/>
    <e v="#NAME?"/>
  </r>
  <r>
    <s v="TX501671"/>
    <s v="Workout Tops"/>
    <n v="3"/>
    <n v="51.2"/>
    <n v="153.60000000000002"/>
    <d v="2025-03-03T00:00:00"/>
    <d v="2025-03-04T00:00:00"/>
    <s v="F"/>
    <s v="App"/>
    <n v="4"/>
    <s v="California"/>
    <s v="Santa Cruz County"/>
    <x v="3"/>
    <n v="10"/>
    <e v="#NAME?"/>
  </r>
  <r>
    <s v="TX501672"/>
    <s v="Sandals"/>
    <n v="3"/>
    <n v="28.3"/>
    <n v="84.9"/>
    <d v="2025-03-03T00:00:00"/>
    <d v="2025-03-05T00:00:00"/>
    <s v="M"/>
    <s v="Partner App"/>
    <n v="4"/>
    <s v="California"/>
    <s v="Stanislaus County"/>
    <x v="1"/>
    <n v="10"/>
    <e v="#NAME?"/>
  </r>
  <r>
    <s v="TX501673"/>
    <s v="Jeans"/>
    <n v="3"/>
    <n v="42.3"/>
    <n v="126.89999999999999"/>
    <d v="2025-03-03T00:00:00"/>
    <d v="2025-03-03T00:00:00"/>
    <s v="F"/>
    <s v="Target.com"/>
    <n v="3"/>
    <s v="California"/>
    <s v="Stanislaus County"/>
    <x v="7"/>
    <n v="10"/>
    <e v="#NAME?"/>
  </r>
  <r>
    <s v="TX501674"/>
    <s v="Sneakers"/>
    <n v="8"/>
    <n v="163.30000000000001"/>
    <n v="1306.4000000000001"/>
    <d v="2025-03-04T00:00:00"/>
    <d v="2025-03-05T00:00:00"/>
    <s v="F"/>
    <s v="Website"/>
    <n v="4"/>
    <s v="California"/>
    <s v="Ventura County"/>
    <x v="3"/>
    <n v="10"/>
    <e v="#NAME?"/>
  </r>
  <r>
    <s v="TX501675"/>
    <s v="Jeans"/>
    <n v="7"/>
    <n v="47.3"/>
    <n v="331.09999999999997"/>
    <d v="2025-03-04T00:00:00"/>
    <d v="2025-03-07T00:00:00"/>
    <s v="F"/>
    <s v="Partner App"/>
    <n v="3"/>
    <s v="California"/>
    <s v="Alameda County"/>
    <x v="2"/>
    <n v="10"/>
    <e v="#NAME?"/>
  </r>
  <r>
    <s v="TX501676"/>
    <s v="T-Shirts"/>
    <n v="16"/>
    <n v="27.3"/>
    <n v="436.8"/>
    <d v="2025-03-04T00:00:00"/>
    <d v="2025-03-05T00:00:00"/>
    <s v="F"/>
    <s v="Target.com"/>
    <n v="4"/>
    <s v="California"/>
    <s v="Alameda County"/>
    <x v="3"/>
    <n v="10"/>
    <e v="#NAME?"/>
  </r>
  <r>
    <s v="TX501677"/>
    <s v="Bikinis"/>
    <n v="6"/>
    <n v="34.9"/>
    <n v="209.39999999999998"/>
    <d v="2025-03-04T00:00:00"/>
    <d v="2025-03-15T00:00:00"/>
    <s v="F"/>
    <s v="App"/>
    <n v="4"/>
    <s v="California"/>
    <s v="Alameda County"/>
    <x v="11"/>
    <n v="10"/>
    <e v="#NAME?"/>
  </r>
  <r>
    <s v="TX501678"/>
    <s v="Jeans"/>
    <n v="2"/>
    <n v="53.9"/>
    <n v="107.8"/>
    <d v="2025-03-04T00:00:00"/>
    <d v="2025-03-07T00:00:00"/>
    <s v="O"/>
    <s v="App"/>
    <n v="2"/>
    <s v="California"/>
    <s v="Contra Costa County"/>
    <x v="2"/>
    <n v="10"/>
    <e v="#NAME?"/>
  </r>
  <r>
    <s v="TX501679"/>
    <s v="Sneakers"/>
    <n v="2"/>
    <n v="87.2"/>
    <n v="174.4"/>
    <d v="2025-03-04T00:00:00"/>
    <d v="2025-03-05T00:00:00"/>
    <s v="F"/>
    <s v="App"/>
    <n v="3"/>
    <s v="California"/>
    <s v="Contra Costa County"/>
    <x v="3"/>
    <n v="10"/>
    <e v="#NAME?"/>
  </r>
  <r>
    <s v="TX501680"/>
    <s v="Crop Tops"/>
    <n v="1"/>
    <n v="58.8"/>
    <n v="58.8"/>
    <d v="2025-03-04T00:00:00"/>
    <d v="2025-03-06T00:00:00"/>
    <s v="F"/>
    <s v="Target.com"/>
    <n v="4"/>
    <s v="California"/>
    <s v="Humboldt County"/>
    <x v="1"/>
    <n v="10"/>
    <e v="#NAME?"/>
  </r>
  <r>
    <s v="TX501681"/>
    <s v="Sneakers"/>
    <n v="7"/>
    <n v="125.5"/>
    <n v="878.5"/>
    <d v="2025-03-04T00:00:00"/>
    <d v="2025-03-05T00:00:00"/>
    <s v="M"/>
    <s v="Target.com"/>
    <n v="2"/>
    <s v="California"/>
    <s v="Kern County"/>
    <x v="3"/>
    <n v="10"/>
    <e v="#NAME?"/>
  </r>
  <r>
    <s v="TX501682"/>
    <s v="Tank Tops"/>
    <n v="4"/>
    <n v="124.6"/>
    <n v="498.4"/>
    <d v="2025-03-04T00:00:00"/>
    <d v="2025-03-06T00:00:00"/>
    <s v="F"/>
    <s v="App"/>
    <n v="3"/>
    <s v="California"/>
    <s v="Kern County"/>
    <x v="1"/>
    <n v="10"/>
    <e v="#NAME?"/>
  </r>
  <r>
    <s v="TX501683"/>
    <s v="Tank Tops"/>
    <n v="7"/>
    <n v="39.9"/>
    <n v="279.3"/>
    <d v="2025-03-04T00:00:00"/>
    <d v="2025-03-05T00:00:00"/>
    <s v="M"/>
    <s v="Target.com"/>
    <n v="3"/>
    <s v="California"/>
    <s v="Los Angeles County"/>
    <x v="3"/>
    <n v="10"/>
    <e v="#NAME?"/>
  </r>
  <r>
    <s v="TX501684"/>
    <s v="Jeans"/>
    <n v="1"/>
    <n v="94.6"/>
    <n v="94.6"/>
    <d v="2025-03-04T00:00:00"/>
    <d v="2025-03-18T00:00:00"/>
    <s v="F"/>
    <s v="App"/>
    <n v="3"/>
    <s v="California"/>
    <s v="Los Angeles County"/>
    <x v="12"/>
    <n v="10"/>
    <e v="#NAME?"/>
  </r>
  <r>
    <s v="TX501685"/>
    <s v="Sneakers"/>
    <n v="2"/>
    <n v="149.6"/>
    <n v="299.2"/>
    <d v="2025-03-04T00:00:00"/>
    <d v="2025-03-05T00:00:00"/>
    <s v="F"/>
    <s v="App"/>
    <n v="4"/>
    <s v="California"/>
    <s v="Los Angeles County"/>
    <x v="3"/>
    <n v="10"/>
    <e v="#NAME?"/>
  </r>
  <r>
    <s v="TX501686"/>
    <s v="T-Shirts"/>
    <n v="1"/>
    <n v="52.2"/>
    <n v="52.2"/>
    <d v="2025-03-04T00:00:00"/>
    <d v="2025-03-05T00:00:00"/>
    <s v=""/>
    <s v="Website"/>
    <n v="4"/>
    <s v="California"/>
    <s v="Los Angeles County"/>
    <x v="3"/>
    <n v="10"/>
    <e v="#NAME?"/>
  </r>
  <r>
    <s v="TX501687"/>
    <s v="Jeans"/>
    <n v="2"/>
    <n v="96.5"/>
    <n v="193"/>
    <d v="2025-03-04T00:00:00"/>
    <d v="2025-03-05T00:00:00"/>
    <s v="F"/>
    <s v="Website"/>
    <n v="3"/>
    <s v="California"/>
    <s v="Los Angeles County"/>
    <x v="3"/>
    <n v="10"/>
    <e v="#NAME?"/>
  </r>
  <r>
    <s v="TX501688"/>
    <s v="T-Shirts"/>
    <n v="2"/>
    <n v="79.8"/>
    <n v="159.6"/>
    <d v="2025-03-04T00:00:00"/>
    <d v="2025-03-06T00:00:00"/>
    <s v="F"/>
    <s v="App"/>
    <n v="3"/>
    <s v="California"/>
    <s v="Los Angeles County"/>
    <x v="1"/>
    <n v="10"/>
    <e v="#NAME?"/>
  </r>
  <r>
    <s v="TX501689"/>
    <s v="T-Shirts"/>
    <n v="3"/>
    <n v="35.6"/>
    <n v="106.80000000000001"/>
    <d v="2025-03-04T00:00:00"/>
    <d v="2025-03-05T00:00:00"/>
    <s v="F"/>
    <s v="Target.com"/>
    <n v="4"/>
    <s v="California"/>
    <s v="Los Angeles County"/>
    <x v="3"/>
    <n v="10"/>
    <e v="#NAME?"/>
  </r>
  <r>
    <s v="TX501690"/>
    <s v="Sunglasses"/>
    <n v="1"/>
    <n v="50.2"/>
    <n v="50.2"/>
    <d v="2025-03-04T00:00:00"/>
    <d v="2025-03-05T00:00:00"/>
    <s v="F"/>
    <s v="Website"/>
    <n v="5"/>
    <s v="California"/>
    <s v="Los Angeles County"/>
    <x v="3"/>
    <n v="10"/>
    <e v="#NAME?"/>
  </r>
  <r>
    <s v="TX501691"/>
    <s v="Tank Tops"/>
    <n v="3"/>
    <n v="55.3"/>
    <n v="165.89999999999998"/>
    <d v="2025-03-04T00:00:00"/>
    <d v="2025-03-07T00:00:00"/>
    <s v="F"/>
    <s v="App"/>
    <n v="2"/>
    <s v="California"/>
    <s v="Mariposa County"/>
    <x v="2"/>
    <n v="10"/>
    <e v="#NAME?"/>
  </r>
  <r>
    <s v="TX501692"/>
    <s v="Jeans"/>
    <n v="7"/>
    <n v="104.5"/>
    <n v="731.5"/>
    <d v="2025-03-04T00:00:00"/>
    <d v="2025-03-08T00:00:00"/>
    <s v="F"/>
    <s v="Website"/>
    <n v="4"/>
    <s v="California"/>
    <s v="San Bernardino County"/>
    <x v="5"/>
    <n v="10"/>
    <e v="#NAME?"/>
  </r>
  <r>
    <s v="TX501693"/>
    <s v="Jeans"/>
    <n v="4"/>
    <n v="66.5"/>
    <n v="266"/>
    <d v="2025-03-04T00:00:00"/>
    <d v="2025-03-06T00:00:00"/>
    <s v="M"/>
    <s v="Website"/>
    <n v="4"/>
    <s v="California"/>
    <s v="San Bernardino County"/>
    <x v="1"/>
    <n v="10"/>
    <e v="#NAME?"/>
  </r>
  <r>
    <s v="TX501694"/>
    <s v="Bikinis"/>
    <n v="8"/>
    <n v="38.299999999999997"/>
    <n v="306.39999999999998"/>
    <d v="2025-03-04T00:00:00"/>
    <d v="2025-03-05T00:00:00"/>
    <s v="F"/>
    <s v="App"/>
    <n v="4"/>
    <s v="California"/>
    <s v="San Bernardino County"/>
    <x v="3"/>
    <n v="10"/>
    <e v="#NAME?"/>
  </r>
  <r>
    <s v="TX501695"/>
    <s v="Jeans"/>
    <n v="3"/>
    <n v="63.8"/>
    <n v="191.39999999999998"/>
    <d v="2025-03-04T00:00:00"/>
    <d v="2025-03-07T00:00:00"/>
    <s v="F"/>
    <s v="Website"/>
    <n v="4"/>
    <s v="California"/>
    <s v="San Diego County"/>
    <x v="2"/>
    <n v="10"/>
    <e v="#NAME?"/>
  </r>
  <r>
    <s v="TX501696"/>
    <s v="Crop Tops"/>
    <n v="1"/>
    <n v="21.4"/>
    <n v="21.4"/>
    <d v="2025-03-04T00:00:00"/>
    <d v="2025-03-04T00:00:00"/>
    <s v="M"/>
    <s v="Partner App"/>
    <n v="4"/>
    <s v="California"/>
    <s v="San Diego County"/>
    <x v="7"/>
    <n v="10"/>
    <e v="#NAME?"/>
  </r>
  <r>
    <s v="TX501697"/>
    <s v="T-Shirts"/>
    <n v="4"/>
    <n v="44.1"/>
    <n v="176.4"/>
    <d v="2025-03-04T00:00:00"/>
    <d v="2025-03-06T00:00:00"/>
    <s v="F"/>
    <s v="Target.com"/>
    <n v="4"/>
    <s v="California"/>
    <s v="San Diego County"/>
    <x v="1"/>
    <n v="10"/>
    <e v="#NAME?"/>
  </r>
  <r>
    <s v="TX501698"/>
    <s v="Sandals"/>
    <n v="8"/>
    <n v="57.6"/>
    <n v="460.8"/>
    <d v="2025-03-04T00:00:00"/>
    <d v="2025-03-06T00:00:00"/>
    <s v="M"/>
    <s v="Website"/>
    <n v="5"/>
    <s v="California"/>
    <s v="San Diego County"/>
    <x v="1"/>
    <n v="10"/>
    <e v="#NAME?"/>
  </r>
  <r>
    <s v="TX501699"/>
    <s v="Sundresses"/>
    <n v="2"/>
    <n v="20.3"/>
    <n v="40.6"/>
    <d v="2025-03-04T00:00:00"/>
    <d v="2025-03-10T00:00:00"/>
    <s v="F"/>
    <s v="Instagram"/>
    <n v="4"/>
    <s v="California"/>
    <s v="San Diego County"/>
    <x v="4"/>
    <n v="10"/>
    <e v="#NAME?"/>
  </r>
  <r>
    <s v="TX501700"/>
    <s v="T-Shirts"/>
    <n v="1"/>
    <n v="22.9"/>
    <n v="22.9"/>
    <d v="2025-03-04T00:00:00"/>
    <d v="2025-03-06T00:00:00"/>
    <s v="F"/>
    <s v="Target.com"/>
    <n v="5"/>
    <s v="California"/>
    <s v="San Diego County"/>
    <x v="1"/>
    <n v="10"/>
    <e v="#NAME?"/>
  </r>
  <r>
    <s v="TX501701"/>
    <s v="Jeans"/>
    <n v="4"/>
    <n v="105.9"/>
    <n v="423.6"/>
    <d v="2025-03-04T00:00:00"/>
    <d v="2025-03-05T00:00:00"/>
    <s v="F"/>
    <s v="Website"/>
    <n v="5"/>
    <s v="California"/>
    <s v="San Francisco"/>
    <x v="3"/>
    <n v="10"/>
    <e v="#NAME?"/>
  </r>
  <r>
    <s v="TX501702"/>
    <s v="Tank Tops"/>
    <n v="9"/>
    <n v="37.4"/>
    <n v="336.59999999999997"/>
    <d v="2025-03-04T00:00:00"/>
    <d v="2025-03-08T00:00:00"/>
    <s v="M"/>
    <s v="Website"/>
    <n v="4"/>
    <s v="California"/>
    <s v="Santa Clara County"/>
    <x v="5"/>
    <n v="10"/>
    <e v="#NAME?"/>
  </r>
  <r>
    <s v="TX501703"/>
    <s v="Leggings"/>
    <n v="2"/>
    <n v="79"/>
    <n v="158"/>
    <d v="2025-03-04T00:00:00"/>
    <d v="2025-03-05T00:00:00"/>
    <s v="M"/>
    <s v="Target.com"/>
    <n v="4"/>
    <s v="California"/>
    <s v="Yolo County"/>
    <x v="3"/>
    <n v="10"/>
    <e v="#NAME?"/>
  </r>
  <r>
    <s v="TX501704"/>
    <s v="Shorts"/>
    <n v="3"/>
    <n v="19.3"/>
    <n v="57.900000000000006"/>
    <d v="2025-03-04T00:00:00"/>
    <d v="2025-03-05T00:00:00"/>
    <s v="F"/>
    <s v="Partner App"/>
    <n v="4"/>
    <s v="California"/>
    <s v="Alameda County"/>
    <x v="3"/>
    <n v="10"/>
    <e v="#NAME?"/>
  </r>
  <r>
    <s v="TX501705"/>
    <s v="Shorts"/>
    <n v="1"/>
    <n v="24"/>
    <n v="24"/>
    <d v="2025-03-04T00:00:00"/>
    <d v="2025-03-05T00:00:00"/>
    <s v="F"/>
    <s v="Website"/>
    <n v="4"/>
    <s v="California"/>
    <s v="Contra Costa County"/>
    <x v="3"/>
    <n v="10"/>
    <e v="#NAME?"/>
  </r>
  <r>
    <s v="TX501706"/>
    <s v="Jeans"/>
    <n v="5"/>
    <n v="71.3"/>
    <n v="356.5"/>
    <d v="2025-03-04T00:00:00"/>
    <d v="2025-03-07T00:00:00"/>
    <s v="F"/>
    <s v="Target.com"/>
    <n v="4"/>
    <s v="California"/>
    <s v="Fresno County"/>
    <x v="2"/>
    <n v="10"/>
    <e v="#NAME?"/>
  </r>
  <r>
    <s v="TX501707"/>
    <s v="Sandals"/>
    <n v="2"/>
    <n v="166.2"/>
    <n v="332.4"/>
    <d v="2025-03-04T00:00:00"/>
    <d v="2025-03-05T00:00:00"/>
    <s v="M"/>
    <s v="App"/>
    <n v="5"/>
    <s v="California"/>
    <s v="Lake County"/>
    <x v="3"/>
    <n v="10"/>
    <e v="#NAME?"/>
  </r>
  <r>
    <s v="TX501708"/>
    <s v="Jeans"/>
    <n v="1"/>
    <n v="81"/>
    <n v="81"/>
    <d v="2025-03-04T00:00:00"/>
    <d v="2025-03-05T00:00:00"/>
    <s v="F"/>
    <s v="Target.com"/>
    <n v="3"/>
    <s v="California"/>
    <s v="Los Angeles County"/>
    <x v="3"/>
    <n v="10"/>
    <e v="#NAME?"/>
  </r>
  <r>
    <s v="TX501709"/>
    <s v="Bikinis"/>
    <n v="6"/>
    <n v="38.5"/>
    <n v="231"/>
    <d v="2025-03-04T00:00:00"/>
    <d v="2025-03-08T00:00:00"/>
    <s v="F"/>
    <s v="App"/>
    <n v="4"/>
    <s v="California"/>
    <s v="Los Angeles County"/>
    <x v="5"/>
    <n v="10"/>
    <e v="#NAME?"/>
  </r>
  <r>
    <s v="TX501710"/>
    <s v="Jeans"/>
    <n v="1"/>
    <n v="86.1"/>
    <n v="86.1"/>
    <d v="2025-03-04T00:00:00"/>
    <d v="2025-03-06T00:00:00"/>
    <s v="F"/>
    <s v="Instagram"/>
    <n v="4"/>
    <s v="California"/>
    <s v="Los Angeles County"/>
    <x v="1"/>
    <n v="10"/>
    <e v="#NAME?"/>
  </r>
  <r>
    <s v="TX501711"/>
    <s v="Sneakers"/>
    <n v="5"/>
    <n v="51"/>
    <n v="255"/>
    <d v="2025-03-04T00:00:00"/>
    <d v="2025-03-05T00:00:00"/>
    <s v="M"/>
    <s v="App"/>
    <n v="3"/>
    <s v="California"/>
    <s v="Los Angeles County"/>
    <x v="3"/>
    <n v="10"/>
    <e v="#NAME?"/>
  </r>
  <r>
    <s v="TX501712"/>
    <s v="Workout Tops"/>
    <n v="5"/>
    <n v="115.4"/>
    <n v="577"/>
    <d v="2025-03-04T00:00:00"/>
    <d v="2025-03-05T00:00:00"/>
    <s v="M"/>
    <s v="App"/>
    <n v="4"/>
    <s v="California"/>
    <s v="Los Angeles County"/>
    <x v="3"/>
    <n v="10"/>
    <e v="#NAME?"/>
  </r>
  <r>
    <s v="TX501713"/>
    <s v="Jeans"/>
    <n v="4"/>
    <n v="176.5"/>
    <n v="706"/>
    <d v="2025-03-04T00:00:00"/>
    <d v="2025-03-05T00:00:00"/>
    <s v="F"/>
    <s v="Target.com"/>
    <n v="5"/>
    <s v="California"/>
    <s v="Los Angeles County"/>
    <x v="3"/>
    <n v="10"/>
    <e v="#NAME?"/>
  </r>
  <r>
    <s v="TX501714"/>
    <s v="Hoodies &amp; Sweatshirts"/>
    <n v="3"/>
    <n v="48.9"/>
    <n v="146.69999999999999"/>
    <d v="2025-03-04T00:00:00"/>
    <d v="2025-03-05T00:00:00"/>
    <s v="M"/>
    <s v="Partner App"/>
    <n v="4"/>
    <s v="California"/>
    <s v="Los Angeles County"/>
    <x v="3"/>
    <n v="10"/>
    <e v="#NAME?"/>
  </r>
  <r>
    <s v="TX501715"/>
    <s v="T-Shirts"/>
    <n v="3"/>
    <n v="18.100000000000001"/>
    <n v="54.300000000000004"/>
    <d v="2025-03-04T00:00:00"/>
    <d v="2025-03-11T00:00:00"/>
    <s v="F"/>
    <s v="Website"/>
    <n v="5"/>
    <s v="California"/>
    <s v="Mendocino County"/>
    <x v="6"/>
    <n v="10"/>
    <e v="#NAME?"/>
  </r>
  <r>
    <s v="TX501716"/>
    <s v="Sneakers"/>
    <n v="2"/>
    <n v="118.5"/>
    <n v="237"/>
    <d v="2025-03-04T00:00:00"/>
    <d v="2025-03-07T00:00:00"/>
    <s v="M"/>
    <s v="Website"/>
    <n v="5"/>
    <s v="California"/>
    <s v="Napa County"/>
    <x v="2"/>
    <n v="10"/>
    <e v="#NAME?"/>
  </r>
  <r>
    <s v="TX501717"/>
    <s v="Crop Tops"/>
    <n v="7"/>
    <n v="59.1"/>
    <n v="413.7"/>
    <d v="2025-03-04T00:00:00"/>
    <d v="2025-03-05T00:00:00"/>
    <s v="F"/>
    <s v="Instagram"/>
    <n v="4"/>
    <s v="California"/>
    <s v="Orange County"/>
    <x v="3"/>
    <n v="10"/>
    <e v="#NAME?"/>
  </r>
  <r>
    <s v="TX501718"/>
    <s v="Graphic Tees"/>
    <n v="1"/>
    <n v="21.2"/>
    <n v="21.2"/>
    <d v="2025-03-04T00:00:00"/>
    <d v="2025-03-05T00:00:00"/>
    <s v="F"/>
    <s v="App"/>
    <n v="3"/>
    <s v="California"/>
    <s v="Sacramento County"/>
    <x v="3"/>
    <n v="10"/>
    <e v="#NAME?"/>
  </r>
  <r>
    <s v="TX501719"/>
    <s v="Jeans"/>
    <n v="2"/>
    <n v="68.8"/>
    <n v="137.6"/>
    <d v="2025-03-04T00:00:00"/>
    <d v="2025-03-09T00:00:00"/>
    <s v="F"/>
    <s v="Instagram"/>
    <n v="5"/>
    <s v="California"/>
    <s v="Sacramento County"/>
    <x v="0"/>
    <n v="10"/>
    <e v="#NAME?"/>
  </r>
  <r>
    <s v="TX501720"/>
    <s v="Jeans"/>
    <n v="2"/>
    <n v="65.400000000000006"/>
    <n v="130.80000000000001"/>
    <d v="2025-03-04T00:00:00"/>
    <d v="2025-03-08T00:00:00"/>
    <s v="F"/>
    <s v="App"/>
    <n v="4"/>
    <s v="California"/>
    <s v="Sacramento County"/>
    <x v="5"/>
    <n v="10"/>
    <e v="#NAME?"/>
  </r>
  <r>
    <s v="TX501721"/>
    <s v="Casual Dresses"/>
    <n v="5"/>
    <n v="66.3"/>
    <n v="331.5"/>
    <d v="2025-03-05T00:00:00"/>
    <d v="2025-03-08T00:00:00"/>
    <s v="F"/>
    <s v="Partner App"/>
    <n v="4"/>
    <s v="California"/>
    <s v="Sacramento County"/>
    <x v="2"/>
    <n v="10"/>
    <e v="#NAME?"/>
  </r>
  <r>
    <s v="TX501722"/>
    <s v="Jeans"/>
    <n v="3"/>
    <n v="97.5"/>
    <n v="292.5"/>
    <d v="2025-03-05T00:00:00"/>
    <d v="2025-03-05T00:00:00"/>
    <s v="M"/>
    <s v="Instagram"/>
    <n v="4"/>
    <s v="California"/>
    <s v="San Diego County"/>
    <x v="7"/>
    <n v="10"/>
    <e v="#NAME?"/>
  </r>
  <r>
    <s v="TX501723"/>
    <s v="Tank Tops"/>
    <n v="2"/>
    <n v="44"/>
    <n v="88"/>
    <d v="2025-03-05T00:00:00"/>
    <d v="2025-03-08T00:00:00"/>
    <s v="F"/>
    <s v="Website"/>
    <n v="5"/>
    <s v="California"/>
    <s v="San Diego County"/>
    <x v="2"/>
    <n v="10"/>
    <e v="#NAME?"/>
  </r>
  <r>
    <s v="TX501724"/>
    <s v="Shorts"/>
    <n v="1"/>
    <n v="21.9"/>
    <n v="21.9"/>
    <d v="2025-03-05T00:00:00"/>
    <d v="2025-03-06T00:00:00"/>
    <s v="M"/>
    <s v="App"/>
    <n v="4"/>
    <s v="California"/>
    <s v="San Diego County"/>
    <x v="3"/>
    <n v="10"/>
    <e v="#NAME?"/>
  </r>
  <r>
    <s v="TX501725"/>
    <s v="Graphic Tees"/>
    <n v="7"/>
    <n v="21.5"/>
    <n v="150.5"/>
    <d v="2025-03-05T00:00:00"/>
    <d v="2025-03-07T00:00:00"/>
    <s v="F"/>
    <s v="Website"/>
    <n v="5"/>
    <s v="California"/>
    <s v="San Mateo County"/>
    <x v="1"/>
    <n v="10"/>
    <e v="#NAME?"/>
  </r>
  <r>
    <s v="TX501726"/>
    <s v="Casual Dresses"/>
    <n v="6"/>
    <n v="133"/>
    <n v="798"/>
    <d v="2025-03-05T00:00:00"/>
    <d v="2025-03-06T00:00:00"/>
    <s v="O"/>
    <s v="App"/>
    <n v="5"/>
    <s v="California"/>
    <s v="Santa Barbara County"/>
    <x v="3"/>
    <n v="10"/>
    <e v="#NAME?"/>
  </r>
  <r>
    <s v="TX501727"/>
    <s v="T-Shirts"/>
    <n v="2"/>
    <n v="47.7"/>
    <n v="95.4"/>
    <d v="2025-03-05T00:00:00"/>
    <d v="2025-03-09T00:00:00"/>
    <s v="M"/>
    <s v="App"/>
    <n v="5"/>
    <s v="California"/>
    <s v="Santa Barbara County"/>
    <x v="5"/>
    <n v="10"/>
    <e v="#NAME?"/>
  </r>
  <r>
    <s v="TX501728"/>
    <s v="Sunglasses"/>
    <n v="3"/>
    <n v="58.1"/>
    <n v="174.3"/>
    <d v="2025-03-05T00:00:00"/>
    <d v="2025-03-06T00:00:00"/>
    <s v="F"/>
    <s v="App"/>
    <n v="4"/>
    <s v="California"/>
    <s v="Santa Clara County"/>
    <x v="3"/>
    <n v="10"/>
    <e v="#NAME?"/>
  </r>
  <r>
    <s v="TX501729"/>
    <s v="Casual Dresses"/>
    <n v="4"/>
    <n v="66.599999999999994"/>
    <n v="266.39999999999998"/>
    <d v="2025-03-05T00:00:00"/>
    <d v="2025-03-06T00:00:00"/>
    <s v=""/>
    <s v="App"/>
    <n v="4"/>
    <s v="California"/>
    <s v="Santa Clara County"/>
    <x v="3"/>
    <n v="10"/>
    <e v="#NAME?"/>
  </r>
  <r>
    <s v="TX501730"/>
    <s v="Sundresses"/>
    <n v="1"/>
    <n v="24.1"/>
    <n v="24.1"/>
    <d v="2025-03-05T00:00:00"/>
    <d v="2025-03-08T00:00:00"/>
    <s v="M"/>
    <s v="Target.com"/>
    <n v="3"/>
    <s v="California"/>
    <s v="Stanislaus County"/>
    <x v="2"/>
    <n v="10"/>
    <e v="#NAME?"/>
  </r>
  <r>
    <s v="TX501731"/>
    <s v="Bikinis"/>
    <n v="5"/>
    <n v="51.5"/>
    <n v="257.5"/>
    <d v="2025-03-05T00:00:00"/>
    <d v="2025-03-10T00:00:00"/>
    <s v="F"/>
    <s v="App"/>
    <n v="4"/>
    <s v="California"/>
    <s v="Ventura County"/>
    <x v="0"/>
    <n v="10"/>
    <e v="#NAME?"/>
  </r>
  <r>
    <s v="TX501732"/>
    <s v="Shorts"/>
    <n v="11"/>
    <n v="25.8"/>
    <n v="283.8"/>
    <d v="2025-03-05T00:00:00"/>
    <d v="2025-03-09T00:00:00"/>
    <s v="F"/>
    <s v="Instagram"/>
    <n v="2"/>
    <s v="California"/>
    <s v="Alameda County"/>
    <x v="5"/>
    <n v="10"/>
    <e v="#NAME?"/>
  </r>
  <r>
    <s v="TX501733"/>
    <s v="Sundresses"/>
    <n v="4"/>
    <n v="47.7"/>
    <n v="190.8"/>
    <d v="2025-03-05T00:00:00"/>
    <d v="2025-03-05T00:00:00"/>
    <s v="F"/>
    <s v="App"/>
    <n v="3"/>
    <s v="California"/>
    <s v="Alameda County"/>
    <x v="7"/>
    <n v="10"/>
    <e v="#NAME?"/>
  </r>
  <r>
    <s v="TX501734"/>
    <s v="Hoodies &amp; Sweatshirts"/>
    <n v="5"/>
    <n v="73.599999999999994"/>
    <n v="368"/>
    <d v="2025-03-05T00:00:00"/>
    <d v="2025-03-09T00:00:00"/>
    <s v="M"/>
    <s v="Website"/>
    <n v="4"/>
    <s v="California"/>
    <s v="Alameda County"/>
    <x v="5"/>
    <n v="10"/>
    <e v="#NAME?"/>
  </r>
  <r>
    <s v="TX501735"/>
    <s v="Sandals"/>
    <n v="7"/>
    <n v="91.2"/>
    <n v="638.4"/>
    <d v="2025-03-05T00:00:00"/>
    <d v="2025-03-06T00:00:00"/>
    <s v="M"/>
    <s v="Website"/>
    <n v="5"/>
    <s v="California"/>
    <s v="Alameda County"/>
    <x v="3"/>
    <n v="10"/>
    <e v="#NAME?"/>
  </r>
  <r>
    <s v="TX501736"/>
    <s v="Tank Tops"/>
    <n v="8"/>
    <n v="36.200000000000003"/>
    <n v="289.60000000000002"/>
    <d v="2025-03-05T00:00:00"/>
    <d v="2025-03-05T00:00:00"/>
    <s v="M"/>
    <s v="Target.com"/>
    <n v="5"/>
    <s v="California"/>
    <s v="Contra Costa County"/>
    <x v="7"/>
    <n v="10"/>
    <e v="#NAME?"/>
  </r>
  <r>
    <s v="TX501737"/>
    <s v="Sundresses"/>
    <n v="8"/>
    <n v="98"/>
    <n v="784"/>
    <d v="2025-03-05T00:00:00"/>
    <d v="2025-03-09T00:00:00"/>
    <s v="F"/>
    <s v="Target.com"/>
    <n v="4"/>
    <s v="California"/>
    <s v="Fresno County"/>
    <x v="5"/>
    <n v="10"/>
    <e v="#NAME?"/>
  </r>
  <r>
    <s v="TX501738"/>
    <s v="Tank Tops"/>
    <n v="8"/>
    <n v="43.6"/>
    <n v="348.8"/>
    <d v="2025-03-05T00:00:00"/>
    <d v="2025-03-06T00:00:00"/>
    <s v="F"/>
    <s v="Target.com"/>
    <n v="4"/>
    <s v="California"/>
    <s v="Kern County"/>
    <x v="3"/>
    <n v="10"/>
    <e v="#NAME?"/>
  </r>
  <r>
    <s v="TX501739"/>
    <s v="T-Shirts"/>
    <n v="10"/>
    <n v="37.799999999999997"/>
    <n v="378"/>
    <d v="2025-03-05T00:00:00"/>
    <d v="2025-03-05T00:00:00"/>
    <s v="O"/>
    <s v="App"/>
    <n v="4"/>
    <s v="California"/>
    <s v="Lake County"/>
    <x v="7"/>
    <n v="10"/>
    <e v="#NAME?"/>
  </r>
  <r>
    <s v="TX501740"/>
    <s v="Pajama Sets"/>
    <n v="5"/>
    <n v="63.7"/>
    <n v="318.5"/>
    <d v="2025-03-05T00:00:00"/>
    <d v="2025-03-08T00:00:00"/>
    <s v="F"/>
    <s v="Target.com"/>
    <n v="3"/>
    <s v="California"/>
    <s v="Los Angeles County"/>
    <x v="2"/>
    <n v="10"/>
    <e v="#NAME?"/>
  </r>
  <r>
    <s v="TX501741"/>
    <s v="Sandals"/>
    <n v="9"/>
    <n v="62.9"/>
    <n v="566.1"/>
    <d v="2025-03-05T00:00:00"/>
    <d v="2025-03-10T00:00:00"/>
    <s v="M"/>
    <s v="Instagram"/>
    <n v="5"/>
    <s v="California"/>
    <s v="Los Angeles County"/>
    <x v="0"/>
    <n v="10"/>
    <e v="#NAME?"/>
  </r>
  <r>
    <s v="TX501742"/>
    <s v="Jeans"/>
    <n v="7"/>
    <n v="61.7"/>
    <n v="431.90000000000003"/>
    <d v="2025-03-05T00:00:00"/>
    <d v="2025-03-08T00:00:00"/>
    <s v="F"/>
    <s v="Target.com"/>
    <n v="5"/>
    <s v="California"/>
    <s v="Los Angeles County"/>
    <x v="2"/>
    <n v="10"/>
    <e v="#NAME?"/>
  </r>
  <r>
    <s v="TX501743"/>
    <s v="Leggings"/>
    <n v="14"/>
    <n v="36.5"/>
    <n v="511"/>
    <d v="2025-03-05T00:00:00"/>
    <d v="2025-03-06T00:00:00"/>
    <s v="M"/>
    <s v="App"/>
    <n v="5"/>
    <s v="California"/>
    <s v="Los Angeles County"/>
    <x v="3"/>
    <n v="10"/>
    <e v="#NAME?"/>
  </r>
  <r>
    <s v="TX501744"/>
    <s v="Maxi Dresses"/>
    <n v="3"/>
    <n v="98.6"/>
    <n v="295.79999999999995"/>
    <d v="2025-03-05T00:00:00"/>
    <d v="2025-03-08T00:00:00"/>
    <s v="O"/>
    <s v="App"/>
    <n v="2"/>
    <s v="California"/>
    <s v="Los Angeles County"/>
    <x v="2"/>
    <n v="10"/>
    <e v="#NAME?"/>
  </r>
  <r>
    <s v="TX501745"/>
    <s v="T-Shirts"/>
    <n v="2"/>
    <n v="19.2"/>
    <n v="38.4"/>
    <d v="2025-03-05T00:00:00"/>
    <d v="2025-03-15T00:00:00"/>
    <s v="M"/>
    <s v="App"/>
    <n v="4"/>
    <s v="California"/>
    <s v="Los Angeles County"/>
    <x v="14"/>
    <n v="10"/>
    <e v="#NAME?"/>
  </r>
  <r>
    <s v="TX501746"/>
    <s v="Workout Tops"/>
    <n v="6"/>
    <n v="55.6"/>
    <n v="333.6"/>
    <d v="2025-03-05T00:00:00"/>
    <d v="2025-03-09T00:00:00"/>
    <s v="F"/>
    <s v="App"/>
    <n v="5"/>
    <s v="California"/>
    <s v="Los Angeles County"/>
    <x v="5"/>
    <n v="10"/>
    <e v="#NAME?"/>
  </r>
  <r>
    <s v="TX501747"/>
    <s v="Sandals"/>
    <n v="6"/>
    <n v="56.4"/>
    <n v="338.4"/>
    <d v="2025-03-05T00:00:00"/>
    <d v="2025-03-06T00:00:00"/>
    <s v="F"/>
    <s v="Website"/>
    <n v="4"/>
    <s v="California"/>
    <s v="Los Angeles County"/>
    <x v="3"/>
    <n v="10"/>
    <e v="#NAME?"/>
  </r>
  <r>
    <s v="TX501748"/>
    <s v="Graphic Tees"/>
    <n v="8"/>
    <n v="43.1"/>
    <n v="344.8"/>
    <d v="2025-03-05T00:00:00"/>
    <d v="2025-03-09T00:00:00"/>
    <s v="F"/>
    <s v="Partner App"/>
    <n v="4"/>
    <s v="California"/>
    <s v="Los Angeles County"/>
    <x v="5"/>
    <n v="10"/>
    <e v="#NAME?"/>
  </r>
  <r>
    <s v="TX501749"/>
    <s v="Tank Tops"/>
    <n v="2"/>
    <n v="77.3"/>
    <n v="154.6"/>
    <d v="2025-03-05T00:00:00"/>
    <d v="2025-03-07T00:00:00"/>
    <s v="M"/>
    <s v="App"/>
    <n v="4"/>
    <s v="California"/>
    <s v="Sacramento County"/>
    <x v="1"/>
    <n v="10"/>
    <e v="#NAME?"/>
  </r>
  <r>
    <s v="TX501750"/>
    <s v="Sundresses"/>
    <n v="8"/>
    <n v="38.299999999999997"/>
    <n v="306.39999999999998"/>
    <d v="2025-03-05T00:00:00"/>
    <d v="2025-03-06T00:00:00"/>
    <s v="M"/>
    <s v="App"/>
    <n v="4"/>
    <s v="California"/>
    <s v="San Bernardino County"/>
    <x v="3"/>
    <n v="10"/>
    <e v="#NAME?"/>
  </r>
  <r>
    <s v="TX501751"/>
    <s v="Shorts"/>
    <n v="7"/>
    <n v="16.8"/>
    <n v="117.60000000000001"/>
    <d v="2025-03-05T00:00:00"/>
    <d v="2025-03-08T00:00:00"/>
    <s v="M"/>
    <s v="Target.com"/>
    <n v="3"/>
    <s v="California"/>
    <s v="San Diego County"/>
    <x v="2"/>
    <n v="10"/>
    <e v="#NAME?"/>
  </r>
  <r>
    <s v="TX501752"/>
    <s v="Sneakers"/>
    <n v="3"/>
    <n v="63.2"/>
    <n v="189.60000000000002"/>
    <d v="2025-03-05T00:00:00"/>
    <d v="2025-03-06T00:00:00"/>
    <s v="F"/>
    <s v="App"/>
    <n v="5"/>
    <s v="California"/>
    <s v="San Diego County"/>
    <x v="3"/>
    <n v="10"/>
    <e v="#NAME?"/>
  </r>
  <r>
    <s v="TX501753"/>
    <s v="Baseball Caps"/>
    <n v="23"/>
    <n v="39.700000000000003"/>
    <n v="913.1"/>
    <d v="2025-03-05T00:00:00"/>
    <d v="2025-03-06T00:00:00"/>
    <s v="M"/>
    <s v="App"/>
    <n v="4"/>
    <s v="California"/>
    <s v="San Diego County"/>
    <x v="3"/>
    <n v="10"/>
    <e v="#NAME?"/>
  </r>
  <r>
    <s v="TX501754"/>
    <s v="Bikinis"/>
    <n v="3"/>
    <n v="45.8"/>
    <n v="137.39999999999998"/>
    <d v="2025-03-05T00:00:00"/>
    <d v="2025-03-06T00:00:00"/>
    <s v="F"/>
    <s v="Website"/>
    <n v="5"/>
    <s v="California"/>
    <s v="San Diego County"/>
    <x v="3"/>
    <n v="10"/>
    <e v="#NAME?"/>
  </r>
  <r>
    <s v="TX501755"/>
    <s v="Shorts"/>
    <n v="6"/>
    <n v="12.4"/>
    <n v="74.400000000000006"/>
    <d v="2025-03-05T00:00:00"/>
    <d v="2025-03-08T00:00:00"/>
    <s v="M"/>
    <s v="App"/>
    <n v="4"/>
    <s v="California"/>
    <s v="San Diego County"/>
    <x v="2"/>
    <n v="10"/>
    <e v="#NAME?"/>
  </r>
  <r>
    <s v="TX501756"/>
    <s v="Baseball Caps"/>
    <n v="3"/>
    <n v="50.8"/>
    <n v="152.39999999999998"/>
    <d v="2025-03-06T00:00:00"/>
    <d v="2025-03-06T00:00:00"/>
    <s v="F"/>
    <s v="Partner App"/>
    <n v="4"/>
    <s v="California"/>
    <s v="San Francisco"/>
    <x v="7"/>
    <n v="10"/>
    <e v="#NAME?"/>
  </r>
  <r>
    <s v="TX501757"/>
    <s v="Sundresses"/>
    <n v="1"/>
    <n v="76"/>
    <n v="76"/>
    <d v="2025-03-06T00:00:00"/>
    <d v="2025-03-10T00:00:00"/>
    <s v="O"/>
    <s v="Target.com"/>
    <n v="5"/>
    <s v="California"/>
    <s v="San Francisco"/>
    <x v="5"/>
    <n v="10"/>
    <e v="#NAME?"/>
  </r>
  <r>
    <s v="TX501758"/>
    <s v="Tank Tops"/>
    <n v="2"/>
    <n v="51.9"/>
    <n v="103.8"/>
    <d v="2025-03-06T00:00:00"/>
    <d v="2025-03-07T00:00:00"/>
    <s v="M"/>
    <s v="Website"/>
    <n v="5"/>
    <s v="California"/>
    <s v="San Joaquin County"/>
    <x v="3"/>
    <n v="10"/>
    <e v="#NAME?"/>
  </r>
  <r>
    <s v="TX501759"/>
    <s v="Sneakers"/>
    <n v="2"/>
    <n v="93.4"/>
    <n v="186.8"/>
    <d v="2025-03-06T00:00:00"/>
    <d v="2025-03-13T00:00:00"/>
    <s v="M"/>
    <s v="App"/>
    <n v="1"/>
    <s v="California"/>
    <s v="Santa Clara County"/>
    <x v="6"/>
    <n v="10"/>
    <e v="#NAME?"/>
  </r>
  <r>
    <s v="TX501760"/>
    <s v="Hoodies &amp; Sweatshirts"/>
    <n v="6"/>
    <n v="30.8"/>
    <n v="184.8"/>
    <d v="2025-03-06T00:00:00"/>
    <d v="2025-03-09T00:00:00"/>
    <s v="F"/>
    <s v="Website"/>
    <n v="4"/>
    <s v="California"/>
    <s v="Santa Clara County"/>
    <x v="2"/>
    <n v="10"/>
    <e v="#NAME?"/>
  </r>
  <r>
    <s v="TX501761"/>
    <s v="Sneakers"/>
    <n v="1"/>
    <n v="143.19999999999999"/>
    <n v="143.19999999999999"/>
    <d v="2025-03-06T00:00:00"/>
    <d v="2025-03-09T00:00:00"/>
    <s v="M"/>
    <s v="Target.com"/>
    <n v="4"/>
    <s v="California"/>
    <s v="Santa Clara County"/>
    <x v="2"/>
    <n v="10"/>
    <e v="#NAME?"/>
  </r>
  <r>
    <s v="TX501762"/>
    <s v="Jeans"/>
    <n v="11"/>
    <n v="40.4"/>
    <n v="444.4"/>
    <d v="2025-03-06T00:00:00"/>
    <d v="2025-03-08T00:00:00"/>
    <s v="M"/>
    <s v="Target.com"/>
    <n v="5"/>
    <s v="California"/>
    <s v="Sonoma County"/>
    <x v="1"/>
    <n v="10"/>
    <e v="#NAME?"/>
  </r>
  <r>
    <s v="TX501763"/>
    <s v="Sneakers"/>
    <n v="19"/>
    <n v="131.5"/>
    <n v="2498.5"/>
    <d v="2025-03-06T00:00:00"/>
    <d v="2025-03-08T00:00:00"/>
    <s v="M"/>
    <s v="Website"/>
    <n v="3"/>
    <s v="California"/>
    <s v="Sonoma County"/>
    <x v="1"/>
    <n v="10"/>
    <e v="#NAME?"/>
  </r>
  <r>
    <s v="TX501764"/>
    <s v="Leggings"/>
    <n v="7"/>
    <n v="61.6"/>
    <n v="431.2"/>
    <d v="2025-03-06T00:00:00"/>
    <d v="2025-03-07T00:00:00"/>
    <s v="M"/>
    <s v="Target.com"/>
    <n v="4"/>
    <s v="California"/>
    <s v="Alameda County"/>
    <x v="3"/>
    <n v="10"/>
    <e v="#NAME?"/>
  </r>
  <r>
    <s v="TX501765"/>
    <s v="Sundresses"/>
    <n v="5"/>
    <n v="32.700000000000003"/>
    <n v="163.5"/>
    <d v="2025-03-06T00:00:00"/>
    <d v="2025-03-08T00:00:00"/>
    <s v="M"/>
    <s v="Target.com"/>
    <n v="4"/>
    <s v="California"/>
    <s v="Contra Costa County"/>
    <x v="1"/>
    <n v="10"/>
    <e v="#NAME?"/>
  </r>
  <r>
    <s v="TX501766"/>
    <s v="Shorts"/>
    <n v="10"/>
    <n v="13.7"/>
    <n v="137"/>
    <d v="2025-03-06T00:00:00"/>
    <d v="2025-03-07T00:00:00"/>
    <s v="M"/>
    <s v="App"/>
    <n v="5"/>
    <s v="California"/>
    <s v="Los Angeles County"/>
    <x v="3"/>
    <n v="10"/>
    <e v="#NAME?"/>
  </r>
  <r>
    <s v="TX501767"/>
    <s v="Shorts"/>
    <n v="4"/>
    <n v="32.1"/>
    <n v="128.4"/>
    <d v="2025-03-06T00:00:00"/>
    <d v="2025-03-07T00:00:00"/>
    <s v="M"/>
    <s v="Partner App"/>
    <n v="3"/>
    <s v="California"/>
    <s v="Los Angeles County"/>
    <x v="3"/>
    <n v="10"/>
    <e v="#NAME?"/>
  </r>
  <r>
    <s v="TX501768"/>
    <s v="Baseball Caps"/>
    <n v="8"/>
    <n v="12"/>
    <n v="96"/>
    <d v="2025-03-06T00:00:00"/>
    <d v="2025-03-07T00:00:00"/>
    <s v="M"/>
    <s v="Website"/>
    <n v="4"/>
    <s v="California"/>
    <s v="Merced County"/>
    <x v="3"/>
    <n v="10"/>
    <e v="#NAME?"/>
  </r>
  <r>
    <s v="TX501769"/>
    <s v="Casual Dresses"/>
    <n v="1"/>
    <n v="64.3"/>
    <n v="64.3"/>
    <d v="2025-03-06T00:00:00"/>
    <d v="2025-03-08T00:00:00"/>
    <s v="F"/>
    <s v="Target.com"/>
    <n v="5"/>
    <s v="California"/>
    <s v="Sacramento County"/>
    <x v="1"/>
    <n v="10"/>
    <e v="#NAME?"/>
  </r>
  <r>
    <s v="TX501770"/>
    <s v="Tank Tops"/>
    <n v="3"/>
    <n v="58.2"/>
    <n v="174.60000000000002"/>
    <d v="2025-03-06T00:00:00"/>
    <d v="2025-03-08T00:00:00"/>
    <s v="F"/>
    <s v="Website"/>
    <n v="5"/>
    <s v="California"/>
    <s v="Sacramento County"/>
    <x v="1"/>
    <n v="10"/>
    <e v="#NAME?"/>
  </r>
  <r>
    <s v="TX501771"/>
    <s v="Jeans"/>
    <n v="4"/>
    <n v="59.2"/>
    <n v="236.8"/>
    <d v="2025-03-06T00:00:00"/>
    <d v="2025-03-06T00:00:00"/>
    <s v="M"/>
    <s v="Website"/>
    <n v="5"/>
    <s v="California"/>
    <s v="Sacramento County"/>
    <x v="7"/>
    <n v="10"/>
    <e v="#NAME?"/>
  </r>
  <r>
    <s v="TX501772"/>
    <s v="Bikinis"/>
    <n v="11"/>
    <n v="35.6"/>
    <n v="391.6"/>
    <d v="2025-03-06T00:00:00"/>
    <d v="2025-03-13T00:00:00"/>
    <s v="M"/>
    <s v="App"/>
    <n v="5"/>
    <s v="California"/>
    <s v="San Diego County"/>
    <x v="6"/>
    <n v="10"/>
    <e v="#NAME?"/>
  </r>
  <r>
    <s v="TX501773"/>
    <s v="Sunglasses"/>
    <n v="8"/>
    <n v="37"/>
    <n v="296"/>
    <d v="2025-03-06T00:00:00"/>
    <d v="2025-03-10T00:00:00"/>
    <s v="F"/>
    <s v="Target.com"/>
    <n v="3"/>
    <s v="California"/>
    <s v="San Diego County"/>
    <x v="5"/>
    <n v="10"/>
    <e v="#NAME?"/>
  </r>
  <r>
    <s v="TX501774"/>
    <s v="Tank Tops"/>
    <n v="13"/>
    <n v="80.8"/>
    <n v="1050.3999999999999"/>
    <d v="2025-03-06T00:00:00"/>
    <d v="2025-03-08T00:00:00"/>
    <s v="F"/>
    <s v="App"/>
    <n v="4"/>
    <s v="California"/>
    <s v="San Diego County"/>
    <x v="1"/>
    <n v="10"/>
    <e v="#NAME?"/>
  </r>
  <r>
    <s v="TX501775"/>
    <s v="T-Shirts"/>
    <n v="2"/>
    <n v="63.2"/>
    <n v="126.4"/>
    <d v="2025-03-06T00:00:00"/>
    <d v="2025-03-07T00:00:00"/>
    <s v="M"/>
    <s v="App"/>
    <n v="3"/>
    <s v="California"/>
    <s v="San Diego County"/>
    <x v="3"/>
    <n v="10"/>
    <e v="#NAME?"/>
  </r>
  <r>
    <s v="TX501776"/>
    <s v="Workout Tops"/>
    <n v="2"/>
    <n v="40.799999999999997"/>
    <n v="81.599999999999994"/>
    <d v="2025-03-06T00:00:00"/>
    <d v="2025-03-08T00:00:00"/>
    <s v="M"/>
    <s v="App"/>
    <n v="3"/>
    <s v="California"/>
    <s v="San Francisco"/>
    <x v="1"/>
    <n v="10"/>
    <e v="#NAME?"/>
  </r>
  <r>
    <s v="TX501777"/>
    <s v="Tote Bags"/>
    <n v="6"/>
    <n v="25.7"/>
    <n v="154.19999999999999"/>
    <d v="2025-03-06T00:00:00"/>
    <d v="2025-03-08T00:00:00"/>
    <s v="M"/>
    <s v="Partner App"/>
    <n v="4"/>
    <s v="California"/>
    <s v="Sonoma County"/>
    <x v="1"/>
    <n v="10"/>
    <e v="#NAME?"/>
  </r>
  <r>
    <s v="TX501778"/>
    <s v="Sunglasses"/>
    <n v="2"/>
    <n v="49.9"/>
    <n v="99.8"/>
    <d v="2025-03-06T00:00:00"/>
    <d v="2025-03-09T00:00:00"/>
    <s v="M"/>
    <s v="App"/>
    <n v="4"/>
    <s v="California"/>
    <s v="Tulare County"/>
    <x v="2"/>
    <n v="10"/>
    <e v="#NAME?"/>
  </r>
  <r>
    <s v="TX501779"/>
    <s v="T-Shirts"/>
    <n v="2"/>
    <n v="20.2"/>
    <n v="40.4"/>
    <d v="2025-03-06T00:00:00"/>
    <d v="2025-03-08T00:00:00"/>
    <s v="F"/>
    <s v="Instagram"/>
    <n v="4"/>
    <s v="California"/>
    <s v="Alameda County"/>
    <x v="1"/>
    <n v="10"/>
    <e v="#NAME?"/>
  </r>
  <r>
    <s v="TX501780"/>
    <s v="Jeans"/>
    <n v="3"/>
    <n v="48.4"/>
    <n v="145.19999999999999"/>
    <d v="2025-03-06T00:00:00"/>
    <d v="2025-03-11T00:00:00"/>
    <s v="F"/>
    <s v="App"/>
    <n v="5"/>
    <s v="California"/>
    <s v="Alameda County"/>
    <x v="0"/>
    <n v="10"/>
    <e v="#NAME?"/>
  </r>
  <r>
    <s v="TX501781"/>
    <s v="Jeans"/>
    <n v="2"/>
    <n v="81"/>
    <n v="162"/>
    <d v="2025-03-06T00:00:00"/>
    <d v="2025-03-07T00:00:00"/>
    <s v="F"/>
    <s v="Website"/>
    <n v="5"/>
    <s v="California"/>
    <s v="Alameda County"/>
    <x v="3"/>
    <n v="10"/>
    <e v="#NAME?"/>
  </r>
  <r>
    <s v="TX501782"/>
    <s v="T-Shirts"/>
    <n v="6"/>
    <n v="19.899999999999999"/>
    <n v="119.39999999999999"/>
    <d v="2025-03-06T00:00:00"/>
    <d v="2025-03-09T00:00:00"/>
    <s v="F"/>
    <s v="App"/>
    <n v="3"/>
    <s v="California"/>
    <s v="Kern County"/>
    <x v="2"/>
    <n v="10"/>
    <e v="#NAME?"/>
  </r>
  <r>
    <s v="TX501783"/>
    <s v="Graphic Tees"/>
    <n v="4"/>
    <n v="32.200000000000003"/>
    <n v="128.80000000000001"/>
    <d v="2025-03-06T00:00:00"/>
    <d v="2025-03-16T00:00:00"/>
    <s v="M"/>
    <s v="App"/>
    <n v="4"/>
    <s v="California"/>
    <s v="Kern County"/>
    <x v="14"/>
    <n v="10"/>
    <e v="#NAME?"/>
  </r>
  <r>
    <s v="TX501784"/>
    <s v="Sandals"/>
    <n v="3"/>
    <n v="76.8"/>
    <n v="230.39999999999998"/>
    <d v="2025-03-06T00:00:00"/>
    <d v="2025-03-07T00:00:00"/>
    <s v="F"/>
    <s v="App"/>
    <n v="3"/>
    <s v="California"/>
    <s v="Los Angeles County"/>
    <x v="3"/>
    <n v="10"/>
    <e v="#NAME?"/>
  </r>
  <r>
    <s v="TX501785"/>
    <s v="Jeans"/>
    <n v="2"/>
    <n v="41.9"/>
    <n v="83.8"/>
    <d v="2025-03-06T00:00:00"/>
    <d v="2025-03-08T00:00:00"/>
    <s v="F"/>
    <s v="App"/>
    <n v="4"/>
    <s v="California"/>
    <s v="Los Angeles County"/>
    <x v="1"/>
    <n v="10"/>
    <e v="#NAME?"/>
  </r>
  <r>
    <s v="TX501786"/>
    <s v="Shorts"/>
    <n v="7"/>
    <n v="34"/>
    <n v="238"/>
    <d v="2025-03-06T00:00:00"/>
    <d v="2025-03-08T00:00:00"/>
    <s v="F"/>
    <s v="Website"/>
    <n v="5"/>
    <s v="California"/>
    <s v="Los Angeles County"/>
    <x v="1"/>
    <n v="10"/>
    <e v="#NAME?"/>
  </r>
  <r>
    <s v="TX501787"/>
    <s v="Hoodies &amp; Sweatshirts"/>
    <n v="7"/>
    <n v="61.3"/>
    <n v="429.09999999999997"/>
    <d v="2025-03-06T00:00:00"/>
    <d v="2025-03-06T00:00:00"/>
    <s v="F"/>
    <s v="Partner App"/>
    <n v="5"/>
    <s v="California"/>
    <s v="Los Angeles County"/>
    <x v="7"/>
    <n v="10"/>
    <e v="#NAME?"/>
  </r>
  <r>
    <s v="TX501788"/>
    <s v="Sundresses"/>
    <n v="1"/>
    <n v="54.7"/>
    <n v="54.7"/>
    <d v="2025-03-07T00:00:00"/>
    <d v="2025-03-08T00:00:00"/>
    <s v="M"/>
    <s v="App"/>
    <n v="3"/>
    <s v="California"/>
    <s v="Los Angeles County"/>
    <x v="3"/>
    <n v="10"/>
    <e v="#NAME?"/>
  </r>
  <r>
    <s v="TX501789"/>
    <s v="Jeans"/>
    <n v="10"/>
    <n v="84.7"/>
    <n v="847"/>
    <d v="2025-03-07T00:00:00"/>
    <d v="2025-03-11T00:00:00"/>
    <s v="F"/>
    <s v="App"/>
    <n v="4"/>
    <s v="California"/>
    <s v="Los Angeles County"/>
    <x v="5"/>
    <n v="10"/>
    <e v="#NAME?"/>
  </r>
  <r>
    <s v="TX501790"/>
    <s v="Tank Tops"/>
    <n v="3"/>
    <n v="93.4"/>
    <n v="280.20000000000005"/>
    <d v="2025-03-07T00:00:00"/>
    <d v="2025-03-11T00:00:00"/>
    <s v="F"/>
    <s v="Instagram"/>
    <n v="4"/>
    <s v="California"/>
    <s v="Los Angeles County"/>
    <x v="5"/>
    <n v="10"/>
    <e v="#NAME?"/>
  </r>
  <r>
    <s v="TX501791"/>
    <s v="T-Shirts"/>
    <n v="5"/>
    <n v="27"/>
    <n v="135"/>
    <d v="2025-03-07T00:00:00"/>
    <d v="2025-03-10T00:00:00"/>
    <s v="M"/>
    <s v="App"/>
    <n v="3"/>
    <s v="California"/>
    <s v="Los Angeles County"/>
    <x v="2"/>
    <n v="10"/>
    <e v="#NAME?"/>
  </r>
  <r>
    <s v="TX501792"/>
    <s v="Shorts"/>
    <n v="4"/>
    <n v="10.9"/>
    <n v="43.6"/>
    <d v="2025-03-07T00:00:00"/>
    <d v="2025-03-08T00:00:00"/>
    <s v="M"/>
    <s v="Target.com"/>
    <n v="4"/>
    <s v="California"/>
    <s v="Los Angeles County"/>
    <x v="3"/>
    <n v="10"/>
    <e v="#NAME?"/>
  </r>
  <r>
    <s v="TX501793"/>
    <s v="Sunglasses"/>
    <n v="3"/>
    <n v="48"/>
    <n v="144"/>
    <d v="2025-03-07T00:00:00"/>
    <d v="2025-03-12T00:00:00"/>
    <s v="F"/>
    <s v="Partner App"/>
    <n v="4"/>
    <s v="California"/>
    <s v="Los Angeles County"/>
    <x v="0"/>
    <n v="10"/>
    <e v="#NAME?"/>
  </r>
  <r>
    <s v="TX501794"/>
    <s v="Sandals"/>
    <n v="2"/>
    <n v="67.900000000000006"/>
    <n v="135.80000000000001"/>
    <d v="2025-03-07T00:00:00"/>
    <d v="2025-03-08T00:00:00"/>
    <s v="M"/>
    <s v="App"/>
    <n v="5"/>
    <s v="California"/>
    <s v="Riverside County"/>
    <x v="3"/>
    <n v="10"/>
    <e v="#NAME?"/>
  </r>
  <r>
    <s v="TX501795"/>
    <s v="Graphic Tees"/>
    <n v="3"/>
    <n v="36"/>
    <n v="108"/>
    <d v="2025-03-07T00:00:00"/>
    <d v="2025-03-08T00:00:00"/>
    <s v="M"/>
    <s v="Website"/>
    <n v="4"/>
    <s v="California"/>
    <s v="Sacramento County"/>
    <x v="3"/>
    <n v="10"/>
    <e v="#NAME?"/>
  </r>
  <r>
    <s v="TX501796"/>
    <s v="Sneakers"/>
    <n v="1"/>
    <n v="128.80000000000001"/>
    <n v="128.80000000000001"/>
    <d v="2025-03-07T00:00:00"/>
    <d v="2025-03-08T00:00:00"/>
    <s v="M"/>
    <s v="Partner App"/>
    <n v="5"/>
    <s v="California"/>
    <s v="Sacramento County"/>
    <x v="3"/>
    <n v="10"/>
    <e v="#NAME?"/>
  </r>
  <r>
    <s v="TX501797"/>
    <s v="Leggings"/>
    <n v="7"/>
    <n v="33.299999999999997"/>
    <n v="233.09999999999997"/>
    <d v="2025-03-07T00:00:00"/>
    <d v="2025-03-08T00:00:00"/>
    <s v="F"/>
    <s v="Instagram"/>
    <n v="4"/>
    <s v="California"/>
    <s v="San Diego County"/>
    <x v="3"/>
    <n v="10"/>
    <e v="#NAME?"/>
  </r>
  <r>
    <s v="TX501798"/>
    <s v="Bikinis"/>
    <n v="3"/>
    <n v="37.799999999999997"/>
    <n v="113.39999999999999"/>
    <d v="2025-03-07T00:00:00"/>
    <d v="2025-03-09T00:00:00"/>
    <s v="M"/>
    <s v="Website"/>
    <n v="5"/>
    <s v="California"/>
    <s v="San Diego County"/>
    <x v="1"/>
    <n v="10"/>
    <e v="#NAME?"/>
  </r>
  <r>
    <s v="TX501799"/>
    <s v="Sandals"/>
    <n v="3"/>
    <n v="26"/>
    <n v="78"/>
    <d v="2025-03-07T00:00:00"/>
    <d v="2025-03-12T00:00:00"/>
    <s v="F"/>
    <s v="App"/>
    <n v="4"/>
    <s v="California"/>
    <s v="San Diego County"/>
    <x v="0"/>
    <n v="10"/>
    <e v="#NAME?"/>
  </r>
  <r>
    <s v="TX501800"/>
    <s v="T-Shirts"/>
    <n v="19"/>
    <n v="28.3"/>
    <n v="537.70000000000005"/>
    <d v="2025-03-07T00:00:00"/>
    <d v="2025-03-08T00:00:00"/>
    <s v="F"/>
    <s v="Instagram"/>
    <n v="2"/>
    <s v="California"/>
    <s v="San Diego County"/>
    <x v="3"/>
    <n v="10"/>
    <e v="#NAME?"/>
  </r>
  <r>
    <s v="TX501801"/>
    <s v="T-Shirts"/>
    <n v="4"/>
    <n v="31.3"/>
    <n v="125.2"/>
    <d v="2025-03-07T00:00:00"/>
    <d v="2025-03-07T00:00:00"/>
    <s v="F"/>
    <s v="App"/>
    <n v="4"/>
    <s v="California"/>
    <s v="San Diego County"/>
    <x v="7"/>
    <n v="10"/>
    <e v="#NAME?"/>
  </r>
  <r>
    <s v="TX501802"/>
    <s v="Hoodies &amp; Sweatshirts"/>
    <n v="3"/>
    <n v="69.5"/>
    <n v="208.5"/>
    <d v="2025-03-07T00:00:00"/>
    <d v="2025-03-08T00:00:00"/>
    <s v="F"/>
    <s v="Instagram"/>
    <n v="5"/>
    <s v="California"/>
    <s v="San Diego County"/>
    <x v="3"/>
    <n v="10"/>
    <e v="#NAME?"/>
  </r>
  <r>
    <s v="TX501803"/>
    <s v="Shorts"/>
    <n v="2"/>
    <n v="16.7"/>
    <n v="33.4"/>
    <d v="2025-03-07T00:00:00"/>
    <d v="2025-03-08T00:00:00"/>
    <s v="F"/>
    <s v="Instagram"/>
    <n v="3"/>
    <s v="California"/>
    <s v="San Diego County"/>
    <x v="3"/>
    <n v="10"/>
    <e v="#NAME?"/>
  </r>
  <r>
    <s v="TX501804"/>
    <s v="Sundresses"/>
    <n v="2"/>
    <n v="62.6"/>
    <n v="125.2"/>
    <d v="2025-03-07T00:00:00"/>
    <d v="2025-03-08T00:00:00"/>
    <s v="M"/>
    <s v="Target.com"/>
    <n v="5"/>
    <s v="California"/>
    <s v="San Mateo County"/>
    <x v="3"/>
    <n v="10"/>
    <e v="#NAME?"/>
  </r>
  <r>
    <s v="TX501805"/>
    <s v="Hoodies &amp; Sweatshirts"/>
    <n v="1"/>
    <n v="81.2"/>
    <n v="81.2"/>
    <d v="2025-03-07T00:00:00"/>
    <d v="2025-03-13T00:00:00"/>
    <s v="M"/>
    <s v="Partner App"/>
    <n v="2"/>
    <s v="California"/>
    <s v="San Mateo County"/>
    <x v="4"/>
    <n v="10"/>
    <e v="#NAME?"/>
  </r>
  <r>
    <s v="TX501806"/>
    <s v="Shorts"/>
    <n v="10"/>
    <n v="12.7"/>
    <n v="127"/>
    <d v="2025-03-07T00:00:00"/>
    <d v="2025-03-08T00:00:00"/>
    <s v="F"/>
    <s v="App"/>
    <n v="5"/>
    <s v="California"/>
    <s v="San Mateo County"/>
    <x v="3"/>
    <n v="10"/>
    <e v="#NAME?"/>
  </r>
  <r>
    <s v="TX501807"/>
    <s v="Hoodies &amp; Sweatshirts"/>
    <n v="4"/>
    <n v="77.7"/>
    <n v="310.8"/>
    <d v="2025-03-08T00:00:00"/>
    <d v="2025-03-12T00:00:00"/>
    <s v="M"/>
    <s v="Website"/>
    <n v="4"/>
    <s v="California"/>
    <s v="Santa Clara County"/>
    <x v="5"/>
    <n v="10"/>
    <e v="#NAME?"/>
  </r>
  <r>
    <s v="TX501808"/>
    <s v="Sandals"/>
    <n v="2"/>
    <n v="37.299999999999997"/>
    <n v="74.599999999999994"/>
    <d v="2025-03-08T00:00:00"/>
    <d v="2025-03-09T00:00:00"/>
    <s v="F"/>
    <s v="App"/>
    <n v="5"/>
    <s v="California"/>
    <s v="Sonoma County"/>
    <x v="3"/>
    <n v="10"/>
    <e v="#NAME?"/>
  </r>
  <r>
    <s v="TX501809"/>
    <s v="Bikinis"/>
    <n v="4"/>
    <n v="35.6"/>
    <n v="142.4"/>
    <d v="2025-03-08T00:00:00"/>
    <d v="2025-03-10T00:00:00"/>
    <s v="F"/>
    <s v="Website"/>
    <n v="3"/>
    <s v="California"/>
    <s v="Stanislaus County"/>
    <x v="1"/>
    <n v="10"/>
    <e v="#NAME?"/>
  </r>
  <r>
    <s v="TX501810"/>
    <s v="Sneakers"/>
    <n v="3"/>
    <n v="95"/>
    <n v="285"/>
    <d v="2025-03-08T00:00:00"/>
    <d v="2025-03-12T00:00:00"/>
    <s v="F"/>
    <s v="Target.com"/>
    <n v="5"/>
    <s v="California"/>
    <s v="Yuba County"/>
    <x v="5"/>
    <n v="10"/>
    <e v="#NAME?"/>
  </r>
  <r>
    <s v="TX501811"/>
    <s v="Sneakers"/>
    <n v="4"/>
    <n v="172.1"/>
    <n v="688.4"/>
    <d v="2025-03-08T00:00:00"/>
    <d v="2025-03-12T00:00:00"/>
    <s v="O"/>
    <s v="Target.com"/>
    <n v="5"/>
    <s v="California"/>
    <s v="Alameda County"/>
    <x v="5"/>
    <n v="10"/>
    <e v="#NAME?"/>
  </r>
  <r>
    <s v="TX501812"/>
    <s v="Sneakers"/>
    <n v="2"/>
    <n v="233"/>
    <n v="466"/>
    <d v="2025-03-08T00:00:00"/>
    <d v="2025-03-11T00:00:00"/>
    <s v="F"/>
    <s v="Website"/>
    <n v="4"/>
    <s v="California"/>
    <s v="Alameda County"/>
    <x v="2"/>
    <n v="10"/>
    <e v="#NAME?"/>
  </r>
  <r>
    <s v="TX501813"/>
    <s v="Shorts"/>
    <n v="1"/>
    <n v="43.5"/>
    <n v="43.5"/>
    <d v="2025-03-08T00:00:00"/>
    <d v="2025-03-09T00:00:00"/>
    <s v="F"/>
    <s v="Target.com"/>
    <n v="5"/>
    <s v="California"/>
    <s v="Alameda County"/>
    <x v="3"/>
    <n v="10"/>
    <e v="#NAME?"/>
  </r>
  <r>
    <s v="TX501814"/>
    <s v="Sundresses"/>
    <n v="2"/>
    <n v="47.8"/>
    <n v="95.6"/>
    <d v="2025-03-08T00:00:00"/>
    <d v="2025-03-11T00:00:00"/>
    <s v="M"/>
    <s v="Partner App"/>
    <n v="5"/>
    <s v="California"/>
    <s v="Contra Costa County"/>
    <x v="2"/>
    <n v="10"/>
    <e v="#NAME?"/>
  </r>
  <r>
    <s v="TX501815"/>
    <s v="Casual Dresses"/>
    <n v="2"/>
    <n v="65.8"/>
    <n v="131.6"/>
    <d v="2025-03-08T00:00:00"/>
    <d v="2025-03-10T00:00:00"/>
    <s v="F"/>
    <s v="App"/>
    <n v="1"/>
    <s v="California"/>
    <s v="Imperial County"/>
    <x v="1"/>
    <n v="10"/>
    <e v="#NAME?"/>
  </r>
  <r>
    <s v="TX501816"/>
    <s v="Crop Tops"/>
    <n v="11"/>
    <n v="38.700000000000003"/>
    <n v="425.70000000000005"/>
    <d v="2025-03-08T00:00:00"/>
    <d v="2025-03-08T00:00:00"/>
    <s v="M"/>
    <s v="App"/>
    <n v="4"/>
    <s v="California"/>
    <s v="Kern County"/>
    <x v="7"/>
    <n v="10"/>
    <e v="#NAME?"/>
  </r>
  <r>
    <s v="TX501817"/>
    <s v="Workout Tops"/>
    <n v="4"/>
    <n v="55.7"/>
    <n v="222.8"/>
    <d v="2025-03-08T00:00:00"/>
    <d v="2025-03-10T00:00:00"/>
    <s v="O"/>
    <s v="App"/>
    <n v="3"/>
    <s v="California"/>
    <s v="Kern County"/>
    <x v="1"/>
    <n v="10"/>
    <e v="#NAME?"/>
  </r>
  <r>
    <s v="TX501818"/>
    <s v="Hoodies &amp; Sweatshirts"/>
    <n v="2"/>
    <n v="102.4"/>
    <n v="204.8"/>
    <d v="2025-03-08T00:00:00"/>
    <d v="2025-03-08T00:00:00"/>
    <s v="F"/>
    <s v="Website"/>
    <n v="4"/>
    <s v="California"/>
    <s v="Los Angeles County"/>
    <x v="7"/>
    <n v="10"/>
    <e v="#NAME?"/>
  </r>
  <r>
    <s v="TX501819"/>
    <s v="Tank Tops"/>
    <n v="1"/>
    <n v="92"/>
    <n v="92"/>
    <d v="2025-03-08T00:00:00"/>
    <d v="2025-03-12T00:00:00"/>
    <s v=""/>
    <s v="Target.com"/>
    <n v="4"/>
    <s v="California"/>
    <s v="Los Angeles County"/>
    <x v="5"/>
    <n v="10"/>
    <e v="#NAME?"/>
  </r>
  <r>
    <s v="TX501820"/>
    <s v="Jeans"/>
    <n v="4"/>
    <n v="75.900000000000006"/>
    <n v="303.60000000000002"/>
    <d v="2025-03-08T00:00:00"/>
    <d v="2025-03-10T00:00:00"/>
    <s v="F"/>
    <s v="Website"/>
    <n v="4"/>
    <s v="California"/>
    <s v="Los Angeles County"/>
    <x v="1"/>
    <n v="10"/>
    <e v="#NAME?"/>
  </r>
  <r>
    <s v="TX501821"/>
    <s v="Tank Tops"/>
    <n v="4"/>
    <n v="36.200000000000003"/>
    <n v="144.80000000000001"/>
    <d v="2025-03-08T00:00:00"/>
    <d v="2025-03-09T00:00:00"/>
    <s v="F"/>
    <s v="Website"/>
    <n v="4"/>
    <s v="California"/>
    <s v="Los Angeles County"/>
    <x v="3"/>
    <n v="10"/>
    <e v="#NAME?"/>
  </r>
  <r>
    <s v="TX501822"/>
    <s v="Jeans"/>
    <n v="87"/>
    <n v="83.5"/>
    <n v="7264.5"/>
    <d v="2025-03-08T00:00:00"/>
    <d v="2025-03-10T00:00:00"/>
    <s v=""/>
    <s v="Instagram"/>
    <n v="4"/>
    <s v="California"/>
    <s v="Los Angeles County"/>
    <x v="1"/>
    <n v="10"/>
    <e v="#NAME?"/>
  </r>
  <r>
    <s v="TX501823"/>
    <s v="Jewelry"/>
    <n v="12"/>
    <n v="52.4"/>
    <n v="628.79999999999995"/>
    <d v="2025-03-08T00:00:00"/>
    <d v="2025-03-08T00:00:00"/>
    <s v="M"/>
    <s v="Target.com"/>
    <n v="4"/>
    <s v="California"/>
    <s v="Los Angeles County"/>
    <x v="7"/>
    <n v="10"/>
    <e v="#NAME?"/>
  </r>
  <r>
    <s v="TX501824"/>
    <s v="Casual Dresses"/>
    <n v="3"/>
    <n v="69.5"/>
    <n v="208.5"/>
    <d v="2025-03-08T00:00:00"/>
    <d v="2025-03-09T00:00:00"/>
    <s v="O"/>
    <s v="Partner App"/>
    <n v="4"/>
    <s v="California"/>
    <s v="Los Angeles County"/>
    <x v="3"/>
    <n v="10"/>
    <e v="#NAME?"/>
  </r>
  <r>
    <s v="TX501825"/>
    <s v="Shorts"/>
    <n v="1"/>
    <n v="15.5"/>
    <n v="15.5"/>
    <d v="2025-03-08T00:00:00"/>
    <d v="2025-03-10T00:00:00"/>
    <s v="M"/>
    <s v="App"/>
    <n v="4"/>
    <s v="California"/>
    <s v="Los Angeles County"/>
    <x v="1"/>
    <n v="10"/>
    <e v="#NAME?"/>
  </r>
  <r>
    <s v="TX501826"/>
    <s v="Graphic Tees"/>
    <n v="4"/>
    <n v="35.200000000000003"/>
    <n v="140.80000000000001"/>
    <d v="2025-03-08T00:00:00"/>
    <d v="2025-03-09T00:00:00"/>
    <s v="F"/>
    <s v="Target.com"/>
    <n v="5"/>
    <s v="California"/>
    <s v="Los Angeles County"/>
    <x v="3"/>
    <n v="10"/>
    <e v="#NAME?"/>
  </r>
  <r>
    <s v="TX501827"/>
    <s v="T-Shirts"/>
    <n v="6"/>
    <n v="34.6"/>
    <n v="207.60000000000002"/>
    <d v="2025-03-08T00:00:00"/>
    <d v="2025-03-09T00:00:00"/>
    <s v=""/>
    <s v="App"/>
    <n v="3"/>
    <s v="California"/>
    <s v="Los Angeles County"/>
    <x v="3"/>
    <n v="10"/>
    <e v="#NAME?"/>
  </r>
  <r>
    <s v="TX501828"/>
    <s v="Graphic Tees"/>
    <n v="1"/>
    <n v="21.3"/>
    <n v="21.3"/>
    <d v="2025-03-09T00:00:00"/>
    <d v="2025-03-10T00:00:00"/>
    <s v="M"/>
    <s v="Target.com"/>
    <n v="3"/>
    <s v="California"/>
    <s v="Los Angeles County"/>
    <x v="3"/>
    <n v="11"/>
    <e v="#NAME?"/>
  </r>
  <r>
    <s v="TX501829"/>
    <s v="Jeans"/>
    <n v="2"/>
    <n v="136.5"/>
    <n v="273"/>
    <d v="2025-03-09T00:00:00"/>
    <d v="2025-03-15T00:00:00"/>
    <s v="F"/>
    <s v="App"/>
    <n v="4"/>
    <s v="California"/>
    <s v="Madera County"/>
    <x v="4"/>
    <n v="11"/>
    <e v="#NAME?"/>
  </r>
  <r>
    <s v="TX501830"/>
    <s v="Sundresses"/>
    <n v="7"/>
    <n v="30.7"/>
    <n v="214.9"/>
    <d v="2025-03-09T00:00:00"/>
    <d v="2025-03-10T00:00:00"/>
    <s v="M"/>
    <s v="Target.com"/>
    <n v="5"/>
    <s v="California"/>
    <s v="Orange County"/>
    <x v="3"/>
    <n v="11"/>
    <e v="#NAME?"/>
  </r>
  <r>
    <s v="TX501831"/>
    <s v="Tank Tops"/>
    <n v="2"/>
    <n v="61.6"/>
    <n v="123.2"/>
    <d v="2025-03-09T00:00:00"/>
    <d v="2025-03-10T00:00:00"/>
    <s v="F"/>
    <s v="Target.com"/>
    <n v="5"/>
    <s v="California"/>
    <s v="Riverside County"/>
    <x v="3"/>
    <n v="11"/>
    <e v="#NAME?"/>
  </r>
  <r>
    <s v="TX501832"/>
    <s v="Jeans"/>
    <n v="4"/>
    <n v="54.3"/>
    <n v="217.2"/>
    <d v="2025-03-09T00:00:00"/>
    <d v="2025-03-11T00:00:00"/>
    <s v=""/>
    <s v="Partner App"/>
    <n v="4"/>
    <s v="California"/>
    <s v="San Bernardino County"/>
    <x v="1"/>
    <n v="11"/>
    <e v="#NAME?"/>
  </r>
  <r>
    <s v="TX501833"/>
    <s v="Tank Tops"/>
    <n v="2"/>
    <n v="44.1"/>
    <n v="88.2"/>
    <d v="2025-03-09T00:00:00"/>
    <d v="2025-03-21T00:00:00"/>
    <s v="F"/>
    <s v="App"/>
    <n v="5"/>
    <s v="California"/>
    <s v="San Diego County"/>
    <x v="13"/>
    <n v="11"/>
    <e v="#NAME?"/>
  </r>
  <r>
    <s v="TX501834"/>
    <s v="T-Shirts"/>
    <n v="4"/>
    <n v="43.5"/>
    <n v="174"/>
    <d v="2025-03-09T00:00:00"/>
    <d v="2025-03-15T00:00:00"/>
    <s v="M"/>
    <s v="Instagram"/>
    <n v="4"/>
    <s v="California"/>
    <s v="San Diego County"/>
    <x v="4"/>
    <n v="11"/>
    <e v="#NAME?"/>
  </r>
  <r>
    <s v="TX501835"/>
    <s v="T-Shirts"/>
    <n v="3"/>
    <n v="48.2"/>
    <n v="144.60000000000002"/>
    <d v="2025-03-09T00:00:00"/>
    <d v="2025-03-13T00:00:00"/>
    <s v="M"/>
    <s v="Instagram"/>
    <n v="3"/>
    <s v="California"/>
    <s v="San Diego County"/>
    <x v="5"/>
    <n v="11"/>
    <e v="#NAME?"/>
  </r>
  <r>
    <s v="TX501836"/>
    <s v="Jewelry"/>
    <n v="1"/>
    <n v="13.7"/>
    <n v="13.7"/>
    <d v="2025-03-09T00:00:00"/>
    <d v="2025-03-10T00:00:00"/>
    <s v="F"/>
    <s v="Target.com"/>
    <n v="5"/>
    <s v="California"/>
    <s v="San Diego County"/>
    <x v="3"/>
    <n v="11"/>
    <e v="#NAME?"/>
  </r>
  <r>
    <s v="TX501837"/>
    <s v="Sneakers"/>
    <n v="2"/>
    <n v="110.5"/>
    <n v="221"/>
    <d v="2025-03-09T00:00:00"/>
    <d v="2025-03-10T00:00:00"/>
    <s v="F"/>
    <s v="App"/>
    <n v="3"/>
    <s v="California"/>
    <s v="San Diego County"/>
    <x v="3"/>
    <n v="11"/>
    <e v="#NAME?"/>
  </r>
  <r>
    <s v="TX501838"/>
    <s v="T-Shirts"/>
    <n v="3"/>
    <n v="26"/>
    <n v="78"/>
    <d v="2025-03-09T00:00:00"/>
    <d v="2025-03-14T00:00:00"/>
    <s v="F"/>
    <s v="Website"/>
    <n v="3"/>
    <s v="California"/>
    <s v="San Diego County"/>
    <x v="0"/>
    <n v="11"/>
    <e v="#NAME?"/>
  </r>
  <r>
    <s v="TX501839"/>
    <s v="Sneakers"/>
    <n v="10"/>
    <n v="140.69999999999999"/>
    <n v="1407"/>
    <d v="2025-03-09T00:00:00"/>
    <d v="2025-03-15T00:00:00"/>
    <s v="M"/>
    <s v="Instagram"/>
    <n v="3"/>
    <s v="California"/>
    <s v="San Diego County"/>
    <x v="4"/>
    <n v="11"/>
    <e v="#NAME?"/>
  </r>
  <r>
    <s v="TX501840"/>
    <s v="Pajama Sets"/>
    <n v="2"/>
    <n v="41.7"/>
    <n v="83.4"/>
    <d v="2025-03-09T00:00:00"/>
    <d v="2025-03-17T00:00:00"/>
    <s v="F"/>
    <s v="App"/>
    <n v="2"/>
    <s v="California"/>
    <s v="San Diego County"/>
    <x v="9"/>
    <n v="11"/>
    <e v="#NAME?"/>
  </r>
  <r>
    <s v="TX501841"/>
    <s v="Sneakers"/>
    <n v="2"/>
    <n v="135.1"/>
    <n v="270.2"/>
    <d v="2025-03-09T00:00:00"/>
    <d v="2025-03-10T00:00:00"/>
    <s v="M"/>
    <s v="App"/>
    <n v="5"/>
    <s v="California"/>
    <s v="San Francisco"/>
    <x v="3"/>
    <n v="11"/>
    <e v="#NAME?"/>
  </r>
  <r>
    <s v="TX501842"/>
    <s v="Casual Dresses"/>
    <n v="22"/>
    <n v="95.5"/>
    <n v="2101"/>
    <d v="2025-03-09T00:00:00"/>
    <d v="2025-03-10T00:00:00"/>
    <s v="F"/>
    <s v="Partner App"/>
    <n v="2"/>
    <s v="California"/>
    <s v="San Joaquin County"/>
    <x v="3"/>
    <n v="11"/>
    <e v="#NAME?"/>
  </r>
  <r>
    <s v="TX501843"/>
    <s v="Crop Tops"/>
    <n v="1"/>
    <n v="25.5"/>
    <n v="25.5"/>
    <d v="2025-03-09T00:00:00"/>
    <d v="2025-03-12T00:00:00"/>
    <s v=""/>
    <s v="Target.com"/>
    <n v="5"/>
    <s v="California"/>
    <s v="Santa Clara County"/>
    <x v="2"/>
    <n v="11"/>
    <e v="#NAME?"/>
  </r>
  <r>
    <s v="TX501844"/>
    <s v="Tank Tops"/>
    <n v="1"/>
    <n v="42.6"/>
    <n v="42.6"/>
    <d v="2025-03-09T00:00:00"/>
    <d v="2025-03-13T00:00:00"/>
    <s v="F"/>
    <s v="App"/>
    <n v="4"/>
    <s v="California"/>
    <s v="Santa Clara County"/>
    <x v="5"/>
    <n v="11"/>
    <e v="#NAME?"/>
  </r>
  <r>
    <s v="TX501845"/>
    <s v="T-Shirts"/>
    <n v="15"/>
    <n v="32.4"/>
    <n v="486"/>
    <d v="2025-03-09T00:00:00"/>
    <d v="2025-03-10T00:00:00"/>
    <s v="M"/>
    <s v="Website"/>
    <n v="3"/>
    <s v="California"/>
    <s v="Santa Clara County"/>
    <x v="3"/>
    <n v="11"/>
    <e v="#NAME?"/>
  </r>
  <r>
    <s v="TX501846"/>
    <s v="Graphic Tees"/>
    <n v="4"/>
    <n v="20.2"/>
    <n v="80.8"/>
    <d v="2025-03-09T00:00:00"/>
    <d v="2025-03-10T00:00:00"/>
    <s v="O"/>
    <s v="Target.com"/>
    <n v="4"/>
    <s v="California"/>
    <s v="Santa Clara County"/>
    <x v="3"/>
    <n v="11"/>
    <e v="#NAME?"/>
  </r>
  <r>
    <s v="TX501847"/>
    <s v="Sunglasses"/>
    <n v="3"/>
    <n v="52.5"/>
    <n v="157.5"/>
    <d v="2025-03-09T00:00:00"/>
    <d v="2025-03-14T00:00:00"/>
    <s v="F"/>
    <s v="Partner App"/>
    <n v="4"/>
    <s v="California"/>
    <s v="Sonoma County"/>
    <x v="0"/>
    <n v="11"/>
    <e v="#NAME?"/>
  </r>
  <r>
    <s v="TX501848"/>
    <s v="Sneakers"/>
    <n v="5"/>
    <n v="59.9"/>
    <n v="299.5"/>
    <d v="2025-03-09T00:00:00"/>
    <d v="2025-03-11T00:00:00"/>
    <s v="F"/>
    <s v="Target.com"/>
    <n v="4"/>
    <s v="California"/>
    <s v="Stanislaus County"/>
    <x v="1"/>
    <n v="11"/>
    <e v="#NAME?"/>
  </r>
  <r>
    <s v="TX501849"/>
    <s v="Graphic Tees"/>
    <n v="2"/>
    <n v="53.2"/>
    <n v="106.4"/>
    <d v="2025-03-09T00:00:00"/>
    <d v="2025-03-10T00:00:00"/>
    <s v="F"/>
    <s v="Website"/>
    <n v="1"/>
    <s v="California"/>
    <s v="Tulare County"/>
    <x v="3"/>
    <n v="11"/>
    <e v="#NAME?"/>
  </r>
  <r>
    <s v="TX501850"/>
    <s v="Sneakers"/>
    <n v="2"/>
    <n v="60"/>
    <n v="120"/>
    <d v="2025-03-09T00:00:00"/>
    <d v="2025-03-15T00:00:00"/>
    <s v="M"/>
    <s v="Website"/>
    <n v="5"/>
    <s v="California"/>
    <s v="Tulare County"/>
    <x v="4"/>
    <n v="11"/>
    <e v="#NAME?"/>
  </r>
  <r>
    <s v="TX501851"/>
    <s v="T-Shirts"/>
    <n v="3"/>
    <n v="29.3"/>
    <n v="87.9"/>
    <d v="2025-03-09T00:00:00"/>
    <d v="2025-03-10T00:00:00"/>
    <s v="F"/>
    <s v="Partner App"/>
    <n v="4"/>
    <s v="California"/>
    <s v="Ventura County"/>
    <x v="3"/>
    <n v="11"/>
    <e v="#NAME?"/>
  </r>
  <r>
    <s v="TX501852"/>
    <s v="Casual Dresses"/>
    <n v="2"/>
    <n v="55.4"/>
    <n v="110.8"/>
    <d v="2025-03-09T00:00:00"/>
    <d v="2025-03-10T00:00:00"/>
    <s v="F"/>
    <s v="App"/>
    <n v="5"/>
    <s v="California"/>
    <s v="Alameda County"/>
    <x v="3"/>
    <n v="11"/>
    <e v="#NAME?"/>
  </r>
  <r>
    <s v="TX501853"/>
    <s v="Shorts"/>
    <n v="5"/>
    <n v="20.100000000000001"/>
    <n v="100.5"/>
    <d v="2025-03-09T00:00:00"/>
    <d v="2025-03-11T00:00:00"/>
    <s v="F"/>
    <s v="Website"/>
    <n v="5"/>
    <s v="California"/>
    <s v="Alameda County"/>
    <x v="1"/>
    <n v="11"/>
    <e v="#NAME?"/>
  </r>
  <r>
    <s v="TX501854"/>
    <s v="Baseball Caps"/>
    <n v="5"/>
    <n v="24"/>
    <n v="120"/>
    <d v="2025-03-09T00:00:00"/>
    <d v="2025-03-12T00:00:00"/>
    <s v="M"/>
    <s v="Target.com"/>
    <n v="4"/>
    <s v="California"/>
    <s v="Contra Costa County"/>
    <x v="2"/>
    <n v="11"/>
    <e v="#NAME?"/>
  </r>
  <r>
    <s v="TX501855"/>
    <s v="T-Shirts"/>
    <n v="2"/>
    <n v="30.6"/>
    <n v="61.2"/>
    <d v="2025-03-10T00:00:00"/>
    <d v="2025-03-12T00:00:00"/>
    <s v="F"/>
    <s v="App"/>
    <n v="4"/>
    <s v="California"/>
    <s v="Contra Costa County"/>
    <x v="1"/>
    <n v="11"/>
    <e v="#NAME?"/>
  </r>
  <r>
    <s v="TX501856"/>
    <s v="Bikinis"/>
    <n v="5"/>
    <n v="33"/>
    <n v="165"/>
    <d v="2025-03-10T00:00:00"/>
    <d v="2025-03-11T00:00:00"/>
    <s v="M"/>
    <s v="Website"/>
    <n v="3"/>
    <s v="California"/>
    <s v="Glenn County"/>
    <x v="3"/>
    <n v="11"/>
    <e v="#NAME?"/>
  </r>
  <r>
    <s v="TX501857"/>
    <s v="Pajama Sets"/>
    <n v="9"/>
    <n v="42.1"/>
    <n v="378.90000000000003"/>
    <d v="2025-03-10T00:00:00"/>
    <d v="2025-03-16T00:00:00"/>
    <s v="F"/>
    <s v="Target.com"/>
    <n v="4"/>
    <s v="California"/>
    <s v="Humboldt County"/>
    <x v="4"/>
    <n v="11"/>
    <e v="#NAME?"/>
  </r>
  <r>
    <s v="TX501858"/>
    <s v="Jeans"/>
    <n v="7"/>
    <n v="77.7"/>
    <n v="543.9"/>
    <d v="2025-03-10T00:00:00"/>
    <d v="2025-03-15T00:00:00"/>
    <s v="F"/>
    <s v="Website"/>
    <n v="5"/>
    <s v="California"/>
    <s v="Lake County"/>
    <x v="0"/>
    <n v="11"/>
    <e v="#NAME?"/>
  </r>
  <r>
    <s v="TX501859"/>
    <s v="Pajama Sets"/>
    <n v="6"/>
    <n v="22.7"/>
    <n v="136.19999999999999"/>
    <d v="2025-03-10T00:00:00"/>
    <d v="2025-03-13T00:00:00"/>
    <s v="F"/>
    <s v="Target.com"/>
    <n v="4"/>
    <s v="California"/>
    <s v="Los Angeles County"/>
    <x v="2"/>
    <n v="11"/>
    <e v="#NAME?"/>
  </r>
  <r>
    <s v="TX501860"/>
    <s v="Sneakers"/>
    <n v="2"/>
    <n v="133"/>
    <n v="266"/>
    <d v="2025-03-10T00:00:00"/>
    <d v="2025-03-10T00:00:00"/>
    <s v="M"/>
    <s v="Target.com"/>
    <n v="5"/>
    <s v="California"/>
    <s v="Los Angeles County"/>
    <x v="7"/>
    <n v="11"/>
    <e v="#NAME?"/>
  </r>
  <r>
    <s v="TX501861"/>
    <s v="Shorts"/>
    <n v="2"/>
    <n v="23.3"/>
    <n v="46.6"/>
    <d v="2025-03-10T00:00:00"/>
    <d v="2025-03-11T00:00:00"/>
    <s v="M"/>
    <s v="Website"/>
    <n v="5"/>
    <s v="California"/>
    <s v="Los Angeles County"/>
    <x v="3"/>
    <n v="11"/>
    <e v="#NAME?"/>
  </r>
  <r>
    <s v="TX501862"/>
    <s v="T-Shirts"/>
    <n v="3"/>
    <n v="20.7"/>
    <n v="62.099999999999994"/>
    <d v="2025-03-10T00:00:00"/>
    <d v="2025-03-12T00:00:00"/>
    <s v="O"/>
    <s v="App"/>
    <n v="5"/>
    <s v="California"/>
    <s v="Los Angeles County"/>
    <x v="1"/>
    <n v="11"/>
    <e v="#NAME?"/>
  </r>
  <r>
    <s v="TX501863"/>
    <s v="Casual Dresses"/>
    <n v="2"/>
    <n v="47"/>
    <n v="94"/>
    <d v="2025-03-10T00:00:00"/>
    <d v="2025-03-11T00:00:00"/>
    <s v="M"/>
    <s v="Website"/>
    <n v="5"/>
    <s v="California"/>
    <s v="Los Angeles County"/>
    <x v="3"/>
    <n v="11"/>
    <e v="#NAME?"/>
  </r>
  <r>
    <s v="TX501864"/>
    <s v="Casual Dresses"/>
    <n v="3"/>
    <n v="38.200000000000003"/>
    <n v="114.60000000000001"/>
    <d v="2025-03-10T00:00:00"/>
    <d v="2025-03-12T00:00:00"/>
    <s v="F"/>
    <s v="Target.com"/>
    <n v="2"/>
    <s v="California"/>
    <s v="Los Angeles County"/>
    <x v="1"/>
    <n v="11"/>
    <e v="#NAME?"/>
  </r>
  <r>
    <s v="TX501865"/>
    <s v="Sundresses"/>
    <n v="1"/>
    <n v="39.1"/>
    <n v="39.1"/>
    <d v="2025-03-10T00:00:00"/>
    <d v="2025-03-12T00:00:00"/>
    <s v="F"/>
    <s v="App"/>
    <n v="4"/>
    <s v="California"/>
    <s v="Los Angeles County"/>
    <x v="1"/>
    <n v="11"/>
    <e v="#NAME?"/>
  </r>
  <r>
    <s v="TX501866"/>
    <s v="Hoodies &amp; Sweatshirts"/>
    <n v="25"/>
    <n v="55.6"/>
    <n v="1390"/>
    <d v="2025-03-10T00:00:00"/>
    <d v="2025-03-12T00:00:00"/>
    <s v="M"/>
    <s v="App"/>
    <n v="5"/>
    <s v="California"/>
    <s v="Los Angeles County"/>
    <x v="1"/>
    <n v="11"/>
    <e v="#NAME?"/>
  </r>
  <r>
    <s v="TX501867"/>
    <s v="Crop Tops"/>
    <n v="1"/>
    <n v="43.1"/>
    <n v="43.1"/>
    <d v="2025-03-10T00:00:00"/>
    <d v="2025-03-10T00:00:00"/>
    <s v="O"/>
    <s v="Website"/>
    <n v="5"/>
    <s v="California"/>
    <s v="Los Angeles County"/>
    <x v="7"/>
    <n v="11"/>
    <e v="#NAME?"/>
  </r>
  <r>
    <s v="TX501868"/>
    <s v="Jeans"/>
    <n v="4"/>
    <n v="48.1"/>
    <n v="192.4"/>
    <d v="2025-03-10T00:00:00"/>
    <d v="2025-03-11T00:00:00"/>
    <s v="F"/>
    <s v="Partner App"/>
    <n v="5"/>
    <s v="California"/>
    <s v="Los Angeles County"/>
    <x v="3"/>
    <n v="11"/>
    <e v="#NAME?"/>
  </r>
  <r>
    <s v="TX501869"/>
    <s v="Graphic Tees"/>
    <n v="1"/>
    <n v="42"/>
    <n v="42"/>
    <d v="2025-03-10T00:00:00"/>
    <d v="2025-03-11T00:00:00"/>
    <s v="O"/>
    <s v="App"/>
    <n v="4"/>
    <s v="California"/>
    <s v="Los Angeles County"/>
    <x v="3"/>
    <n v="11"/>
    <e v="#NAME?"/>
  </r>
  <r>
    <s v="TX501870"/>
    <s v="T-Shirts"/>
    <n v="5"/>
    <n v="18.3"/>
    <n v="91.5"/>
    <d v="2025-03-10T00:00:00"/>
    <d v="2025-03-10T00:00:00"/>
    <s v="F"/>
    <s v="Target.com"/>
    <n v="4"/>
    <s v="California"/>
    <s v="Los Angeles County"/>
    <x v="7"/>
    <n v="11"/>
    <e v="#NAME?"/>
  </r>
  <r>
    <s v="TX501871"/>
    <s v="Bikinis"/>
    <n v="4"/>
    <n v="45.3"/>
    <n v="181.2"/>
    <d v="2025-03-10T00:00:00"/>
    <d v="2025-03-13T00:00:00"/>
    <s v="F"/>
    <s v="App"/>
    <n v="5"/>
    <s v="California"/>
    <s v="Los Angeles County"/>
    <x v="2"/>
    <n v="11"/>
    <e v="#NAME?"/>
  </r>
  <r>
    <s v="TX501872"/>
    <s v="Shorts"/>
    <n v="2"/>
    <n v="27.6"/>
    <n v="55.2"/>
    <d v="2025-03-10T00:00:00"/>
    <d v="2025-03-12T00:00:00"/>
    <s v="M"/>
    <s v="App"/>
    <n v="5"/>
    <s v="California"/>
    <s v="Madera County"/>
    <x v="1"/>
    <n v="11"/>
    <e v="#NAME?"/>
  </r>
  <r>
    <s v="TX501873"/>
    <s v="Graphic Tees"/>
    <n v="5"/>
    <n v="26.9"/>
    <n v="134.5"/>
    <d v="2025-03-10T00:00:00"/>
    <d v="2025-03-11T00:00:00"/>
    <s v="F"/>
    <s v="Target.com"/>
    <n v="4"/>
    <s v="California"/>
    <s v="Orange County"/>
    <x v="3"/>
    <n v="11"/>
    <e v="#NAME?"/>
  </r>
  <r>
    <s v="TX501874"/>
    <s v="Sneakers"/>
    <n v="9"/>
    <n v="82.4"/>
    <n v="741.6"/>
    <d v="2025-03-10T00:00:00"/>
    <d v="2025-03-12T00:00:00"/>
    <s v="O"/>
    <s v="Target.com"/>
    <n v="4"/>
    <s v="California"/>
    <s v="Placer County"/>
    <x v="1"/>
    <n v="11"/>
    <e v="#NAME?"/>
  </r>
  <r>
    <s v="TX501875"/>
    <s v="Jeans"/>
    <n v="1"/>
    <n v="103.7"/>
    <n v="103.7"/>
    <d v="2025-03-10T00:00:00"/>
    <d v="2025-03-12T00:00:00"/>
    <s v="F"/>
    <s v="Website"/>
    <n v="4"/>
    <s v="California"/>
    <s v="Placer County"/>
    <x v="1"/>
    <n v="11"/>
    <e v="#NAME?"/>
  </r>
  <r>
    <s v="TX501876"/>
    <s v="Sneakers"/>
    <n v="2"/>
    <n v="58.8"/>
    <n v="117.6"/>
    <d v="2025-03-10T00:00:00"/>
    <d v="2025-03-15T00:00:00"/>
    <s v="F"/>
    <s v="Website"/>
    <n v="5"/>
    <s v="California"/>
    <s v="Sacramento County"/>
    <x v="0"/>
    <n v="11"/>
    <e v="#NAME?"/>
  </r>
  <r>
    <s v="TX501877"/>
    <s v="Tote Bags"/>
    <n v="1"/>
    <n v="31.5"/>
    <n v="31.5"/>
    <d v="2025-03-10T00:00:00"/>
    <d v="2025-03-11T00:00:00"/>
    <s v="F"/>
    <s v="Website"/>
    <n v="3"/>
    <s v="California"/>
    <s v="Sacramento County"/>
    <x v="3"/>
    <n v="11"/>
    <e v="#NAME?"/>
  </r>
  <r>
    <s v="TX501878"/>
    <s v="Hoodies &amp; Sweatshirts"/>
    <n v="5"/>
    <n v="36.799999999999997"/>
    <n v="184"/>
    <d v="2025-03-10T00:00:00"/>
    <d v="2025-03-12T00:00:00"/>
    <s v="F"/>
    <s v="App"/>
    <n v="4"/>
    <s v="California"/>
    <s v="San Diego County"/>
    <x v="1"/>
    <n v="11"/>
    <e v="#NAME?"/>
  </r>
  <r>
    <s v="TX501879"/>
    <s v="Workout Tops"/>
    <n v="1"/>
    <n v="84.4"/>
    <n v="84.4"/>
    <d v="2025-03-10T00:00:00"/>
    <d v="2025-03-11T00:00:00"/>
    <s v="F"/>
    <s v="App"/>
    <n v="4"/>
    <s v="California"/>
    <s v="San Diego County"/>
    <x v="3"/>
    <n v="11"/>
    <e v="#NAME?"/>
  </r>
  <r>
    <s v="TX501880"/>
    <s v="Baseball Caps"/>
    <n v="1"/>
    <n v="44.7"/>
    <n v="44.7"/>
    <d v="2025-03-10T00:00:00"/>
    <d v="2025-03-11T00:00:00"/>
    <s v="M"/>
    <s v="App"/>
    <n v="3"/>
    <s v="California"/>
    <s v="San Diego County"/>
    <x v="3"/>
    <n v="11"/>
    <e v="#NAME?"/>
  </r>
  <r>
    <s v="TX501881"/>
    <s v="Sundresses"/>
    <n v="8"/>
    <n v="39.4"/>
    <n v="315.2"/>
    <d v="2025-03-10T00:00:00"/>
    <d v="2025-03-11T00:00:00"/>
    <s v="F"/>
    <s v="Website"/>
    <n v="5"/>
    <s v="California"/>
    <s v="San Diego County"/>
    <x v="3"/>
    <n v="11"/>
    <e v="#NAME?"/>
  </r>
  <r>
    <s v="TX501882"/>
    <s v="Maxi Dresses"/>
    <n v="4"/>
    <n v="34.9"/>
    <n v="139.6"/>
    <d v="2025-03-10T00:00:00"/>
    <d v="2025-03-12T00:00:00"/>
    <s v="F"/>
    <s v="App"/>
    <n v="5"/>
    <s v="California"/>
    <s v="San Diego County"/>
    <x v="1"/>
    <n v="11"/>
    <e v="#NAME?"/>
  </r>
  <r>
    <s v="TX501883"/>
    <s v="Tank Tops"/>
    <n v="3"/>
    <n v="62.3"/>
    <n v="186.89999999999998"/>
    <d v="2025-03-10T00:00:00"/>
    <d v="2025-03-12T00:00:00"/>
    <s v="M"/>
    <s v="Partner App"/>
    <n v="5"/>
    <s v="California"/>
    <s v="San Diego County"/>
    <x v="1"/>
    <n v="11"/>
    <e v="#NAME?"/>
  </r>
  <r>
    <s v="TX501884"/>
    <s v="T-Shirts"/>
    <n v="4"/>
    <n v="21.1"/>
    <n v="84.4"/>
    <d v="2025-03-10T00:00:00"/>
    <d v="2025-03-13T00:00:00"/>
    <s v="M"/>
    <s v="Instagram"/>
    <n v="4"/>
    <s v="California"/>
    <s v="San Diego County"/>
    <x v="2"/>
    <n v="11"/>
    <e v="#NAME?"/>
  </r>
  <r>
    <s v="TX501885"/>
    <s v="T-Shirts"/>
    <n v="3"/>
    <n v="33.200000000000003"/>
    <n v="99.600000000000009"/>
    <d v="2025-03-10T00:00:00"/>
    <d v="2025-03-24T00:00:00"/>
    <s v=""/>
    <s v="App"/>
    <n v="2"/>
    <s v="California"/>
    <s v="San Diego County"/>
    <x v="12"/>
    <n v="11"/>
    <e v="#NAME?"/>
  </r>
  <r>
    <s v="TX501886"/>
    <s v="Tank Tops"/>
    <n v="4"/>
    <n v="74.5"/>
    <n v="298"/>
    <d v="2025-03-10T00:00:00"/>
    <d v="2025-03-11T00:00:00"/>
    <s v="M"/>
    <s v="Partner App"/>
    <n v="4"/>
    <s v="California"/>
    <s v="San Diego County"/>
    <x v="3"/>
    <n v="11"/>
    <e v="#NAME?"/>
  </r>
  <r>
    <s v="TX501887"/>
    <s v="Bikinis"/>
    <n v="12"/>
    <n v="68.599999999999994"/>
    <n v="823.19999999999993"/>
    <d v="2025-03-10T00:00:00"/>
    <d v="2025-03-13T00:00:00"/>
    <s v="F"/>
    <s v="App"/>
    <n v="5"/>
    <s v="California"/>
    <s v="San Diego County"/>
    <x v="2"/>
    <n v="11"/>
    <e v="#NAME?"/>
  </r>
  <r>
    <s v="TX501888"/>
    <s v="Sandals"/>
    <n v="14"/>
    <n v="36.4"/>
    <n v="509.59999999999997"/>
    <d v="2025-03-10T00:00:00"/>
    <d v="2025-03-12T00:00:00"/>
    <s v="F"/>
    <s v="App"/>
    <n v="3"/>
    <s v="California"/>
    <s v="San Mateo County"/>
    <x v="1"/>
    <n v="11"/>
    <e v="#NAME?"/>
  </r>
  <r>
    <s v="TX501889"/>
    <s v="Sunglasses"/>
    <n v="5"/>
    <n v="67.599999999999994"/>
    <n v="338"/>
    <d v="2025-03-11T00:00:00"/>
    <d v="2025-03-14T00:00:00"/>
    <s v="F"/>
    <s v="Partner App"/>
    <n v="3"/>
    <s v="California"/>
    <s v="San Mateo County"/>
    <x v="2"/>
    <n v="11"/>
    <e v="#NAME?"/>
  </r>
  <r>
    <s v="TX501890"/>
    <s v="Crop Tops"/>
    <n v="1"/>
    <n v="46.3"/>
    <n v="46.3"/>
    <d v="2025-03-11T00:00:00"/>
    <d v="2025-03-12T00:00:00"/>
    <s v="M"/>
    <s v="Target.com"/>
    <n v="4"/>
    <s v="California"/>
    <s v="San Mateo County"/>
    <x v="3"/>
    <n v="11"/>
    <e v="#NAME?"/>
  </r>
  <r>
    <s v="TX501891"/>
    <s v="Tank Tops"/>
    <n v="3"/>
    <n v="124.2"/>
    <n v="372.6"/>
    <d v="2025-03-11T00:00:00"/>
    <d v="2025-03-13T00:00:00"/>
    <s v="F"/>
    <s v="Website"/>
    <n v="5"/>
    <s v="California"/>
    <s v="Santa Clara County"/>
    <x v="1"/>
    <n v="11"/>
    <e v="#NAME?"/>
  </r>
  <r>
    <s v="TX501892"/>
    <s v="Bikinis"/>
    <n v="2"/>
    <n v="37"/>
    <n v="74"/>
    <d v="2025-03-11T00:00:00"/>
    <d v="2025-03-17T00:00:00"/>
    <s v="M"/>
    <s v="App"/>
    <n v="4"/>
    <s v="California"/>
    <s v="Santa Clara County"/>
    <x v="4"/>
    <n v="11"/>
    <e v="#NAME?"/>
  </r>
  <r>
    <s v="TX501893"/>
    <s v="Sandals"/>
    <n v="1"/>
    <n v="41.8"/>
    <n v="41.8"/>
    <d v="2025-03-11T00:00:00"/>
    <d v="2025-03-12T00:00:00"/>
    <s v="M"/>
    <s v="Target.com"/>
    <n v="4"/>
    <s v="California"/>
    <s v="Sutter County"/>
    <x v="3"/>
    <n v="11"/>
    <e v="#NAME?"/>
  </r>
  <r>
    <s v="TX501894"/>
    <s v="Sundresses"/>
    <n v="2"/>
    <n v="57.2"/>
    <n v="114.4"/>
    <d v="2025-03-11T00:00:00"/>
    <d v="2025-03-13T00:00:00"/>
    <s v="M"/>
    <s v="Target.com"/>
    <n v="3"/>
    <s v="California"/>
    <s v="Tulare County"/>
    <x v="1"/>
    <n v="11"/>
    <e v="#NAME?"/>
  </r>
  <r>
    <s v="TX501895"/>
    <s v="Jeans"/>
    <n v="2"/>
    <n v="47.1"/>
    <n v="94.2"/>
    <d v="2025-03-11T00:00:00"/>
    <d v="2025-03-13T00:00:00"/>
    <s v="F"/>
    <s v="App"/>
    <n v="2"/>
    <s v="California"/>
    <s v="Tulare County"/>
    <x v="1"/>
    <n v="11"/>
    <e v="#NAME?"/>
  </r>
  <r>
    <s v="TX501896"/>
    <s v="Sandals"/>
    <n v="3"/>
    <n v="86.4"/>
    <n v="259.20000000000005"/>
    <d v="2025-03-11T00:00:00"/>
    <d v="2025-03-12T00:00:00"/>
    <s v="M"/>
    <s v="Target.com"/>
    <n v="3"/>
    <s v="California"/>
    <s v="Tuolumne County"/>
    <x v="3"/>
    <n v="11"/>
    <e v="#NAME?"/>
  </r>
  <r>
    <s v="TX501897"/>
    <s v="Jeans"/>
    <n v="5"/>
    <n v="105"/>
    <n v="525"/>
    <d v="2025-03-11T00:00:00"/>
    <d v="2025-03-14T00:00:00"/>
    <s v="M"/>
    <s v="App"/>
    <n v="4"/>
    <s v="California"/>
    <s v="Ventura County"/>
    <x v="2"/>
    <n v="11"/>
    <e v="#NAME?"/>
  </r>
  <r>
    <s v="TX501898"/>
    <s v="Leggings"/>
    <n v="1"/>
    <n v="33"/>
    <n v="33"/>
    <d v="2025-03-11T00:00:00"/>
    <d v="2025-03-14T00:00:00"/>
    <s v="M"/>
    <s v="Partner App"/>
    <n v="4"/>
    <s v="California"/>
    <s v="Alameda County"/>
    <x v="2"/>
    <n v="11"/>
    <e v="#NAME?"/>
  </r>
  <r>
    <s v="TX501899"/>
    <s v="Jeans"/>
    <n v="5"/>
    <n v="106.6"/>
    <n v="533"/>
    <d v="2025-03-11T00:00:00"/>
    <d v="2025-03-24T00:00:00"/>
    <s v="F"/>
    <s v="Target.com"/>
    <n v="4"/>
    <s v="California"/>
    <s v="Contra Costa County"/>
    <x v="10"/>
    <n v="11"/>
    <e v="#NAME?"/>
  </r>
  <r>
    <s v="TX501900"/>
    <s v="Bikinis"/>
    <n v="32"/>
    <n v="26.8"/>
    <n v="857.6"/>
    <d v="2025-03-11T00:00:00"/>
    <d v="2025-03-12T00:00:00"/>
    <s v="F"/>
    <s v="Target.com"/>
    <n v="4"/>
    <s v="California"/>
    <s v="Contra Costa County"/>
    <x v="3"/>
    <n v="11"/>
    <e v="#NAME?"/>
  </r>
  <r>
    <s v="TX501901"/>
    <s v="Pajama Sets"/>
    <n v="5"/>
    <n v="25.8"/>
    <n v="129"/>
    <d v="2025-03-11T00:00:00"/>
    <d v="2025-03-11T00:00:00"/>
    <s v="F"/>
    <s v="Website"/>
    <n v="5"/>
    <s v="California"/>
    <s v="Los Angeles County"/>
    <x v="7"/>
    <n v="11"/>
    <e v="#NAME?"/>
  </r>
  <r>
    <s v="TX501902"/>
    <s v="Sneakers"/>
    <n v="3"/>
    <n v="217"/>
    <n v="651"/>
    <d v="2025-03-11T00:00:00"/>
    <d v="2025-03-12T00:00:00"/>
    <s v="F"/>
    <s v="Website"/>
    <n v="3"/>
    <s v="California"/>
    <s v="Los Angeles County"/>
    <x v="3"/>
    <n v="11"/>
    <e v="#NAME?"/>
  </r>
  <r>
    <s v="TX501903"/>
    <s v="Sneakers"/>
    <n v="2"/>
    <n v="97.3"/>
    <n v="194.6"/>
    <d v="2025-03-11T00:00:00"/>
    <d v="2025-03-12T00:00:00"/>
    <s v="M"/>
    <s v="Target.com"/>
    <n v="2"/>
    <s v="California"/>
    <s v="Los Angeles County"/>
    <x v="3"/>
    <n v="11"/>
    <e v="#NAME?"/>
  </r>
  <r>
    <s v="TX501904"/>
    <s v="Tank Tops"/>
    <n v="1"/>
    <n v="49.8"/>
    <n v="49.8"/>
    <d v="2025-03-11T00:00:00"/>
    <d v="2025-03-12T00:00:00"/>
    <s v="F"/>
    <s v="App"/>
    <n v="4"/>
    <s v="California"/>
    <s v="Los Angeles County"/>
    <x v="3"/>
    <n v="11"/>
    <e v="#NAME?"/>
  </r>
  <r>
    <s v="TX501905"/>
    <s v="Casual Dresses"/>
    <n v="5"/>
    <n v="32.6"/>
    <n v="163"/>
    <d v="2025-03-11T00:00:00"/>
    <d v="2025-03-12T00:00:00"/>
    <s v="F"/>
    <s v="App"/>
    <n v="4"/>
    <s v="California"/>
    <s v="Los Angeles County"/>
    <x v="3"/>
    <n v="11"/>
    <e v="#NAME?"/>
  </r>
  <r>
    <s v="TX501906"/>
    <s v="Sundresses"/>
    <n v="2"/>
    <n v="40.1"/>
    <n v="80.2"/>
    <d v="2025-03-11T00:00:00"/>
    <d v="2025-03-14T00:00:00"/>
    <s v="M"/>
    <s v="Website"/>
    <n v="5"/>
    <s v="California"/>
    <s v="Los Angeles County"/>
    <x v="2"/>
    <n v="11"/>
    <e v="#NAME?"/>
  </r>
  <r>
    <s v="TX501907"/>
    <s v="Bikinis"/>
    <n v="2"/>
    <n v="49.4"/>
    <n v="98.8"/>
    <d v="2025-03-11T00:00:00"/>
    <d v="2025-03-13T00:00:00"/>
    <s v="M"/>
    <s v="Website"/>
    <n v="4"/>
    <s v="California"/>
    <s v="Los Angeles County"/>
    <x v="1"/>
    <n v="11"/>
    <e v="#NAME?"/>
  </r>
  <r>
    <s v="TX501908"/>
    <s v="Sneakers"/>
    <n v="1"/>
    <n v="67.3"/>
    <n v="67.3"/>
    <d v="2025-03-11T00:00:00"/>
    <d v="2025-03-12T00:00:00"/>
    <s v="F"/>
    <s v="App"/>
    <n v="5"/>
    <s v="California"/>
    <s v="Los Angeles County"/>
    <x v="3"/>
    <n v="11"/>
    <e v="#NAME?"/>
  </r>
  <r>
    <s v="TX501909"/>
    <s v="Leggings"/>
    <n v="4"/>
    <n v="44.5"/>
    <n v="178"/>
    <d v="2025-03-11T00:00:00"/>
    <d v="2025-03-14T00:00:00"/>
    <s v=""/>
    <s v="Website"/>
    <n v="4"/>
    <s v="California"/>
    <s v="Los Angeles County"/>
    <x v="2"/>
    <n v="11"/>
    <e v="#NAME?"/>
  </r>
  <r>
    <s v="TX501910"/>
    <s v="Jeans"/>
    <n v="11"/>
    <n v="111.1"/>
    <n v="1222.0999999999999"/>
    <d v="2025-03-11T00:00:00"/>
    <d v="2025-03-12T00:00:00"/>
    <s v="F"/>
    <s v="Partner App"/>
    <n v="4"/>
    <s v="California"/>
    <s v="Los Angeles County"/>
    <x v="3"/>
    <n v="11"/>
    <e v="#NAME?"/>
  </r>
  <r>
    <s v="TX501911"/>
    <s v="T-Shirts"/>
    <n v="3"/>
    <n v="19.7"/>
    <n v="59.099999999999994"/>
    <d v="2025-03-11T00:00:00"/>
    <d v="2025-03-12T00:00:00"/>
    <s v="F"/>
    <s v="Partner App"/>
    <n v="2"/>
    <s v="California"/>
    <s v="Los Angeles County"/>
    <x v="3"/>
    <n v="11"/>
    <e v="#NAME?"/>
  </r>
  <r>
    <s v="TX501912"/>
    <s v="Tank Tops"/>
    <n v="1"/>
    <n v="40.299999999999997"/>
    <n v="40.299999999999997"/>
    <d v="2025-03-11T00:00:00"/>
    <d v="2025-03-12T00:00:00"/>
    <s v="O"/>
    <s v="Website"/>
    <n v="4"/>
    <s v="California"/>
    <s v="Los Angeles County"/>
    <x v="3"/>
    <n v="11"/>
    <e v="#NAME?"/>
  </r>
  <r>
    <s v="TX501913"/>
    <s v="Jeans"/>
    <n v="2"/>
    <n v="108.8"/>
    <n v="217.6"/>
    <d v="2025-03-11T00:00:00"/>
    <d v="2025-03-16T00:00:00"/>
    <s v="M"/>
    <s v="App"/>
    <n v="5"/>
    <s v="California"/>
    <s v="Sacramento County"/>
    <x v="0"/>
    <n v="11"/>
    <e v="#NAME?"/>
  </r>
  <r>
    <s v="TX501914"/>
    <s v="T-Shirts"/>
    <n v="3"/>
    <n v="48.2"/>
    <n v="144.60000000000002"/>
    <d v="2025-03-11T00:00:00"/>
    <d v="2025-03-16T00:00:00"/>
    <s v="F"/>
    <s v="Partner App"/>
    <n v="4"/>
    <s v="California"/>
    <s v="San Bernardino County"/>
    <x v="0"/>
    <n v="11"/>
    <e v="#NAME?"/>
  </r>
  <r>
    <s v="TX501915"/>
    <s v="Sneakers"/>
    <n v="3"/>
    <n v="104.7"/>
    <n v="314.10000000000002"/>
    <d v="2025-03-11T00:00:00"/>
    <d v="2025-03-13T00:00:00"/>
    <s v="F"/>
    <s v="App"/>
    <n v="3"/>
    <s v="California"/>
    <s v="San Bernardino County"/>
    <x v="1"/>
    <n v="11"/>
    <e v="#NAME?"/>
  </r>
  <r>
    <s v="TX501916"/>
    <s v="Tank Tops"/>
    <n v="2"/>
    <n v="80.599999999999994"/>
    <n v="161.19999999999999"/>
    <d v="2025-03-11T00:00:00"/>
    <d v="2025-03-11T00:00:00"/>
    <s v="F"/>
    <s v="Website"/>
    <n v="4"/>
    <s v="California"/>
    <s v="San Diego County"/>
    <x v="7"/>
    <n v="11"/>
    <e v="#NAME?"/>
  </r>
  <r>
    <s v="TX501917"/>
    <s v="Jeans"/>
    <n v="1"/>
    <n v="65.5"/>
    <n v="65.5"/>
    <d v="2025-03-11T00:00:00"/>
    <d v="2025-03-13T00:00:00"/>
    <s v="O"/>
    <s v="Website"/>
    <n v="4"/>
    <s v="California"/>
    <s v="San Diego County"/>
    <x v="1"/>
    <n v="11"/>
    <e v="#NAME?"/>
  </r>
  <r>
    <s v="TX501918"/>
    <s v="Sundresses"/>
    <n v="3"/>
    <n v="61.4"/>
    <n v="184.2"/>
    <d v="2025-03-11T00:00:00"/>
    <d v="2025-03-13T00:00:00"/>
    <s v="F"/>
    <s v="Partner App"/>
    <n v="5"/>
    <s v="California"/>
    <s v="San Diego County"/>
    <x v="1"/>
    <n v="11"/>
    <e v="#NAME?"/>
  </r>
  <r>
    <s v="TX501919"/>
    <s v="Shorts"/>
    <n v="1"/>
    <n v="12.5"/>
    <n v="12.5"/>
    <d v="2025-03-12T00:00:00"/>
    <d v="2025-03-15T00:00:00"/>
    <s v="F"/>
    <s v="App"/>
    <n v="3"/>
    <s v="California"/>
    <s v="San Diego County"/>
    <x v="2"/>
    <n v="11"/>
    <e v="#NAME?"/>
  </r>
  <r>
    <s v="TX501920"/>
    <s v="Graphic Tees"/>
    <n v="4"/>
    <n v="35.1"/>
    <n v="140.4"/>
    <d v="2025-03-12T00:00:00"/>
    <d v="2025-03-13T00:00:00"/>
    <s v="M"/>
    <s v="Target.com"/>
    <n v="3"/>
    <s v="California"/>
    <s v="San Francisco"/>
    <x v="3"/>
    <n v="11"/>
    <e v="#NAME?"/>
  </r>
  <r>
    <s v="TX501921"/>
    <s v="Sandals"/>
    <n v="2"/>
    <n v="55.7"/>
    <n v="111.4"/>
    <d v="2025-03-12T00:00:00"/>
    <d v="2025-03-13T00:00:00"/>
    <s v="M"/>
    <s v="App"/>
    <n v="3"/>
    <s v="California"/>
    <s v="San Joaquin County"/>
    <x v="3"/>
    <n v="11"/>
    <e v="#NAME?"/>
  </r>
  <r>
    <s v="TX501922"/>
    <s v="Hoodies &amp; Sweatshirts"/>
    <n v="2"/>
    <n v="57.7"/>
    <n v="115.4"/>
    <d v="2025-03-12T00:00:00"/>
    <d v="2025-03-14T00:00:00"/>
    <s v="M"/>
    <s v="Partner App"/>
    <n v="3"/>
    <s v="California"/>
    <s v="San Mateo County"/>
    <x v="1"/>
    <n v="11"/>
    <e v="#NAME?"/>
  </r>
  <r>
    <s v="TX501923"/>
    <s v="Sneakers"/>
    <n v="6"/>
    <n v="85.7"/>
    <n v="514.20000000000005"/>
    <d v="2025-03-12T00:00:00"/>
    <d v="2025-03-13T00:00:00"/>
    <s v="M"/>
    <s v="Instagram"/>
    <n v="5"/>
    <s v="California"/>
    <s v="San Mateo County"/>
    <x v="3"/>
    <n v="11"/>
    <e v="#NAME?"/>
  </r>
  <r>
    <s v="TX501924"/>
    <s v="Sneakers"/>
    <n v="3"/>
    <n v="86.9"/>
    <n v="260.70000000000005"/>
    <d v="2025-03-12T00:00:00"/>
    <d v="2025-03-14T00:00:00"/>
    <s v="F"/>
    <s v="Website"/>
    <n v="4"/>
    <s v="California"/>
    <s v="Santa Clara County"/>
    <x v="1"/>
    <n v="11"/>
    <e v="#NAME?"/>
  </r>
  <r>
    <s v="TX501925"/>
    <s v="Leggings"/>
    <n v="2"/>
    <n v="46.4"/>
    <n v="92.8"/>
    <d v="2025-03-12T00:00:00"/>
    <d v="2025-03-15T00:00:00"/>
    <s v="F"/>
    <s v="Partner App"/>
    <n v="4"/>
    <s v="California"/>
    <s v="Santa Clara County"/>
    <x v="2"/>
    <n v="11"/>
    <e v="#NAME?"/>
  </r>
  <r>
    <s v="TX501926"/>
    <s v="Sandals"/>
    <n v="3"/>
    <n v="25.4"/>
    <n v="76.199999999999989"/>
    <d v="2025-03-12T00:00:00"/>
    <d v="2025-03-12T00:00:00"/>
    <s v="F"/>
    <s v="Target.com"/>
    <n v="5"/>
    <s v="California"/>
    <s v="Sonoma County"/>
    <x v="7"/>
    <n v="11"/>
    <e v="#NAME?"/>
  </r>
  <r>
    <s v="TX501927"/>
    <s v="Bikinis"/>
    <n v="3"/>
    <n v="47.8"/>
    <n v="143.39999999999998"/>
    <d v="2025-03-12T00:00:00"/>
    <d v="2025-03-12T00:00:00"/>
    <s v=""/>
    <s v="Target.com"/>
    <n v="5"/>
    <s v="California"/>
    <s v="Stanislaus County"/>
    <x v="7"/>
    <n v="11"/>
    <e v="#NAME?"/>
  </r>
  <r>
    <s v="TX501928"/>
    <s v="T-Shirts"/>
    <n v="19"/>
    <n v="18.399999999999999"/>
    <n v="349.59999999999997"/>
    <d v="2025-03-12T00:00:00"/>
    <d v="2025-03-14T00:00:00"/>
    <s v="O"/>
    <s v="Target.com"/>
    <n v="4"/>
    <s v="California"/>
    <s v="Tulare County"/>
    <x v="1"/>
    <n v="11"/>
    <e v="#NAME?"/>
  </r>
  <r>
    <s v="TX501929"/>
    <s v="Casual Dresses"/>
    <n v="3"/>
    <n v="65.5"/>
    <n v="196.5"/>
    <d v="2025-03-12T00:00:00"/>
    <d v="2025-03-20T00:00:00"/>
    <s v="F"/>
    <s v="App"/>
    <n v="4"/>
    <s v="California"/>
    <s v="Alameda County"/>
    <x v="9"/>
    <n v="11"/>
    <e v="#NAME?"/>
  </r>
  <r>
    <s v="TX501930"/>
    <s v="Bikinis"/>
    <n v="2"/>
    <n v="50.6"/>
    <n v="101.2"/>
    <d v="2025-03-12T00:00:00"/>
    <d v="2025-03-15T00:00:00"/>
    <s v="M"/>
    <s v="Target.com"/>
    <n v="2"/>
    <s v="California"/>
    <s v="Alameda County"/>
    <x v="2"/>
    <n v="11"/>
    <e v="#NAME?"/>
  </r>
  <r>
    <s v="TX501931"/>
    <s v="Workout Tops"/>
    <n v="5"/>
    <n v="69"/>
    <n v="345"/>
    <d v="2025-03-12T00:00:00"/>
    <d v="2025-03-16T00:00:00"/>
    <s v="M"/>
    <s v="Instagram"/>
    <n v="4"/>
    <s v="California"/>
    <s v="Alameda County"/>
    <x v="5"/>
    <n v="11"/>
    <e v="#NAME?"/>
  </r>
  <r>
    <s v="TX501932"/>
    <s v="Sundresses"/>
    <n v="8"/>
    <n v="51.1"/>
    <n v="408.8"/>
    <d v="2025-03-12T00:00:00"/>
    <d v="2025-03-14T00:00:00"/>
    <s v="F"/>
    <s v="App"/>
    <n v="4"/>
    <s v="California"/>
    <s v="Contra Costa County"/>
    <x v="1"/>
    <n v="11"/>
    <e v="#NAME?"/>
  </r>
  <r>
    <s v="TX501933"/>
    <s v="Sundresses"/>
    <n v="1"/>
    <n v="36.1"/>
    <n v="36.1"/>
    <d v="2025-03-12T00:00:00"/>
    <d v="2025-03-13T00:00:00"/>
    <s v="F"/>
    <s v="App"/>
    <n v="5"/>
    <s v="California"/>
    <s v="Kings County"/>
    <x v="3"/>
    <n v="11"/>
    <e v="#NAME?"/>
  </r>
  <r>
    <s v="TX501934"/>
    <s v="Baseball Caps"/>
    <n v="1"/>
    <n v="18.7"/>
    <n v="18.7"/>
    <d v="2025-03-12T00:00:00"/>
    <d v="2025-03-13T00:00:00"/>
    <s v="M"/>
    <s v="App"/>
    <n v="4"/>
    <s v="California"/>
    <s v="Los Angeles County"/>
    <x v="3"/>
    <n v="11"/>
    <e v="#NAME?"/>
  </r>
  <r>
    <s v="TX501935"/>
    <s v="Pajama Sets"/>
    <n v="1"/>
    <n v="30.1"/>
    <n v="30.1"/>
    <d v="2025-03-12T00:00:00"/>
    <d v="2025-03-15T00:00:00"/>
    <s v="F"/>
    <s v="Instagram"/>
    <n v="3"/>
    <s v="California"/>
    <s v="Los Angeles County"/>
    <x v="2"/>
    <n v="11"/>
    <e v="#NAME?"/>
  </r>
  <r>
    <s v="TX501936"/>
    <s v="T-Shirts"/>
    <n v="1"/>
    <n v="16.3"/>
    <n v="16.3"/>
    <d v="2025-03-12T00:00:00"/>
    <d v="2025-03-13T00:00:00"/>
    <s v="M"/>
    <s v="Instagram"/>
    <n v="4"/>
    <s v="California"/>
    <s v="Los Angeles County"/>
    <x v="3"/>
    <n v="11"/>
    <e v="#NAME?"/>
  </r>
  <r>
    <s v="TX501937"/>
    <s v="Tank Tops"/>
    <n v="3"/>
    <n v="63.8"/>
    <n v="191.39999999999998"/>
    <d v="2025-03-12T00:00:00"/>
    <d v="2025-03-17T00:00:00"/>
    <s v="F"/>
    <s v="Target.com"/>
    <n v="3"/>
    <s v="California"/>
    <s v="Los Angeles County"/>
    <x v="0"/>
    <n v="11"/>
    <e v="#NAME?"/>
  </r>
  <r>
    <s v="TX501938"/>
    <s v="Tank Tops"/>
    <n v="7"/>
    <n v="73.900000000000006"/>
    <n v="517.30000000000007"/>
    <d v="2025-03-12T00:00:00"/>
    <d v="2025-03-12T00:00:00"/>
    <s v="F"/>
    <s v="App"/>
    <n v="3"/>
    <s v="California"/>
    <s v="Los Angeles County"/>
    <x v="7"/>
    <n v="11"/>
    <e v="#NAME?"/>
  </r>
  <r>
    <s v="TX501939"/>
    <s v="Shorts"/>
    <n v="2"/>
    <n v="20.2"/>
    <n v="40.4"/>
    <d v="2025-03-12T00:00:00"/>
    <d v="2025-03-13T00:00:00"/>
    <s v="M"/>
    <s v="App"/>
    <n v="3"/>
    <s v="California"/>
    <s v="Los Angeles County"/>
    <x v="3"/>
    <n v="11"/>
    <e v="#NAME?"/>
  </r>
  <r>
    <s v="TX501940"/>
    <s v="Maxi Dresses"/>
    <n v="11"/>
    <n v="29.5"/>
    <n v="324.5"/>
    <d v="2025-03-12T00:00:00"/>
    <d v="2025-03-13T00:00:00"/>
    <s v="M"/>
    <s v="App"/>
    <n v="4"/>
    <s v="California"/>
    <s v="Los Angeles County"/>
    <x v="3"/>
    <n v="11"/>
    <e v="#NAME?"/>
  </r>
  <r>
    <s v="TX501941"/>
    <s v="Crop Tops"/>
    <n v="7"/>
    <n v="37.9"/>
    <n v="265.3"/>
    <d v="2025-03-12T00:00:00"/>
    <d v="2025-03-13T00:00:00"/>
    <s v="M"/>
    <s v="Website"/>
    <n v="4"/>
    <s v="California"/>
    <s v="Los Angeles County"/>
    <x v="3"/>
    <n v="11"/>
    <e v="#NAME?"/>
  </r>
  <r>
    <s v="TX501942"/>
    <s v="Sneakers"/>
    <n v="1"/>
    <n v="56.5"/>
    <n v="56.5"/>
    <d v="2025-03-12T00:00:00"/>
    <d v="2025-03-13T00:00:00"/>
    <s v="F"/>
    <s v="Target.com"/>
    <n v="3"/>
    <s v="California"/>
    <s v="Los Angeles County"/>
    <x v="3"/>
    <n v="11"/>
    <e v="#NAME?"/>
  </r>
  <r>
    <s v="TX501943"/>
    <s v="Sneakers"/>
    <n v="2"/>
    <n v="66.900000000000006"/>
    <n v="133.80000000000001"/>
    <d v="2025-03-12T00:00:00"/>
    <d v="2025-03-18T00:00:00"/>
    <s v="M"/>
    <s v="Website"/>
    <n v="2"/>
    <s v="California"/>
    <s v="Orange County"/>
    <x v="4"/>
    <n v="11"/>
    <e v="#NAME?"/>
  </r>
  <r>
    <s v="TX501944"/>
    <s v="Sneakers"/>
    <n v="5"/>
    <n v="51.9"/>
    <n v="259.5"/>
    <d v="2025-03-12T00:00:00"/>
    <d v="2025-03-15T00:00:00"/>
    <s v="M"/>
    <s v="Website"/>
    <n v="4"/>
    <s v="California"/>
    <s v="San Bernardino County"/>
    <x v="2"/>
    <n v="11"/>
    <e v="#NAME?"/>
  </r>
  <r>
    <s v="TX501945"/>
    <s v="Sneakers"/>
    <n v="2"/>
    <n v="75.599999999999994"/>
    <n v="151.19999999999999"/>
    <d v="2025-03-12T00:00:00"/>
    <d v="2025-03-15T00:00:00"/>
    <s v="M"/>
    <s v="Website"/>
    <n v="4"/>
    <s v="California"/>
    <s v="San Diego County"/>
    <x v="2"/>
    <n v="11"/>
    <e v="#NAME?"/>
  </r>
  <r>
    <s v="TX501946"/>
    <s v="Casual Dresses"/>
    <n v="6"/>
    <n v="47.3"/>
    <n v="283.79999999999995"/>
    <d v="2025-03-12T00:00:00"/>
    <d v="2025-03-23T00:00:00"/>
    <s v="M"/>
    <s v="App"/>
    <n v="4"/>
    <s v="California"/>
    <s v="San Diego County"/>
    <x v="11"/>
    <n v="11"/>
    <e v="#NAME?"/>
  </r>
  <r>
    <s v="TX501947"/>
    <s v="Graphic Tees"/>
    <n v="1"/>
    <n v="20.6"/>
    <n v="20.6"/>
    <d v="2025-03-12T00:00:00"/>
    <d v="2025-03-13T00:00:00"/>
    <s v=""/>
    <s v="App"/>
    <n v="3"/>
    <s v="California"/>
    <s v="San Diego County"/>
    <x v="3"/>
    <n v="11"/>
    <e v="#NAME?"/>
  </r>
  <r>
    <s v="TX501948"/>
    <s v="Jeans"/>
    <n v="3"/>
    <n v="49.7"/>
    <n v="149.10000000000002"/>
    <d v="2025-03-12T00:00:00"/>
    <d v="2025-03-14T00:00:00"/>
    <s v="M"/>
    <s v="App"/>
    <n v="3"/>
    <s v="California"/>
    <s v="San Diego County"/>
    <x v="1"/>
    <n v="11"/>
    <e v="#NAME?"/>
  </r>
  <r>
    <s v="TX501949"/>
    <s v="Workout Tops"/>
    <n v="1"/>
    <n v="37.9"/>
    <n v="37.9"/>
    <d v="2025-03-12T00:00:00"/>
    <d v="2025-03-14T00:00:00"/>
    <s v="F"/>
    <s v="App"/>
    <n v="4"/>
    <s v="California"/>
    <s v="San Diego County"/>
    <x v="1"/>
    <n v="11"/>
    <e v="#NAME?"/>
  </r>
  <r>
    <s v="TX501950"/>
    <s v="Tote Bags"/>
    <n v="15"/>
    <n v="32"/>
    <n v="480"/>
    <d v="2025-03-12T00:00:00"/>
    <d v="2025-03-14T00:00:00"/>
    <s v="F"/>
    <s v="Partner App"/>
    <n v="4"/>
    <s v="California"/>
    <s v="Santa Clara County"/>
    <x v="1"/>
    <n v="11"/>
    <e v="#NAME?"/>
  </r>
  <r>
    <s v="TX501951"/>
    <s v="Bikinis"/>
    <n v="18"/>
    <n v="38.5"/>
    <n v="693"/>
    <d v="2025-03-13T00:00:00"/>
    <d v="2025-03-14T00:00:00"/>
    <s v="M"/>
    <s v="App"/>
    <n v="5"/>
    <s v="California"/>
    <s v="Santa Clara County"/>
    <x v="3"/>
    <n v="11"/>
    <e v="#NAME?"/>
  </r>
  <r>
    <s v="TX501952"/>
    <s v="Shorts"/>
    <n v="4"/>
    <n v="11.7"/>
    <n v="46.8"/>
    <d v="2025-03-13T00:00:00"/>
    <d v="2025-03-15T00:00:00"/>
    <s v="F"/>
    <s v="Website"/>
    <n v="4"/>
    <s v="California"/>
    <s v="Tulare County"/>
    <x v="1"/>
    <n v="11"/>
    <e v="#NAME?"/>
  </r>
  <r>
    <s v="TX501953"/>
    <s v="Workout Tops"/>
    <n v="6"/>
    <n v="83.8"/>
    <n v="502.79999999999995"/>
    <d v="2025-03-13T00:00:00"/>
    <d v="2025-03-14T00:00:00"/>
    <s v="M"/>
    <s v="App"/>
    <n v="4"/>
    <s v="California"/>
    <s v="Alameda County"/>
    <x v="3"/>
    <n v="11"/>
    <e v="#NAME?"/>
  </r>
  <r>
    <s v="TX501954"/>
    <s v="Shorts"/>
    <n v="7"/>
    <n v="14"/>
    <n v="98"/>
    <d v="2025-03-13T00:00:00"/>
    <d v="2025-03-16T00:00:00"/>
    <s v="M"/>
    <s v="App"/>
    <n v="3"/>
    <s v="California"/>
    <s v="Kern County"/>
    <x v="2"/>
    <n v="11"/>
    <e v="#NAME?"/>
  </r>
  <r>
    <s v="TX501955"/>
    <s v="Sunglasses"/>
    <n v="4"/>
    <n v="77.3"/>
    <n v="309.2"/>
    <d v="2025-03-13T00:00:00"/>
    <d v="2025-03-15T00:00:00"/>
    <s v="F"/>
    <s v="Partner App"/>
    <n v="5"/>
    <s v="California"/>
    <s v="Los Angeles County"/>
    <x v="1"/>
    <n v="11"/>
    <e v="#NAME?"/>
  </r>
  <r>
    <s v="TX501956"/>
    <s v="Sneakers"/>
    <n v="2"/>
    <n v="76.900000000000006"/>
    <n v="153.80000000000001"/>
    <d v="2025-03-13T00:00:00"/>
    <d v="2025-03-17T00:00:00"/>
    <s v="F"/>
    <s v="App"/>
    <n v="3"/>
    <s v="California"/>
    <s v="Los Angeles County"/>
    <x v="5"/>
    <n v="11"/>
    <e v="#NAME?"/>
  </r>
  <r>
    <s v="TX501957"/>
    <s v="Tank Tops"/>
    <n v="1"/>
    <n v="48"/>
    <n v="48"/>
    <d v="2025-03-13T00:00:00"/>
    <d v="2025-03-15T00:00:00"/>
    <s v="F"/>
    <s v="Website"/>
    <n v="5"/>
    <s v="California"/>
    <s v="Los Angeles County"/>
    <x v="1"/>
    <n v="11"/>
    <e v="#NAME?"/>
  </r>
  <r>
    <s v="TX501958"/>
    <s v="Sneakers"/>
    <n v="1"/>
    <n v="94.5"/>
    <n v="94.5"/>
    <d v="2025-03-13T00:00:00"/>
    <d v="2025-03-16T00:00:00"/>
    <s v="M"/>
    <s v="Website"/>
    <n v="3"/>
    <s v="California"/>
    <s v="Los Angeles County"/>
    <x v="2"/>
    <n v="11"/>
    <e v="#NAME?"/>
  </r>
  <r>
    <s v="TX501959"/>
    <s v="Bikinis"/>
    <n v="3"/>
    <n v="58.4"/>
    <n v="175.2"/>
    <d v="2025-03-13T00:00:00"/>
    <d v="2025-03-15T00:00:00"/>
    <s v="F"/>
    <s v="Website"/>
    <n v="5"/>
    <s v="California"/>
    <s v="Los Angeles County"/>
    <x v="1"/>
    <n v="11"/>
    <e v="#NAME?"/>
  </r>
  <r>
    <s v="TX501960"/>
    <s v="Hoodies &amp; Sweatshirts"/>
    <n v="13"/>
    <n v="42.2"/>
    <n v="548.6"/>
    <d v="2025-03-13T00:00:00"/>
    <d v="2025-03-13T00:00:00"/>
    <s v="M"/>
    <s v="App"/>
    <n v="4"/>
    <s v="California"/>
    <s v="Orange County"/>
    <x v="7"/>
    <n v="11"/>
    <e v="#NAME?"/>
  </r>
  <r>
    <s v="TX501961"/>
    <s v="Jeans"/>
    <n v="2"/>
    <n v="152.19999999999999"/>
    <n v="304.39999999999998"/>
    <d v="2025-03-13T00:00:00"/>
    <d v="2025-03-14T00:00:00"/>
    <s v="M"/>
    <s v="Partner App"/>
    <n v="3"/>
    <s v="California"/>
    <s v="Orange County"/>
    <x v="3"/>
    <n v="11"/>
    <e v="#NAME?"/>
  </r>
  <r>
    <s v="TX501962"/>
    <s v="Jeans"/>
    <n v="24"/>
    <n v="72"/>
    <n v="1728"/>
    <d v="2025-03-13T00:00:00"/>
    <d v="2025-03-14T00:00:00"/>
    <s v="M"/>
    <s v="App"/>
    <n v="3"/>
    <s v="California"/>
    <s v="Sacramento County"/>
    <x v="3"/>
    <n v="11"/>
    <e v="#NAME?"/>
  </r>
  <r>
    <s v="TX501963"/>
    <s v="Tank Tops"/>
    <n v="23"/>
    <n v="70.900000000000006"/>
    <n v="1630.7"/>
    <d v="2025-03-13T00:00:00"/>
    <d v="2025-03-14T00:00:00"/>
    <s v="F"/>
    <s v="Target.com"/>
    <n v="4"/>
    <s v="California"/>
    <s v="San Diego County"/>
    <x v="3"/>
    <n v="11"/>
    <e v="#NAME?"/>
  </r>
  <r>
    <s v="TX501964"/>
    <s v="Sneakers"/>
    <n v="2"/>
    <n v="53.7"/>
    <n v="107.4"/>
    <d v="2025-03-13T00:00:00"/>
    <d v="2025-03-14T00:00:00"/>
    <s v="M"/>
    <s v="Target.com"/>
    <n v="5"/>
    <s v="California"/>
    <s v="San Diego County"/>
    <x v="3"/>
    <n v="11"/>
    <e v="#NAME?"/>
  </r>
  <r>
    <s v="TX501965"/>
    <s v="Sundresses"/>
    <n v="4"/>
    <n v="42.9"/>
    <n v="171.6"/>
    <d v="2025-03-13T00:00:00"/>
    <d v="2025-03-14T00:00:00"/>
    <s v="F"/>
    <s v="Target.com"/>
    <n v="2"/>
    <s v="California"/>
    <s v="San Mateo County"/>
    <x v="3"/>
    <n v="11"/>
    <e v="#NAME?"/>
  </r>
  <r>
    <s v="TX501966"/>
    <s v="Sneakers"/>
    <n v="7"/>
    <n v="107.5"/>
    <n v="752.5"/>
    <d v="2025-03-13T00:00:00"/>
    <d v="2025-03-14T00:00:00"/>
    <s v="M"/>
    <s v="Website"/>
    <n v="4"/>
    <s v="California"/>
    <s v="Santa Clara County"/>
    <x v="3"/>
    <n v="11"/>
    <e v="#NAME?"/>
  </r>
  <r>
    <s v="TX501967"/>
    <s v="Pajama Sets"/>
    <n v="16"/>
    <n v="21.5"/>
    <n v="344"/>
    <d v="2025-03-13T00:00:00"/>
    <d v="2025-03-14T00:00:00"/>
    <s v="M"/>
    <s v="Website"/>
    <n v="3"/>
    <s v="California"/>
    <s v="Santa Cruz County"/>
    <x v="3"/>
    <n v="11"/>
    <e v="#NAME?"/>
  </r>
  <r>
    <s v="TX501968"/>
    <s v="Workout Tops"/>
    <n v="5"/>
    <n v="85.3"/>
    <n v="426.5"/>
    <d v="2025-03-13T00:00:00"/>
    <d v="2025-03-15T00:00:00"/>
    <s v="F"/>
    <s v="Instagram"/>
    <n v="4"/>
    <s v="California"/>
    <s v="Sonoma County"/>
    <x v="1"/>
    <n v="11"/>
    <e v="#NAME?"/>
  </r>
  <r>
    <s v="TX501969"/>
    <s v="Hoodies &amp; Sweatshirts"/>
    <n v="5"/>
    <n v="80.8"/>
    <n v="404"/>
    <d v="2025-03-13T00:00:00"/>
    <d v="2025-03-21T00:00:00"/>
    <s v="O"/>
    <s v="Website"/>
    <n v="3"/>
    <s v="California"/>
    <s v="Stanislaus County"/>
    <x v="9"/>
    <n v="11"/>
    <e v="#NAME?"/>
  </r>
  <r>
    <s v="TX501970"/>
    <s v="Sneakers"/>
    <n v="3"/>
    <n v="123.1"/>
    <n v="369.29999999999995"/>
    <d v="2025-03-13T00:00:00"/>
    <d v="2025-03-15T00:00:00"/>
    <s v=""/>
    <s v="Target.com"/>
    <n v="4"/>
    <s v="California"/>
    <s v="Alameda County"/>
    <x v="1"/>
    <n v="11"/>
    <e v="#NAME?"/>
  </r>
  <r>
    <s v="TX501971"/>
    <s v="T-Shirts"/>
    <n v="2"/>
    <n v="36.9"/>
    <n v="73.8"/>
    <d v="2025-03-13T00:00:00"/>
    <d v="2025-03-15T00:00:00"/>
    <s v="F"/>
    <s v="Target.com"/>
    <n v="2"/>
    <s v="California"/>
    <s v="Butte County"/>
    <x v="1"/>
    <n v="11"/>
    <e v="#NAME?"/>
  </r>
  <r>
    <s v="TX501972"/>
    <s v="Maxi Dresses"/>
    <n v="5"/>
    <n v="40"/>
    <n v="200"/>
    <d v="2025-03-13T00:00:00"/>
    <d v="2025-03-14T00:00:00"/>
    <s v="M"/>
    <s v="App"/>
    <n v="4"/>
    <s v="California"/>
    <s v="Contra Costa County"/>
    <x v="3"/>
    <n v="11"/>
    <e v="#NAME?"/>
  </r>
  <r>
    <s v="TX501973"/>
    <s v="Jeans"/>
    <n v="3"/>
    <n v="55.5"/>
    <n v="166.5"/>
    <d v="2025-03-13T00:00:00"/>
    <d v="2025-03-14T00:00:00"/>
    <s v="M"/>
    <s v="Partner App"/>
    <n v="5"/>
    <s v="California"/>
    <s v="Contra Costa County"/>
    <x v="3"/>
    <n v="11"/>
    <e v="#NAME?"/>
  </r>
  <r>
    <s v="TX501974"/>
    <s v="Shorts"/>
    <n v="4"/>
    <n v="20.5"/>
    <n v="82"/>
    <d v="2025-03-13T00:00:00"/>
    <d v="2025-03-17T00:00:00"/>
    <s v="F"/>
    <s v="Partner App"/>
    <n v="4"/>
    <s v="California"/>
    <s v="Contra Costa County"/>
    <x v="5"/>
    <n v="11"/>
    <e v="#NAME?"/>
  </r>
  <r>
    <s v="TX501975"/>
    <s v="Leggings"/>
    <n v="4"/>
    <n v="50.1"/>
    <n v="200.4"/>
    <d v="2025-03-13T00:00:00"/>
    <d v="2025-03-14T00:00:00"/>
    <s v="F"/>
    <s v="Partner App"/>
    <n v="4"/>
    <s v="California"/>
    <s v="Contra Costa County"/>
    <x v="3"/>
    <n v="11"/>
    <e v="#NAME?"/>
  </r>
  <r>
    <s v="TX501976"/>
    <s v="Sundresses"/>
    <n v="1"/>
    <n v="35.9"/>
    <n v="35.9"/>
    <d v="2025-03-13T00:00:00"/>
    <d v="2025-03-15T00:00:00"/>
    <s v="M"/>
    <s v="Website"/>
    <n v="5"/>
    <s v="California"/>
    <s v="Contra Costa County"/>
    <x v="1"/>
    <n v="11"/>
    <e v="#NAME?"/>
  </r>
  <r>
    <s v="TX501977"/>
    <s v="Tote Bags"/>
    <n v="4"/>
    <n v="29.4"/>
    <n v="117.6"/>
    <d v="2025-03-14T00:00:00"/>
    <d v="2025-03-15T00:00:00"/>
    <s v="M"/>
    <s v="Target.com"/>
    <n v="5"/>
    <s v="California"/>
    <s v="Imperial County"/>
    <x v="3"/>
    <n v="11"/>
    <e v="#NAME?"/>
  </r>
  <r>
    <s v="TX501978"/>
    <s v="T-Shirts"/>
    <n v="5"/>
    <n v="29.1"/>
    <n v="145.5"/>
    <d v="2025-03-14T00:00:00"/>
    <d v="2025-03-22T00:00:00"/>
    <s v="O"/>
    <s v="Target.com"/>
    <n v="3"/>
    <s v="California"/>
    <s v="Imperial County"/>
    <x v="9"/>
    <n v="11"/>
    <e v="#NAME?"/>
  </r>
  <r>
    <s v="TX501979"/>
    <s v="T-Shirts"/>
    <n v="3"/>
    <n v="33.5"/>
    <n v="100.5"/>
    <d v="2025-03-14T00:00:00"/>
    <d v="2025-03-26T00:00:00"/>
    <s v="M"/>
    <s v="App"/>
    <n v="5"/>
    <s v="California"/>
    <s v="Kern County"/>
    <x v="13"/>
    <n v="11"/>
    <e v="#NAME?"/>
  </r>
  <r>
    <s v="TX501980"/>
    <s v="Graphic Tees"/>
    <n v="10"/>
    <n v="36"/>
    <n v="360"/>
    <d v="2025-03-14T00:00:00"/>
    <d v="2025-03-14T00:00:00"/>
    <s v="M"/>
    <s v="Instagram"/>
    <n v="5"/>
    <s v="California"/>
    <s v="Los Angeles County"/>
    <x v="7"/>
    <n v="11"/>
    <e v="#NAME?"/>
  </r>
  <r>
    <s v="TX501981"/>
    <s v="Sunglasses"/>
    <n v="3"/>
    <n v="57.3"/>
    <n v="171.89999999999998"/>
    <d v="2025-03-14T00:00:00"/>
    <d v="2025-03-18T00:00:00"/>
    <s v="F"/>
    <s v="App"/>
    <n v="5"/>
    <s v="California"/>
    <s v="Los Angeles County"/>
    <x v="5"/>
    <n v="11"/>
    <e v="#NAME?"/>
  </r>
  <r>
    <s v="TX501982"/>
    <s v="Tank Tops"/>
    <n v="1"/>
    <n v="81.400000000000006"/>
    <n v="81.400000000000006"/>
    <d v="2025-03-14T00:00:00"/>
    <d v="2025-03-15T00:00:00"/>
    <s v="F"/>
    <s v="Target.com"/>
    <n v="5"/>
    <s v="California"/>
    <s v="Los Angeles County"/>
    <x v="3"/>
    <n v="11"/>
    <e v="#NAME?"/>
  </r>
  <r>
    <s v="TX501983"/>
    <s v="Bikinis"/>
    <n v="2"/>
    <n v="35.299999999999997"/>
    <n v="70.599999999999994"/>
    <d v="2025-03-14T00:00:00"/>
    <d v="2025-03-18T00:00:00"/>
    <s v="M"/>
    <s v="App"/>
    <n v="5"/>
    <s v="California"/>
    <s v="Los Angeles County"/>
    <x v="5"/>
    <n v="11"/>
    <e v="#NAME?"/>
  </r>
  <r>
    <s v="TX501984"/>
    <s v="Workout Tops"/>
    <n v="1"/>
    <n v="36.1"/>
    <n v="36.1"/>
    <d v="2025-03-14T00:00:00"/>
    <d v="2025-03-15T00:00:00"/>
    <s v="F"/>
    <s v="Partner App"/>
    <n v="4"/>
    <s v="California"/>
    <s v="Los Angeles County"/>
    <x v="3"/>
    <n v="11"/>
    <e v="#NAME?"/>
  </r>
  <r>
    <s v="TX501985"/>
    <s v="Tank Tops"/>
    <n v="2"/>
    <n v="36.700000000000003"/>
    <n v="73.400000000000006"/>
    <d v="2025-03-14T00:00:00"/>
    <d v="2025-03-16T00:00:00"/>
    <s v="F"/>
    <s v="App"/>
    <n v="5"/>
    <s v="California"/>
    <s v="Los Angeles County"/>
    <x v="1"/>
    <n v="11"/>
    <e v="#NAME?"/>
  </r>
  <r>
    <s v="TX501986"/>
    <s v="Bikinis"/>
    <n v="1"/>
    <n v="20.9"/>
    <n v="20.9"/>
    <d v="2025-03-14T00:00:00"/>
    <d v="2025-03-16T00:00:00"/>
    <s v="F"/>
    <s v="App"/>
    <n v="2"/>
    <s v="California"/>
    <s v="Los Angeles County"/>
    <x v="1"/>
    <n v="11"/>
    <e v="#NAME?"/>
  </r>
  <r>
    <s v="TX501987"/>
    <s v="Casual Dresses"/>
    <n v="3"/>
    <n v="58.8"/>
    <n v="176.39999999999998"/>
    <d v="2025-03-14T00:00:00"/>
    <d v="2025-03-18T00:00:00"/>
    <s v="M"/>
    <s v="App"/>
    <n v="5"/>
    <s v="California"/>
    <s v="Orange County"/>
    <x v="5"/>
    <n v="11"/>
    <e v="#NAME?"/>
  </r>
  <r>
    <s v="TX501988"/>
    <s v="Sneakers"/>
    <n v="3"/>
    <n v="97.6"/>
    <n v="292.79999999999995"/>
    <d v="2025-03-15T00:00:00"/>
    <d v="2025-03-17T00:00:00"/>
    <s v=""/>
    <s v="App"/>
    <n v="4"/>
    <s v="California"/>
    <s v="Sacramento County"/>
    <x v="1"/>
    <n v="11"/>
    <e v="#NAME?"/>
  </r>
  <r>
    <s v="TX501989"/>
    <s v="Tank Tops"/>
    <n v="2"/>
    <n v="58.7"/>
    <n v="117.4"/>
    <d v="2025-03-15T00:00:00"/>
    <d v="2025-03-18T00:00:00"/>
    <s v="F"/>
    <s v="App"/>
    <n v="3"/>
    <s v="California"/>
    <s v="Sacramento County"/>
    <x v="2"/>
    <n v="11"/>
    <e v="#NAME?"/>
  </r>
  <r>
    <s v="TX501990"/>
    <s v="Jeans"/>
    <n v="5"/>
    <n v="71.900000000000006"/>
    <n v="359.5"/>
    <d v="2025-03-15T00:00:00"/>
    <d v="2025-03-16T00:00:00"/>
    <s v=""/>
    <s v="App"/>
    <n v="3"/>
    <s v="California"/>
    <s v="Sacramento County"/>
    <x v="3"/>
    <n v="11"/>
    <e v="#NAME?"/>
  </r>
  <r>
    <s v="TX501991"/>
    <s v="Tank Tops"/>
    <n v="2"/>
    <n v="62.4"/>
    <n v="124.8"/>
    <d v="2025-03-15T00:00:00"/>
    <d v="2025-03-17T00:00:00"/>
    <s v=""/>
    <s v="App"/>
    <n v="3"/>
    <s v="California"/>
    <s v="San Diego County"/>
    <x v="1"/>
    <n v="11"/>
    <e v="#NAME?"/>
  </r>
  <r>
    <s v="TX501992"/>
    <s v="Jeans"/>
    <n v="16"/>
    <n v="53.8"/>
    <n v="860.8"/>
    <d v="2025-03-15T00:00:00"/>
    <d v="2025-03-16T00:00:00"/>
    <s v="F"/>
    <s v="Website"/>
    <n v="4"/>
    <s v="California"/>
    <s v="San Diego County"/>
    <x v="3"/>
    <n v="11"/>
    <e v="#NAME?"/>
  </r>
  <r>
    <s v="TX501993"/>
    <s v="Sundresses"/>
    <n v="1"/>
    <n v="43.8"/>
    <n v="43.8"/>
    <d v="2025-03-15T00:00:00"/>
    <d v="2025-03-22T00:00:00"/>
    <s v="F"/>
    <s v="App"/>
    <n v="5"/>
    <s v="California"/>
    <s v="San Diego County"/>
    <x v="6"/>
    <n v="11"/>
    <e v="#NAME?"/>
  </r>
  <r>
    <s v="TX501994"/>
    <s v="Sandals"/>
    <n v="3"/>
    <n v="53.6"/>
    <n v="160.80000000000001"/>
    <d v="2025-03-15T00:00:00"/>
    <d v="2025-03-16T00:00:00"/>
    <s v="M"/>
    <s v="Instagram"/>
    <n v="4"/>
    <s v="California"/>
    <s v="San Diego County"/>
    <x v="3"/>
    <n v="11"/>
    <e v="#NAME?"/>
  </r>
  <r>
    <s v="TX501995"/>
    <s v="Casual Dresses"/>
    <n v="2"/>
    <n v="84.3"/>
    <n v="168.6"/>
    <d v="2025-03-15T00:00:00"/>
    <d v="2025-03-18T00:00:00"/>
    <s v="M"/>
    <s v="Partner App"/>
    <n v="3"/>
    <s v="California"/>
    <s v="San Diego County"/>
    <x v="2"/>
    <n v="11"/>
    <e v="#NAME?"/>
  </r>
  <r>
    <s v="TX501996"/>
    <s v="Jeans"/>
    <n v="9"/>
    <n v="117.9"/>
    <n v="1061.1000000000001"/>
    <d v="2025-03-15T00:00:00"/>
    <d v="2025-03-16T00:00:00"/>
    <s v="F"/>
    <s v="Website"/>
    <n v="5"/>
    <s v="California"/>
    <s v="San Diego County"/>
    <x v="3"/>
    <n v="11"/>
    <e v="#NAME?"/>
  </r>
  <r>
    <s v="TX501997"/>
    <s v="Graphic Tees"/>
    <n v="8"/>
    <n v="30"/>
    <n v="240"/>
    <d v="2025-03-15T00:00:00"/>
    <d v="2025-03-16T00:00:00"/>
    <s v="F"/>
    <s v="Website"/>
    <n v="4"/>
    <s v="California"/>
    <s v="San Joaquin County"/>
    <x v="3"/>
    <n v="11"/>
    <e v="#NAME?"/>
  </r>
  <r>
    <s v="TX501998"/>
    <s v="Baseball Caps"/>
    <n v="3"/>
    <n v="37.299999999999997"/>
    <n v="111.89999999999999"/>
    <d v="2025-03-15T00:00:00"/>
    <d v="2025-03-16T00:00:00"/>
    <s v="M"/>
    <s v="Target.com"/>
    <n v="4"/>
    <s v="California"/>
    <s v="San Mateo County"/>
    <x v="3"/>
    <n v="11"/>
    <e v="#NAME?"/>
  </r>
  <r>
    <s v="TX501999"/>
    <s v="Graphic Tees"/>
    <n v="9"/>
    <n v="25.1"/>
    <n v="225.9"/>
    <d v="2025-03-15T00:00:00"/>
    <d v="2025-03-17T00:00:00"/>
    <s v="M"/>
    <s v="Website"/>
    <n v="5"/>
    <s v="California"/>
    <s v="Santa Clara County"/>
    <x v="1"/>
    <n v="11"/>
    <e v="#NAME?"/>
  </r>
  <r>
    <s v="TX502000"/>
    <s v="T-Shirts"/>
    <n v="11"/>
    <n v="36"/>
    <n v="396"/>
    <d v="2025-03-15T00:00:00"/>
    <d v="2025-03-25T00:00:00"/>
    <s v="M"/>
    <s v="Website"/>
    <n v="4"/>
    <s v="California"/>
    <s v="Sonoma County"/>
    <x v="14"/>
    <n v="11"/>
    <e v="#NAME?"/>
  </r>
  <r>
    <s v="TX502001"/>
    <s v="Sunglasses"/>
    <n v="3"/>
    <n v="48.5"/>
    <n v="145.5"/>
    <d v="2025-03-15T00:00:00"/>
    <d v="2025-03-19T00:00:00"/>
    <s v="F"/>
    <s v="Website"/>
    <n v="4"/>
    <s v="California"/>
    <s v="Stanislaus County"/>
    <x v="5"/>
    <n v="11"/>
    <e v="#NAME?"/>
  </r>
  <r>
    <s v="TX502002"/>
    <s v="Pajama Sets"/>
    <n v="6"/>
    <n v="21.1"/>
    <n v="126.60000000000001"/>
    <d v="2025-03-15T00:00:00"/>
    <d v="2025-03-16T00:00:00"/>
    <s v="M"/>
    <s v="Website"/>
    <n v="5"/>
    <s v="California"/>
    <s v="Alameda County"/>
    <x v="3"/>
    <n v="11"/>
    <e v="#NAME?"/>
  </r>
  <r>
    <s v="TX502003"/>
    <s v="Crop Tops"/>
    <n v="14"/>
    <n v="43.2"/>
    <n v="604.80000000000007"/>
    <d v="2025-03-15T00:00:00"/>
    <d v="2025-03-16T00:00:00"/>
    <s v="O"/>
    <s v="App"/>
    <n v="3"/>
    <s v="California"/>
    <s v="Alameda County"/>
    <x v="3"/>
    <n v="11"/>
    <e v="#NAME?"/>
  </r>
  <r>
    <s v="TX502004"/>
    <s v="Sundresses"/>
    <n v="2"/>
    <n v="21.1"/>
    <n v="42.2"/>
    <d v="2025-03-15T00:00:00"/>
    <d v="2025-03-16T00:00:00"/>
    <s v=""/>
    <s v="Instagram"/>
    <n v="3"/>
    <s v="California"/>
    <s v="Alameda County"/>
    <x v="3"/>
    <n v="11"/>
    <e v="#NAME?"/>
  </r>
  <r>
    <s v="TX502005"/>
    <s v="Jeans"/>
    <n v="4"/>
    <n v="41.3"/>
    <n v="165.2"/>
    <d v="2025-03-15T00:00:00"/>
    <d v="2025-03-17T00:00:00"/>
    <s v="F"/>
    <s v="Instagram"/>
    <n v="5"/>
    <s v="California"/>
    <s v="Contra Costa County"/>
    <x v="1"/>
    <n v="11"/>
    <e v="#NAME?"/>
  </r>
  <r>
    <s v="TX502006"/>
    <s v="T-Shirts"/>
    <n v="2"/>
    <n v="15.3"/>
    <n v="30.6"/>
    <d v="2025-03-15T00:00:00"/>
    <d v="2025-03-18T00:00:00"/>
    <s v=""/>
    <s v="Target.com"/>
    <n v="5"/>
    <s v="California"/>
    <s v="Contra Costa County"/>
    <x v="2"/>
    <n v="11"/>
    <e v="#NAME?"/>
  </r>
  <r>
    <s v="TX502007"/>
    <s v="Tank Tops"/>
    <n v="1"/>
    <n v="54.6"/>
    <n v="54.6"/>
    <d v="2025-03-15T00:00:00"/>
    <d v="2025-03-17T00:00:00"/>
    <s v="M"/>
    <s v="Website"/>
    <n v="3"/>
    <s v="California"/>
    <s v="Fresno County"/>
    <x v="1"/>
    <n v="11"/>
    <e v="#NAME?"/>
  </r>
  <r>
    <s v="TX502008"/>
    <s v="T-Shirts"/>
    <n v="1"/>
    <n v="15.9"/>
    <n v="15.9"/>
    <d v="2025-03-15T00:00:00"/>
    <d v="2025-03-16T00:00:00"/>
    <s v="M"/>
    <s v="App"/>
    <n v="3"/>
    <s v="California"/>
    <s v="Kern County"/>
    <x v="3"/>
    <n v="11"/>
    <e v="#NAME?"/>
  </r>
  <r>
    <s v="TX502009"/>
    <s v="Sundresses"/>
    <n v="1"/>
    <n v="50.2"/>
    <n v="50.2"/>
    <d v="2025-03-15T00:00:00"/>
    <d v="2025-03-17T00:00:00"/>
    <s v="F"/>
    <s v="Instagram"/>
    <n v="5"/>
    <s v="California"/>
    <s v="Kings County"/>
    <x v="1"/>
    <n v="11"/>
    <e v="#NAME?"/>
  </r>
  <r>
    <s v="TX502010"/>
    <s v="Maxi Dresses"/>
    <n v="4"/>
    <n v="85.1"/>
    <n v="340.4"/>
    <d v="2025-03-15T00:00:00"/>
    <d v="2025-03-16T00:00:00"/>
    <s v="F"/>
    <s v="Instagram"/>
    <n v="2"/>
    <s v="California"/>
    <s v="Kings County"/>
    <x v="3"/>
    <n v="11"/>
    <e v="#NAME?"/>
  </r>
  <r>
    <s v="TX502011"/>
    <s v="Maxi Dresses"/>
    <n v="2"/>
    <n v="41.4"/>
    <n v="82.8"/>
    <d v="2025-03-15T00:00:00"/>
    <d v="2025-03-16T00:00:00"/>
    <s v="F"/>
    <s v="App"/>
    <n v="5"/>
    <s v="California"/>
    <s v="Los Angeles County"/>
    <x v="3"/>
    <n v="11"/>
    <e v="#NAME?"/>
  </r>
  <r>
    <s v="TX502012"/>
    <s v="Graphic Tees"/>
    <n v="7"/>
    <n v="32.700000000000003"/>
    <n v="228.90000000000003"/>
    <d v="2025-03-15T00:00:00"/>
    <d v="2025-03-16T00:00:00"/>
    <s v="F"/>
    <s v="Target.com"/>
    <n v="3"/>
    <s v="California"/>
    <s v="Los Angeles County"/>
    <x v="3"/>
    <n v="11"/>
    <e v="#NAME?"/>
  </r>
  <r>
    <s v="TX502013"/>
    <s v="Graphic Tees"/>
    <n v="2"/>
    <n v="41.6"/>
    <n v="83.2"/>
    <d v="2025-03-15T00:00:00"/>
    <d v="2025-03-17T00:00:00"/>
    <s v="M"/>
    <s v="Partner App"/>
    <n v="3"/>
    <s v="California"/>
    <s v="Los Angeles County"/>
    <x v="1"/>
    <n v="11"/>
    <e v="#NAME?"/>
  </r>
  <r>
    <s v="TX502014"/>
    <s v="Sandals"/>
    <n v="4"/>
    <n v="64.8"/>
    <n v="259.2"/>
    <d v="2025-03-15T00:00:00"/>
    <d v="2025-03-16T00:00:00"/>
    <s v=""/>
    <s v="Target.com"/>
    <n v="4"/>
    <s v="California"/>
    <s v="Los Angeles County"/>
    <x v="3"/>
    <n v="11"/>
    <e v="#NAME?"/>
  </r>
  <r>
    <s v="TX502015"/>
    <s v="Crop Tops"/>
    <n v="2"/>
    <n v="33.6"/>
    <n v="67.2"/>
    <d v="2025-03-15T00:00:00"/>
    <d v="2025-03-16T00:00:00"/>
    <s v="M"/>
    <s v="App"/>
    <n v="5"/>
    <s v="California"/>
    <s v="Los Angeles County"/>
    <x v="3"/>
    <n v="11"/>
    <e v="#NAME?"/>
  </r>
  <r>
    <s v="TX502016"/>
    <s v="Jeans"/>
    <n v="3"/>
    <n v="100.7"/>
    <n v="302.10000000000002"/>
    <d v="2025-03-15T00:00:00"/>
    <d v="2025-03-16T00:00:00"/>
    <s v=""/>
    <s v="Website"/>
    <n v="4"/>
    <s v="California"/>
    <s v="Los Angeles County"/>
    <x v="3"/>
    <n v="11"/>
    <e v="#NAME?"/>
  </r>
  <r>
    <s v="TX502017"/>
    <s v="Graphic Tees"/>
    <n v="2"/>
    <n v="49.3"/>
    <n v="98.6"/>
    <d v="2025-03-16T00:00:00"/>
    <d v="2025-03-18T00:00:00"/>
    <s v="F"/>
    <s v="Partner App"/>
    <n v="5"/>
    <s v="California"/>
    <s v="Los Angeles County"/>
    <x v="1"/>
    <n v="12"/>
    <e v="#NAME?"/>
  </r>
  <r>
    <s v="TX502018"/>
    <s v="Sneakers"/>
    <n v="6"/>
    <n v="97"/>
    <n v="582"/>
    <d v="2025-03-16T00:00:00"/>
    <d v="2025-03-19T00:00:00"/>
    <s v="M"/>
    <s v="Target.com"/>
    <n v="5"/>
    <s v="California"/>
    <s v="Los Angeles County"/>
    <x v="2"/>
    <n v="12"/>
    <e v="#NAME?"/>
  </r>
  <r>
    <s v="TX502019"/>
    <s v="Shorts"/>
    <n v="6"/>
    <n v="25.2"/>
    <n v="151.19999999999999"/>
    <d v="2025-03-16T00:00:00"/>
    <d v="2025-03-19T00:00:00"/>
    <s v="F"/>
    <s v="Partner App"/>
    <n v="5"/>
    <s v="California"/>
    <s v="Los Angeles County"/>
    <x v="2"/>
    <n v="12"/>
    <e v="#NAME?"/>
  </r>
  <r>
    <s v="TX502020"/>
    <s v="Shorts"/>
    <n v="11"/>
    <n v="12.2"/>
    <n v="134.19999999999999"/>
    <d v="2025-03-16T00:00:00"/>
    <d v="2025-03-17T00:00:00"/>
    <s v=""/>
    <s v="App"/>
    <n v="3"/>
    <s v="California"/>
    <s v="Los Angeles County"/>
    <x v="3"/>
    <n v="12"/>
    <e v="#NAME?"/>
  </r>
  <r>
    <s v="TX502021"/>
    <s v="T-Shirts"/>
    <n v="7"/>
    <n v="38.799999999999997"/>
    <n v="271.59999999999997"/>
    <d v="2025-03-16T00:00:00"/>
    <d v="2025-03-18T00:00:00"/>
    <s v="F"/>
    <s v="Website"/>
    <n v="3"/>
    <s v="California"/>
    <s v="Riverside County"/>
    <x v="1"/>
    <n v="12"/>
    <e v="#NAME?"/>
  </r>
  <r>
    <s v="TX502022"/>
    <s v="Sneakers"/>
    <n v="4"/>
    <n v="53.2"/>
    <n v="212.8"/>
    <d v="2025-03-16T00:00:00"/>
    <d v="2025-03-17T00:00:00"/>
    <s v="M"/>
    <s v="App"/>
    <n v="5"/>
    <s v="California"/>
    <s v="San Diego County"/>
    <x v="3"/>
    <n v="12"/>
    <e v="#NAME?"/>
  </r>
  <r>
    <s v="TX502023"/>
    <s v="Jeans"/>
    <n v="7"/>
    <n v="151"/>
    <n v="1057"/>
    <d v="2025-03-16T00:00:00"/>
    <d v="2025-03-17T00:00:00"/>
    <s v="O"/>
    <s v="Website"/>
    <n v="3"/>
    <s v="California"/>
    <s v="San Diego County"/>
    <x v="3"/>
    <n v="12"/>
    <e v="#NAME?"/>
  </r>
  <r>
    <s v="TX502024"/>
    <s v="Tank Tops"/>
    <n v="2"/>
    <n v="37.1"/>
    <n v="74.2"/>
    <d v="2025-03-16T00:00:00"/>
    <d v="2025-03-17T00:00:00"/>
    <s v="F"/>
    <s v="Partner App"/>
    <n v="4"/>
    <s v="California"/>
    <s v="San Diego County"/>
    <x v="3"/>
    <n v="12"/>
    <e v="#NAME?"/>
  </r>
  <r>
    <s v="TX502025"/>
    <s v="Sandals"/>
    <n v="2"/>
    <n v="38.9"/>
    <n v="77.8"/>
    <d v="2025-03-16T00:00:00"/>
    <d v="2025-03-17T00:00:00"/>
    <s v="M"/>
    <s v="Partner App"/>
    <n v="4"/>
    <s v="California"/>
    <s v="San Diego County"/>
    <x v="3"/>
    <n v="12"/>
    <e v="#NAME?"/>
  </r>
  <r>
    <s v="TX502026"/>
    <s v="Bikinis"/>
    <n v="2"/>
    <n v="35.200000000000003"/>
    <n v="70.400000000000006"/>
    <d v="2025-03-16T00:00:00"/>
    <d v="2025-03-17T00:00:00"/>
    <s v="M"/>
    <s v="App"/>
    <n v="5"/>
    <s v="California"/>
    <s v="San Francisco"/>
    <x v="3"/>
    <n v="12"/>
    <e v="#NAME?"/>
  </r>
  <r>
    <s v="TX502027"/>
    <s v="Shorts"/>
    <n v="2"/>
    <n v="22.3"/>
    <n v="44.6"/>
    <d v="2025-03-16T00:00:00"/>
    <d v="2025-03-18T00:00:00"/>
    <s v="F"/>
    <s v="Website"/>
    <n v="4"/>
    <s v="California"/>
    <s v="San Mateo County"/>
    <x v="1"/>
    <n v="12"/>
    <e v="#NAME?"/>
  </r>
  <r>
    <s v="TX502028"/>
    <s v="Sundresses"/>
    <n v="1"/>
    <n v="43.3"/>
    <n v="43.3"/>
    <d v="2025-03-16T00:00:00"/>
    <d v="2025-03-19T00:00:00"/>
    <s v="F"/>
    <s v="App"/>
    <n v="5"/>
    <s v="California"/>
    <s v="Santa Clara County"/>
    <x v="2"/>
    <n v="12"/>
    <e v="#NAME?"/>
  </r>
  <r>
    <s v="TX502029"/>
    <s v="Jeans"/>
    <n v="6"/>
    <n v="75.900000000000006"/>
    <n v="455.40000000000003"/>
    <d v="2025-03-16T00:00:00"/>
    <d v="2025-03-22T00:00:00"/>
    <s v="M"/>
    <s v="App"/>
    <n v="4"/>
    <s v="California"/>
    <s v="Santa Clara County"/>
    <x v="4"/>
    <n v="12"/>
    <e v="#NAME?"/>
  </r>
  <r>
    <s v="TX502030"/>
    <s v="Jeans"/>
    <n v="3"/>
    <n v="78.7"/>
    <n v="236.10000000000002"/>
    <d v="2025-03-16T00:00:00"/>
    <d v="2025-03-20T00:00:00"/>
    <s v="F"/>
    <s v="Target.com"/>
    <n v="3"/>
    <s v="California"/>
    <s v="Santa Clara County"/>
    <x v="5"/>
    <n v="12"/>
    <e v="#NAME?"/>
  </r>
  <r>
    <s v="TX502031"/>
    <s v="Tank Tops"/>
    <n v="1"/>
    <n v="66.3"/>
    <n v="66.3"/>
    <d v="2025-03-16T00:00:00"/>
    <d v="2025-03-20T00:00:00"/>
    <s v="F"/>
    <s v="App"/>
    <n v="5"/>
    <s v="California"/>
    <s v="Stanislaus County"/>
    <x v="5"/>
    <n v="12"/>
    <e v="#NAME?"/>
  </r>
  <r>
    <s v="TX502032"/>
    <s v="T-Shirts"/>
    <n v="2"/>
    <n v="33.6"/>
    <n v="67.2"/>
    <d v="2025-03-16T00:00:00"/>
    <d v="2025-03-16T00:00:00"/>
    <s v="M"/>
    <s v="App"/>
    <n v="3"/>
    <s v="California"/>
    <s v="Stanislaus County"/>
    <x v="7"/>
    <n v="12"/>
    <e v="#NAME?"/>
  </r>
  <r>
    <s v="TX502033"/>
    <s v="Sneakers"/>
    <n v="7"/>
    <n v="61.4"/>
    <n v="429.8"/>
    <d v="2025-03-16T00:00:00"/>
    <d v="2025-03-17T00:00:00"/>
    <s v="M"/>
    <s v="Partner App"/>
    <n v="4"/>
    <s v="California"/>
    <s v="Stanislaus County"/>
    <x v="3"/>
    <n v="12"/>
    <e v="#NAME?"/>
  </r>
  <r>
    <s v="TX502034"/>
    <s v="T-Shirts"/>
    <n v="2"/>
    <n v="17.5"/>
    <n v="35"/>
    <d v="2025-03-16T00:00:00"/>
    <d v="2025-03-19T00:00:00"/>
    <s v="F"/>
    <s v="App"/>
    <n v="4"/>
    <s v="California"/>
    <s v="Alameda County"/>
    <x v="2"/>
    <n v="12"/>
    <e v="#NAME?"/>
  </r>
  <r>
    <s v="TX502035"/>
    <s v="T-Shirts"/>
    <n v="2"/>
    <n v="32.5"/>
    <n v="65"/>
    <d v="2025-03-16T00:00:00"/>
    <d v="2025-03-19T00:00:00"/>
    <s v="F"/>
    <s v="Website"/>
    <n v="4"/>
    <s v="California"/>
    <s v="Alameda County"/>
    <x v="2"/>
    <n v="12"/>
    <e v="#NAME?"/>
  </r>
  <r>
    <s v="TX502036"/>
    <s v="Graphic Tees"/>
    <n v="1"/>
    <n v="34.6"/>
    <n v="34.6"/>
    <d v="2025-03-16T00:00:00"/>
    <d v="2025-03-17T00:00:00"/>
    <s v="F"/>
    <s v="Partner App"/>
    <n v="4"/>
    <s v="California"/>
    <s v="Alameda County"/>
    <x v="3"/>
    <n v="12"/>
    <e v="#NAME?"/>
  </r>
  <r>
    <s v="TX502037"/>
    <s v="Sneakers"/>
    <n v="1"/>
    <n v="75.900000000000006"/>
    <n v="75.900000000000006"/>
    <d v="2025-03-16T00:00:00"/>
    <d v="2025-03-16T00:00:00"/>
    <s v="M"/>
    <s v="Website"/>
    <n v="5"/>
    <s v="California"/>
    <s v="Alameda County"/>
    <x v="7"/>
    <n v="12"/>
    <e v="#NAME?"/>
  </r>
  <r>
    <s v="TX502038"/>
    <s v="Tank Tops"/>
    <n v="3"/>
    <n v="42.1"/>
    <n v="126.30000000000001"/>
    <d v="2025-03-16T00:00:00"/>
    <d v="2025-03-19T00:00:00"/>
    <s v="M"/>
    <s v="Website"/>
    <n v="3"/>
    <s v="California"/>
    <s v="Alameda County"/>
    <x v="2"/>
    <n v="12"/>
    <e v="#NAME?"/>
  </r>
  <r>
    <s v="TX502039"/>
    <s v="Hoodies &amp; Sweatshirts"/>
    <n v="3"/>
    <n v="65.3"/>
    <n v="195.89999999999998"/>
    <d v="2025-03-16T00:00:00"/>
    <d v="2025-03-23T00:00:00"/>
    <s v="M"/>
    <s v="App"/>
    <n v="4"/>
    <s v="California"/>
    <s v="Contra Costa County"/>
    <x v="6"/>
    <n v="12"/>
    <e v="#NAME?"/>
  </r>
  <r>
    <s v="TX502040"/>
    <s v="Crop Tops"/>
    <n v="1"/>
    <n v="20.6"/>
    <n v="20.6"/>
    <d v="2025-03-16T00:00:00"/>
    <d v="2025-03-19T00:00:00"/>
    <s v="M"/>
    <s v="Instagram"/>
    <n v="4"/>
    <s v="California"/>
    <s v="El Dorado County"/>
    <x v="2"/>
    <n v="12"/>
    <e v="#NAME?"/>
  </r>
  <r>
    <s v="TX502041"/>
    <s v="T-Shirts"/>
    <n v="7"/>
    <n v="16.5"/>
    <n v="115.5"/>
    <d v="2025-03-16T00:00:00"/>
    <d v="2025-03-17T00:00:00"/>
    <s v="M"/>
    <s v="Website"/>
    <n v="3"/>
    <s v="California"/>
    <s v="Fresno County"/>
    <x v="3"/>
    <n v="12"/>
    <e v="#NAME?"/>
  </r>
  <r>
    <s v="TX502042"/>
    <s v="Sunglasses"/>
    <n v="10"/>
    <n v="36.200000000000003"/>
    <n v="362"/>
    <d v="2025-03-16T00:00:00"/>
    <d v="2025-03-18T00:00:00"/>
    <s v="M"/>
    <s v="App"/>
    <n v="5"/>
    <s v="California"/>
    <s v="Fresno County"/>
    <x v="1"/>
    <n v="12"/>
    <e v="#NAME?"/>
  </r>
  <r>
    <s v="TX502043"/>
    <s v="Jeans"/>
    <n v="1"/>
    <n v="53.2"/>
    <n v="53.2"/>
    <d v="2025-03-16T00:00:00"/>
    <d v="2025-03-17T00:00:00"/>
    <s v="F"/>
    <s v="App"/>
    <n v="3"/>
    <s v="California"/>
    <s v="Kern County"/>
    <x v="3"/>
    <n v="12"/>
    <e v="#NAME?"/>
  </r>
  <r>
    <s v="TX502044"/>
    <s v="Sneakers"/>
    <n v="14"/>
    <n v="176"/>
    <n v="2464"/>
    <d v="2025-03-16T00:00:00"/>
    <d v="2025-03-17T00:00:00"/>
    <s v="F"/>
    <s v="App"/>
    <n v="3"/>
    <s v="California"/>
    <s v="Los Angeles County"/>
    <x v="3"/>
    <n v="12"/>
    <e v="#NAME?"/>
  </r>
  <r>
    <s v="TX502045"/>
    <s v="Tank Tops"/>
    <n v="1"/>
    <n v="52.4"/>
    <n v="52.4"/>
    <d v="2025-03-16T00:00:00"/>
    <d v="2025-03-17T00:00:00"/>
    <s v="M"/>
    <s v="Website"/>
    <n v="4"/>
    <s v="California"/>
    <s v="Los Angeles County"/>
    <x v="3"/>
    <n v="12"/>
    <e v="#NAME?"/>
  </r>
  <r>
    <s v="TX502046"/>
    <s v="Bikinis"/>
    <n v="3"/>
    <n v="48.2"/>
    <n v="144.60000000000002"/>
    <d v="2025-03-16T00:00:00"/>
    <d v="2025-03-17T00:00:00"/>
    <s v="F"/>
    <s v="Website"/>
    <n v="5"/>
    <s v="California"/>
    <s v="Los Angeles County"/>
    <x v="3"/>
    <n v="12"/>
    <e v="#NAME?"/>
  </r>
  <r>
    <s v="TX502047"/>
    <s v="Crop Tops"/>
    <n v="1"/>
    <n v="51.6"/>
    <n v="51.6"/>
    <d v="2025-03-16T00:00:00"/>
    <d v="2025-03-20T00:00:00"/>
    <s v="F"/>
    <s v="Target.com"/>
    <n v="3"/>
    <s v="California"/>
    <s v="Los Angeles County"/>
    <x v="5"/>
    <n v="12"/>
    <e v="#NAME?"/>
  </r>
  <r>
    <s v="TX502048"/>
    <s v="Shorts"/>
    <n v="4"/>
    <n v="33.700000000000003"/>
    <n v="134.80000000000001"/>
    <d v="2025-03-17T00:00:00"/>
    <d v="2025-03-18T00:00:00"/>
    <s v="M"/>
    <s v="App"/>
    <n v="4"/>
    <s v="California"/>
    <s v="Los Angeles County"/>
    <x v="3"/>
    <n v="12"/>
    <e v="#NAME?"/>
  </r>
  <r>
    <s v="TX502049"/>
    <s v="Graphic Tees"/>
    <n v="10"/>
    <n v="36.299999999999997"/>
    <n v="363"/>
    <d v="2025-03-17T00:00:00"/>
    <d v="2025-03-19T00:00:00"/>
    <s v="F"/>
    <s v="Partner App"/>
    <n v="3"/>
    <s v="California"/>
    <s v="Los Angeles County"/>
    <x v="1"/>
    <n v="12"/>
    <e v="#NAME?"/>
  </r>
  <r>
    <s v="TX502050"/>
    <s v="T-Shirts"/>
    <n v="1"/>
    <n v="23.4"/>
    <n v="23.4"/>
    <d v="2025-03-17T00:00:00"/>
    <d v="2025-03-22T00:00:00"/>
    <s v="F"/>
    <s v="Website"/>
    <n v="5"/>
    <s v="California"/>
    <s v="Los Angeles County"/>
    <x v="0"/>
    <n v="12"/>
    <e v="#NAME?"/>
  </r>
  <r>
    <s v="TX502051"/>
    <s v="Crop Tops"/>
    <n v="8"/>
    <n v="56.6"/>
    <n v="452.8"/>
    <d v="2025-03-17T00:00:00"/>
    <d v="2025-03-19T00:00:00"/>
    <s v="F"/>
    <s v="Website"/>
    <n v="4"/>
    <s v="California"/>
    <s v="Los Angeles County"/>
    <x v="1"/>
    <n v="12"/>
    <e v="#NAME?"/>
  </r>
  <r>
    <s v="TX502052"/>
    <s v="Crop Tops"/>
    <n v="2"/>
    <n v="26.8"/>
    <n v="53.6"/>
    <d v="2025-03-17T00:00:00"/>
    <d v="2025-03-18T00:00:00"/>
    <s v="M"/>
    <s v="App"/>
    <n v="4"/>
    <s v="California"/>
    <s v="Nevada County"/>
    <x v="3"/>
    <n v="12"/>
    <e v="#NAME?"/>
  </r>
  <r>
    <s v="TX502053"/>
    <s v="Shorts"/>
    <n v="3"/>
    <n v="11.3"/>
    <n v="33.900000000000006"/>
    <d v="2025-03-17T00:00:00"/>
    <d v="2025-03-19T00:00:00"/>
    <s v="M"/>
    <s v="Target.com"/>
    <n v="4"/>
    <s v="California"/>
    <s v="Orange County"/>
    <x v="1"/>
    <n v="12"/>
    <e v="#NAME?"/>
  </r>
  <r>
    <s v="TX502054"/>
    <s v="Jeans"/>
    <n v="3"/>
    <n v="60.1"/>
    <n v="180.3"/>
    <d v="2025-03-17T00:00:00"/>
    <d v="2025-03-20T00:00:00"/>
    <s v="F"/>
    <s v="App"/>
    <n v="4"/>
    <s v="California"/>
    <s v="San Bernardino County"/>
    <x v="2"/>
    <n v="12"/>
    <e v="#NAME?"/>
  </r>
  <r>
    <s v="TX502055"/>
    <s v="Shorts"/>
    <n v="11"/>
    <n v="27.7"/>
    <n v="304.7"/>
    <d v="2025-03-17T00:00:00"/>
    <d v="2025-03-22T00:00:00"/>
    <s v="F"/>
    <s v="App"/>
    <n v="4"/>
    <s v="California"/>
    <s v="San Diego County"/>
    <x v="0"/>
    <n v="12"/>
    <e v="#NAME?"/>
  </r>
  <r>
    <s v="TX502056"/>
    <s v="Crop Tops"/>
    <n v="1"/>
    <n v="71.400000000000006"/>
    <n v="71.400000000000006"/>
    <d v="2025-03-17T00:00:00"/>
    <d v="2025-03-20T00:00:00"/>
    <s v="M"/>
    <s v="App"/>
    <n v="5"/>
    <s v="California"/>
    <s v="San Diego County"/>
    <x v="2"/>
    <n v="12"/>
    <e v="#NAME?"/>
  </r>
  <r>
    <s v="TX502057"/>
    <s v="Sneakers"/>
    <n v="2"/>
    <n v="66.7"/>
    <n v="133.4"/>
    <d v="2025-03-17T00:00:00"/>
    <d v="2025-03-18T00:00:00"/>
    <s v="F"/>
    <s v="App"/>
    <n v="5"/>
    <s v="California"/>
    <s v="San Diego County"/>
    <x v="3"/>
    <n v="12"/>
    <e v="#NAME?"/>
  </r>
  <r>
    <s v="TX502058"/>
    <s v="Tote Bags"/>
    <n v="5"/>
    <n v="39.1"/>
    <n v="195.5"/>
    <d v="2025-03-17T00:00:00"/>
    <d v="2025-03-18T00:00:00"/>
    <s v="F"/>
    <s v="App"/>
    <n v="4"/>
    <s v="California"/>
    <s v="San Diego County"/>
    <x v="3"/>
    <n v="12"/>
    <e v="#NAME?"/>
  </r>
  <r>
    <s v="TX502059"/>
    <s v="T-Shirts"/>
    <n v="4"/>
    <n v="24.9"/>
    <n v="99.6"/>
    <d v="2025-03-17T00:00:00"/>
    <d v="2025-03-22T00:00:00"/>
    <s v="M"/>
    <s v="Website"/>
    <n v="5"/>
    <s v="California"/>
    <s v="San Diego County"/>
    <x v="0"/>
    <n v="12"/>
    <e v="#NAME?"/>
  </r>
  <r>
    <s v="TX502060"/>
    <s v="Sandals"/>
    <n v="5"/>
    <n v="29.2"/>
    <n v="146"/>
    <d v="2025-03-17T00:00:00"/>
    <d v="2025-03-18T00:00:00"/>
    <s v="M"/>
    <s v="App"/>
    <n v="5"/>
    <s v="California"/>
    <s v="San Francisco"/>
    <x v="3"/>
    <n v="12"/>
    <e v="#NAME?"/>
  </r>
  <r>
    <s v="TX502061"/>
    <s v="Tote Bags"/>
    <n v="14"/>
    <n v="28.3"/>
    <n v="396.2"/>
    <d v="2025-03-17T00:00:00"/>
    <d v="2025-03-19T00:00:00"/>
    <s v="F"/>
    <s v="Website"/>
    <n v="4"/>
    <s v="California"/>
    <s v="Santa Clara County"/>
    <x v="1"/>
    <n v="12"/>
    <e v="#NAME?"/>
  </r>
  <r>
    <s v="TX502062"/>
    <s v="Sundresses"/>
    <n v="3"/>
    <n v="37.799999999999997"/>
    <n v="113.39999999999999"/>
    <d v="2025-03-17T00:00:00"/>
    <d v="2025-03-18T00:00:00"/>
    <s v="F"/>
    <s v="App"/>
    <n v="3"/>
    <s v="California"/>
    <s v="Santa Clara County"/>
    <x v="3"/>
    <n v="12"/>
    <e v="#NAME?"/>
  </r>
  <r>
    <s v="TX502063"/>
    <s v="Baseball Caps"/>
    <n v="7"/>
    <n v="28.1"/>
    <n v="196.70000000000002"/>
    <d v="2025-03-17T00:00:00"/>
    <d v="2025-03-23T00:00:00"/>
    <s v="F"/>
    <s v="Target.com"/>
    <n v="4"/>
    <s v="California"/>
    <s v="Santa Clara County"/>
    <x v="4"/>
    <n v="12"/>
    <e v="#NAME?"/>
  </r>
  <r>
    <s v="TX502064"/>
    <s v="Tank Tops"/>
    <n v="3"/>
    <n v="59.7"/>
    <n v="179.10000000000002"/>
    <d v="2025-03-17T00:00:00"/>
    <d v="2025-03-19T00:00:00"/>
    <s v="F"/>
    <s v="Target.com"/>
    <n v="4"/>
    <s v="California"/>
    <s v="Santa Clara County"/>
    <x v="1"/>
    <n v="12"/>
    <e v="#NAME?"/>
  </r>
  <r>
    <s v="TX502065"/>
    <s v="Sunglasses"/>
    <n v="1"/>
    <n v="71.900000000000006"/>
    <n v="71.900000000000006"/>
    <d v="2025-03-17T00:00:00"/>
    <d v="2025-03-18T00:00:00"/>
    <s v="M"/>
    <s v="Website"/>
    <n v="3"/>
    <s v="California"/>
    <s v="Santa Clara County"/>
    <x v="3"/>
    <n v="12"/>
    <e v="#NAME?"/>
  </r>
  <r>
    <s v="TX502066"/>
    <s v="Tank Tops"/>
    <n v="2"/>
    <n v="56.9"/>
    <n v="113.8"/>
    <d v="2025-03-17T00:00:00"/>
    <d v="2025-03-18T00:00:00"/>
    <s v="M"/>
    <s v="Target.com"/>
    <n v="4"/>
    <s v="California"/>
    <s v="Ventura County"/>
    <x v="3"/>
    <n v="12"/>
    <e v="#NAME?"/>
  </r>
  <r>
    <s v="TX502067"/>
    <s v="T-Shirts"/>
    <n v="2"/>
    <n v="15.8"/>
    <n v="31.6"/>
    <d v="2025-03-17T00:00:00"/>
    <d v="2025-03-20T00:00:00"/>
    <s v="F"/>
    <s v="Target.com"/>
    <n v="3"/>
    <s v="California"/>
    <s v="Contra Costa County"/>
    <x v="2"/>
    <n v="12"/>
    <e v="#NAME?"/>
  </r>
  <r>
    <s v="TX502068"/>
    <s v="Maxi Dresses"/>
    <n v="4"/>
    <n v="61.7"/>
    <n v="246.8"/>
    <d v="2025-03-17T00:00:00"/>
    <d v="2025-03-19T00:00:00"/>
    <s v="F"/>
    <s v="Target.com"/>
    <n v="4"/>
    <s v="California"/>
    <s v="Kern County"/>
    <x v="1"/>
    <n v="12"/>
    <e v="#NAME?"/>
  </r>
  <r>
    <s v="TX502069"/>
    <s v="Sneakers"/>
    <n v="10"/>
    <n v="105.2"/>
    <n v="1052"/>
    <d v="2025-03-17T00:00:00"/>
    <d v="2025-03-19T00:00:00"/>
    <s v="M"/>
    <s v="Website"/>
    <n v="2"/>
    <s v="California"/>
    <s v="Los Angeles County"/>
    <x v="1"/>
    <n v="12"/>
    <e v="#NAME?"/>
  </r>
  <r>
    <s v="TX502070"/>
    <s v="Shorts"/>
    <n v="2"/>
    <n v="17"/>
    <n v="34"/>
    <d v="2025-03-17T00:00:00"/>
    <d v="2025-03-19T00:00:00"/>
    <s v="F"/>
    <s v="Target.com"/>
    <n v="4"/>
    <s v="California"/>
    <s v="Los Angeles County"/>
    <x v="1"/>
    <n v="12"/>
    <e v="#NAME?"/>
  </r>
  <r>
    <s v="TX502071"/>
    <s v="Jeans"/>
    <n v="3"/>
    <n v="84.1"/>
    <n v="252.29999999999998"/>
    <d v="2025-03-17T00:00:00"/>
    <d v="2025-03-18T00:00:00"/>
    <s v="M"/>
    <s v="Target.com"/>
    <n v="4"/>
    <s v="California"/>
    <s v="Los Angeles County"/>
    <x v="3"/>
    <n v="12"/>
    <e v="#NAME?"/>
  </r>
  <r>
    <s v="TX502072"/>
    <s v="Workout Tops"/>
    <n v="4"/>
    <n v="59.5"/>
    <n v="238"/>
    <d v="2025-03-17T00:00:00"/>
    <d v="2025-03-22T00:00:00"/>
    <s v="M"/>
    <s v="App"/>
    <n v="5"/>
    <s v="California"/>
    <s v="Los Angeles County"/>
    <x v="0"/>
    <n v="12"/>
    <e v="#NAME?"/>
  </r>
  <r>
    <s v="TX502073"/>
    <s v="T-Shirts"/>
    <n v="2"/>
    <n v="57.5"/>
    <n v="115"/>
    <d v="2025-03-17T00:00:00"/>
    <d v="2025-03-19T00:00:00"/>
    <s v="M"/>
    <s v="Website"/>
    <n v="5"/>
    <s v="California"/>
    <s v="Los Angeles County"/>
    <x v="1"/>
    <n v="12"/>
    <e v="#NAME?"/>
  </r>
  <r>
    <s v="TX502074"/>
    <s v="T-Shirts"/>
    <n v="1"/>
    <n v="34.299999999999997"/>
    <n v="34.299999999999997"/>
    <d v="2025-03-17T00:00:00"/>
    <d v="2025-03-18T00:00:00"/>
    <s v="F"/>
    <s v="Partner App"/>
    <n v="5"/>
    <s v="California"/>
    <s v="Los Angeles County"/>
    <x v="3"/>
    <n v="12"/>
    <e v="#NAME?"/>
  </r>
  <r>
    <s v="TX502075"/>
    <s v="Sandals"/>
    <n v="2"/>
    <n v="27.8"/>
    <n v="55.6"/>
    <d v="2025-03-18T00:00:00"/>
    <d v="2025-03-20T00:00:00"/>
    <s v="F"/>
    <s v="App"/>
    <n v="4"/>
    <s v="California"/>
    <s v="Los Angeles County"/>
    <x v="1"/>
    <n v="12"/>
    <e v="#NAME?"/>
  </r>
  <r>
    <s v="TX502076"/>
    <s v="Casual Dresses"/>
    <n v="2"/>
    <n v="85"/>
    <n v="170"/>
    <d v="2025-03-18T00:00:00"/>
    <d v="2025-03-18T00:00:00"/>
    <s v="M"/>
    <s v="Target.com"/>
    <n v="5"/>
    <s v="California"/>
    <s v="Los Angeles County"/>
    <x v="7"/>
    <n v="12"/>
    <e v="#NAME?"/>
  </r>
  <r>
    <s v="TX502077"/>
    <s v="Jeans"/>
    <n v="2"/>
    <n v="95"/>
    <n v="190"/>
    <d v="2025-03-18T00:00:00"/>
    <d v="2025-03-20T00:00:00"/>
    <s v="F"/>
    <s v="App"/>
    <n v="4"/>
    <s v="California"/>
    <s v="Los Angeles County"/>
    <x v="1"/>
    <n v="12"/>
    <e v="#NAME?"/>
  </r>
  <r>
    <s v="TX502078"/>
    <s v="Sunglasses"/>
    <n v="2"/>
    <n v="32"/>
    <n v="64"/>
    <d v="2025-03-18T00:00:00"/>
    <d v="2025-03-20T00:00:00"/>
    <s v="M"/>
    <s v="App"/>
    <n v="3"/>
    <s v="California"/>
    <s v="Los Angeles County"/>
    <x v="1"/>
    <n v="12"/>
    <e v="#NAME?"/>
  </r>
  <r>
    <s v="TX502079"/>
    <s v="Sneakers"/>
    <n v="2"/>
    <n v="65.2"/>
    <n v="130.4"/>
    <d v="2025-03-18T00:00:00"/>
    <d v="2025-03-19T00:00:00"/>
    <s v="F"/>
    <s v="Website"/>
    <n v="4"/>
    <s v="California"/>
    <s v="Los Angeles County"/>
    <x v="3"/>
    <n v="12"/>
    <e v="#NAME?"/>
  </r>
  <r>
    <s v="TX502080"/>
    <s v="Pajama Sets"/>
    <n v="4"/>
    <n v="22"/>
    <n v="88"/>
    <d v="2025-03-18T00:00:00"/>
    <d v="2025-03-19T00:00:00"/>
    <s v="M"/>
    <s v="Website"/>
    <n v="5"/>
    <s v="California"/>
    <s v="Los Angeles County"/>
    <x v="3"/>
    <n v="12"/>
    <e v="#NAME?"/>
  </r>
  <r>
    <s v="TX502081"/>
    <s v="Crop Tops"/>
    <n v="3"/>
    <n v="69.400000000000006"/>
    <n v="208.20000000000002"/>
    <d v="2025-03-18T00:00:00"/>
    <d v="2025-03-21T00:00:00"/>
    <s v="M"/>
    <s v="Website"/>
    <n v="5"/>
    <s v="California"/>
    <s v="Los Angeles County"/>
    <x v="2"/>
    <n v="12"/>
    <e v="#NAME?"/>
  </r>
  <r>
    <s v="TX502082"/>
    <s v="Bikinis"/>
    <n v="6"/>
    <n v="31.5"/>
    <n v="189"/>
    <d v="2025-03-18T00:00:00"/>
    <d v="2025-03-20T00:00:00"/>
    <s v="F"/>
    <s v="App"/>
    <n v="5"/>
    <s v="California"/>
    <s v="Los Angeles County"/>
    <x v="1"/>
    <n v="12"/>
    <e v="#NAME?"/>
  </r>
  <r>
    <s v="TX502083"/>
    <s v="Jeans"/>
    <n v="1"/>
    <n v="45.8"/>
    <n v="45.8"/>
    <d v="2025-03-18T00:00:00"/>
    <d v="2025-03-22T00:00:00"/>
    <s v="O"/>
    <s v="App"/>
    <n v="4"/>
    <s v="California"/>
    <s v="Los Angeles County"/>
    <x v="5"/>
    <n v="12"/>
    <e v="#NAME?"/>
  </r>
  <r>
    <s v="TX502084"/>
    <s v="Jewelry"/>
    <n v="4"/>
    <n v="12.8"/>
    <n v="51.2"/>
    <d v="2025-03-18T00:00:00"/>
    <d v="2025-03-25T00:00:00"/>
    <s v="F"/>
    <s v="Website"/>
    <n v="3"/>
    <s v="California"/>
    <s v="Placer County"/>
    <x v="6"/>
    <n v="12"/>
    <e v="#NAME?"/>
  </r>
  <r>
    <s v="TX502085"/>
    <s v="Sandals"/>
    <n v="3"/>
    <n v="115.3"/>
    <n v="345.9"/>
    <d v="2025-03-18T00:00:00"/>
    <d v="2025-03-19T00:00:00"/>
    <s v="F"/>
    <s v="Target.com"/>
    <n v="5"/>
    <s v="California"/>
    <s v="Sacramento County"/>
    <x v="3"/>
    <n v="12"/>
    <e v="#NAME?"/>
  </r>
  <r>
    <s v="TX502086"/>
    <s v="Sandals"/>
    <n v="2"/>
    <n v="85"/>
    <n v="170"/>
    <d v="2025-03-18T00:00:00"/>
    <d v="2025-03-20T00:00:00"/>
    <s v="F"/>
    <s v="Website"/>
    <n v="4"/>
    <s v="California"/>
    <s v="San Bernardino County"/>
    <x v="1"/>
    <n v="12"/>
    <e v="#NAME?"/>
  </r>
  <r>
    <s v="TX502087"/>
    <s v="T-Shirts"/>
    <n v="3"/>
    <n v="56.6"/>
    <n v="169.8"/>
    <d v="2025-03-18T00:00:00"/>
    <d v="2025-03-19T00:00:00"/>
    <s v="F"/>
    <s v="Website"/>
    <n v="5"/>
    <s v="California"/>
    <s v="San Bernardino County"/>
    <x v="3"/>
    <n v="12"/>
    <e v="#NAME?"/>
  </r>
  <r>
    <s v="TX502088"/>
    <s v="Crop Tops"/>
    <n v="27"/>
    <n v="46.3"/>
    <n v="1250.0999999999999"/>
    <d v="2025-03-18T00:00:00"/>
    <d v="2025-03-21T00:00:00"/>
    <s v="M"/>
    <s v="App"/>
    <n v="4"/>
    <s v="California"/>
    <s v="San Bernardino County"/>
    <x v="2"/>
    <n v="12"/>
    <e v="#NAME?"/>
  </r>
  <r>
    <s v="TX502089"/>
    <s v="Baseball Caps"/>
    <n v="4"/>
    <n v="23"/>
    <n v="92"/>
    <d v="2025-03-18T00:00:00"/>
    <d v="2025-03-22T00:00:00"/>
    <s v="M"/>
    <s v="Instagram"/>
    <n v="5"/>
    <s v="California"/>
    <s v="San Bernardino County"/>
    <x v="5"/>
    <n v="12"/>
    <e v="#NAME?"/>
  </r>
  <r>
    <s v="TX502090"/>
    <s v="T-Shirts"/>
    <n v="6"/>
    <n v="42.1"/>
    <n v="252.60000000000002"/>
    <d v="2025-03-18T00:00:00"/>
    <d v="2025-03-20T00:00:00"/>
    <s v="M"/>
    <s v="Partner App"/>
    <n v="4"/>
    <s v="California"/>
    <s v="San Diego County"/>
    <x v="1"/>
    <n v="12"/>
    <e v="#NAME?"/>
  </r>
  <r>
    <s v="TX502091"/>
    <s v="Sandals"/>
    <n v="7"/>
    <n v="57.4"/>
    <n v="401.8"/>
    <d v="2025-03-18T00:00:00"/>
    <d v="2025-03-22T00:00:00"/>
    <s v="F"/>
    <s v="Website"/>
    <n v="2"/>
    <s v="California"/>
    <s v="San Diego County"/>
    <x v="5"/>
    <n v="12"/>
    <e v="#NAME?"/>
  </r>
  <r>
    <s v="TX502092"/>
    <s v="Shorts"/>
    <n v="6"/>
    <n v="13.2"/>
    <n v="79.199999999999989"/>
    <d v="2025-03-18T00:00:00"/>
    <d v="2025-03-22T00:00:00"/>
    <s v="M"/>
    <s v="Target.com"/>
    <n v="4"/>
    <s v="California"/>
    <s v="San Diego County"/>
    <x v="5"/>
    <n v="12"/>
    <e v="#NAME?"/>
  </r>
  <r>
    <s v="TX502093"/>
    <s v="Jeans"/>
    <n v="3"/>
    <n v="52.3"/>
    <n v="156.89999999999998"/>
    <d v="2025-03-18T00:00:00"/>
    <d v="2025-03-19T00:00:00"/>
    <s v="M"/>
    <s v="Website"/>
    <n v="4"/>
    <s v="California"/>
    <s v="San Diego County"/>
    <x v="3"/>
    <n v="12"/>
    <e v="#NAME?"/>
  </r>
  <r>
    <s v="TX502094"/>
    <s v="T-Shirts"/>
    <n v="2"/>
    <n v="15.7"/>
    <n v="31.4"/>
    <d v="2025-03-18T00:00:00"/>
    <d v="2025-03-21T00:00:00"/>
    <s v="M"/>
    <s v="Website"/>
    <n v="5"/>
    <s v="California"/>
    <s v="San Diego County"/>
    <x v="2"/>
    <n v="12"/>
    <e v="#NAME?"/>
  </r>
  <r>
    <s v="TX502095"/>
    <s v="Hoodies &amp; Sweatshirts"/>
    <n v="3"/>
    <n v="35"/>
    <n v="105"/>
    <d v="2025-03-18T00:00:00"/>
    <d v="2025-03-21T00:00:00"/>
    <s v="F"/>
    <s v="Website"/>
    <n v="5"/>
    <s v="California"/>
    <s v="San Mateo County"/>
    <x v="2"/>
    <n v="12"/>
    <e v="#NAME?"/>
  </r>
  <r>
    <s v="TX502096"/>
    <s v="Graphic Tees"/>
    <n v="3"/>
    <n v="26.6"/>
    <n v="79.800000000000011"/>
    <d v="2025-03-18T00:00:00"/>
    <d v="2025-03-18T00:00:00"/>
    <s v="M"/>
    <s v="Website"/>
    <n v="5"/>
    <s v="California"/>
    <s v="Santa Clara County"/>
    <x v="7"/>
    <n v="12"/>
    <e v="#NAME?"/>
  </r>
  <r>
    <s v="TX502097"/>
    <s v="Graphic Tees"/>
    <n v="8"/>
    <n v="47.9"/>
    <n v="383.2"/>
    <d v="2025-03-19T00:00:00"/>
    <d v="2025-03-20T00:00:00"/>
    <s v="F"/>
    <s v="Instagram"/>
    <n v="5"/>
    <s v="California"/>
    <s v="Tulare County"/>
    <x v="3"/>
    <n v="12"/>
    <e v="#NAME?"/>
  </r>
  <r>
    <s v="TX502098"/>
    <s v="Sandals"/>
    <n v="1"/>
    <n v="80.099999999999994"/>
    <n v="80.099999999999994"/>
    <d v="2025-03-19T00:00:00"/>
    <d v="2025-03-20T00:00:00"/>
    <s v="M"/>
    <s v="Target.com"/>
    <n v="4"/>
    <s v="California"/>
    <s v="Alameda County"/>
    <x v="3"/>
    <n v="12"/>
    <e v="#NAME?"/>
  </r>
  <r>
    <s v="TX502099"/>
    <s v="Jeans"/>
    <n v="5"/>
    <n v="50.4"/>
    <n v="252"/>
    <d v="2025-03-19T00:00:00"/>
    <d v="2025-03-20T00:00:00"/>
    <s v="M"/>
    <s v="Website"/>
    <n v="5"/>
    <s v="California"/>
    <s v="Alameda County"/>
    <x v="3"/>
    <n v="12"/>
    <e v="#NAME?"/>
  </r>
  <r>
    <s v="TX502100"/>
    <s v="Bikinis"/>
    <n v="7"/>
    <n v="43.3"/>
    <n v="303.09999999999997"/>
    <d v="2025-03-19T00:00:00"/>
    <d v="2025-03-20T00:00:00"/>
    <s v="M"/>
    <s v="Target.com"/>
    <n v="4"/>
    <s v="California"/>
    <s v="Alameda County"/>
    <x v="3"/>
    <n v="12"/>
    <e v="#NAME?"/>
  </r>
  <r>
    <s v="TX502101"/>
    <s v="Bikinis"/>
    <n v="4"/>
    <n v="57.5"/>
    <n v="230"/>
    <d v="2025-03-19T00:00:00"/>
    <d v="2025-03-20T00:00:00"/>
    <s v="F"/>
    <s v="Website"/>
    <n v="5"/>
    <s v="California"/>
    <s v="Contra Costa County"/>
    <x v="3"/>
    <n v="12"/>
    <e v="#NAME?"/>
  </r>
  <r>
    <s v="TX502102"/>
    <s v="Sundresses"/>
    <n v="13"/>
    <n v="24.8"/>
    <n v="322.40000000000003"/>
    <d v="2025-03-19T00:00:00"/>
    <d v="2025-03-20T00:00:00"/>
    <s v="M"/>
    <s v="App"/>
    <n v="4"/>
    <s v="California"/>
    <s v="Del Norte County"/>
    <x v="3"/>
    <n v="12"/>
    <e v="#NAME?"/>
  </r>
  <r>
    <s v="TX502103"/>
    <s v="Sneakers"/>
    <n v="9"/>
    <n v="85.7"/>
    <n v="771.30000000000007"/>
    <d v="2025-03-19T00:00:00"/>
    <d v="2025-03-20T00:00:00"/>
    <s v="F"/>
    <s v="App"/>
    <n v="4"/>
    <s v="California"/>
    <s v="El Dorado County"/>
    <x v="3"/>
    <n v="12"/>
    <e v="#NAME?"/>
  </r>
  <r>
    <s v="TX502104"/>
    <s v="Hoodies &amp; Sweatshirts"/>
    <n v="1"/>
    <n v="47.1"/>
    <n v="47.1"/>
    <d v="2025-03-19T00:00:00"/>
    <d v="2025-03-21T00:00:00"/>
    <s v="F"/>
    <s v="App"/>
    <n v="4"/>
    <s v="California"/>
    <s v="Fresno County"/>
    <x v="1"/>
    <n v="12"/>
    <e v="#NAME?"/>
  </r>
  <r>
    <s v="TX502105"/>
    <s v="Sandals"/>
    <n v="10"/>
    <n v="83.2"/>
    <n v="832"/>
    <d v="2025-03-19T00:00:00"/>
    <d v="2025-03-23T00:00:00"/>
    <s v="F"/>
    <s v="App"/>
    <n v="4"/>
    <s v="California"/>
    <s v="Imperial County"/>
    <x v="5"/>
    <n v="12"/>
    <e v="#NAME?"/>
  </r>
  <r>
    <s v="TX502106"/>
    <s v="Sneakers"/>
    <n v="3"/>
    <n v="157"/>
    <n v="471"/>
    <d v="2025-03-19T00:00:00"/>
    <d v="2025-03-21T00:00:00"/>
    <s v="F"/>
    <s v="App"/>
    <n v="5"/>
    <s v="California"/>
    <s v="Kern County"/>
    <x v="1"/>
    <n v="12"/>
    <e v="#NAME?"/>
  </r>
  <r>
    <s v="TX502107"/>
    <s v="Sunglasses"/>
    <n v="4"/>
    <n v="33.700000000000003"/>
    <n v="134.80000000000001"/>
    <d v="2025-03-19T00:00:00"/>
    <d v="2025-03-20T00:00:00"/>
    <s v="M"/>
    <s v="Target.com"/>
    <n v="5"/>
    <s v="California"/>
    <s v="Kern County"/>
    <x v="3"/>
    <n v="12"/>
    <e v="#NAME?"/>
  </r>
  <r>
    <s v="TX502108"/>
    <s v="Sneakers"/>
    <n v="3"/>
    <n v="60.8"/>
    <n v="182.39999999999998"/>
    <d v="2025-03-19T00:00:00"/>
    <d v="2025-03-23T00:00:00"/>
    <s v="F"/>
    <s v="Website"/>
    <n v="3"/>
    <s v="California"/>
    <s v="Los Angeles County"/>
    <x v="5"/>
    <n v="12"/>
    <e v="#NAME?"/>
  </r>
  <r>
    <s v="TX502109"/>
    <s v="Hoodies &amp; Sweatshirts"/>
    <n v="1"/>
    <n v="57.6"/>
    <n v="57.6"/>
    <d v="2025-03-19T00:00:00"/>
    <d v="2025-03-20T00:00:00"/>
    <s v="M"/>
    <s v="Website"/>
    <n v="2"/>
    <s v="California"/>
    <s v="Los Angeles County"/>
    <x v="3"/>
    <n v="12"/>
    <e v="#NAME?"/>
  </r>
  <r>
    <s v="TX502110"/>
    <s v="Bikinis"/>
    <n v="1"/>
    <n v="32"/>
    <n v="32"/>
    <d v="2025-03-19T00:00:00"/>
    <d v="2025-03-21T00:00:00"/>
    <s v="M"/>
    <s v="App"/>
    <n v="4"/>
    <s v="California"/>
    <s v="Los Angeles County"/>
    <x v="1"/>
    <n v="12"/>
    <e v="#NAME?"/>
  </r>
  <r>
    <s v="TX502111"/>
    <s v="Bikinis"/>
    <n v="4"/>
    <n v="23.5"/>
    <n v="94"/>
    <d v="2025-03-19T00:00:00"/>
    <d v="2025-03-20T00:00:00"/>
    <s v="F"/>
    <s v="App"/>
    <n v="5"/>
    <s v="California"/>
    <s v="Los Angeles County"/>
    <x v="3"/>
    <n v="12"/>
    <e v="#NAME?"/>
  </r>
  <r>
    <s v="TX502112"/>
    <s v="Casual Dresses"/>
    <n v="3"/>
    <n v="44.8"/>
    <n v="134.39999999999998"/>
    <d v="2025-03-19T00:00:00"/>
    <d v="2025-03-20T00:00:00"/>
    <s v="O"/>
    <s v="Partner App"/>
    <n v="4"/>
    <s v="California"/>
    <s v="Los Angeles County"/>
    <x v="3"/>
    <n v="12"/>
    <e v="#NAME?"/>
  </r>
  <r>
    <s v="TX502113"/>
    <s v="Shorts"/>
    <n v="8"/>
    <n v="11.7"/>
    <n v="93.6"/>
    <d v="2025-03-19T00:00:00"/>
    <d v="2025-03-20T00:00:00"/>
    <s v="M"/>
    <s v="Target.com"/>
    <n v="5"/>
    <s v="California"/>
    <s v="Los Angeles County"/>
    <x v="3"/>
    <n v="12"/>
    <e v="#NAME?"/>
  </r>
  <r>
    <s v="TX502114"/>
    <s v="Hoodies &amp; Sweatshirts"/>
    <n v="2"/>
    <n v="38.799999999999997"/>
    <n v="77.599999999999994"/>
    <d v="2025-03-19T00:00:00"/>
    <d v="2025-03-22T00:00:00"/>
    <s v="F"/>
    <s v="Target.com"/>
    <n v="4"/>
    <s v="California"/>
    <s v="Los Angeles County"/>
    <x v="2"/>
    <n v="12"/>
    <e v="#NAME?"/>
  </r>
  <r>
    <s v="TX502115"/>
    <s v="Sandals"/>
    <n v="14"/>
    <n v="86.9"/>
    <n v="1216.6000000000001"/>
    <d v="2025-03-19T00:00:00"/>
    <d v="2025-03-24T00:00:00"/>
    <s v="F"/>
    <s v="Website"/>
    <n v="4"/>
    <s v="California"/>
    <s v="Los Angeles County"/>
    <x v="0"/>
    <n v="12"/>
    <e v="#NAME?"/>
  </r>
  <r>
    <s v="TX502116"/>
    <s v="T-Shirts"/>
    <n v="1"/>
    <n v="18.3"/>
    <n v="18.3"/>
    <d v="2025-03-19T00:00:00"/>
    <d v="2025-03-20T00:00:00"/>
    <s v="F"/>
    <s v="App"/>
    <n v="4"/>
    <s v="California"/>
    <s v="Los Angeles County"/>
    <x v="3"/>
    <n v="12"/>
    <e v="#NAME?"/>
  </r>
  <r>
    <s v="TX502117"/>
    <s v="Sandals"/>
    <n v="1"/>
    <n v="47.5"/>
    <n v="47.5"/>
    <d v="2025-03-19T00:00:00"/>
    <d v="2025-03-23T00:00:00"/>
    <s v="M"/>
    <s v="Partner App"/>
    <n v="5"/>
    <s v="California"/>
    <s v="Los Angeles County"/>
    <x v="5"/>
    <n v="12"/>
    <e v="#NAME?"/>
  </r>
  <r>
    <s v="TX502118"/>
    <s v="Tank Tops"/>
    <n v="2"/>
    <n v="78.599999999999994"/>
    <n v="157.19999999999999"/>
    <d v="2025-03-19T00:00:00"/>
    <d v="2025-03-20T00:00:00"/>
    <s v="M"/>
    <s v="Target.com"/>
    <n v="5"/>
    <s v="California"/>
    <s v="Los Angeles County"/>
    <x v="3"/>
    <n v="12"/>
    <e v="#NAME?"/>
  </r>
  <r>
    <s v="TX502119"/>
    <s v="Jeans"/>
    <n v="4"/>
    <n v="87.3"/>
    <n v="349.2"/>
    <d v="2025-03-19T00:00:00"/>
    <d v="2025-03-20T00:00:00"/>
    <s v="M"/>
    <s v="App"/>
    <n v="4"/>
    <s v="California"/>
    <s v="Los Angeles County"/>
    <x v="3"/>
    <n v="12"/>
    <e v="#NAME?"/>
  </r>
  <r>
    <s v="TX502120"/>
    <s v="Sundresses"/>
    <n v="2"/>
    <n v="63.2"/>
    <n v="126.4"/>
    <d v="2025-03-19T00:00:00"/>
    <d v="2025-03-19T00:00:00"/>
    <s v="M"/>
    <s v="Partner App"/>
    <n v="3"/>
    <s v="California"/>
    <s v="Los Angeles County"/>
    <x v="7"/>
    <n v="12"/>
    <e v="#NAME?"/>
  </r>
  <r>
    <s v="TX502121"/>
    <s v="Sandals"/>
    <n v="5"/>
    <n v="33.700000000000003"/>
    <n v="168.5"/>
    <d v="2025-03-19T00:00:00"/>
    <d v="2025-03-20T00:00:00"/>
    <s v="F"/>
    <s v="App"/>
    <n v="4"/>
    <s v="California"/>
    <s v="Los Angeles County"/>
    <x v="3"/>
    <n v="12"/>
    <e v="#NAME?"/>
  </r>
  <r>
    <s v="TX502122"/>
    <s v="Sneakers"/>
    <n v="3"/>
    <n v="107.4"/>
    <n v="322.20000000000005"/>
    <d v="2025-03-19T00:00:00"/>
    <d v="2025-04-01T00:00:00"/>
    <s v="F"/>
    <s v="Website"/>
    <n v="5"/>
    <s v="California"/>
    <s v="Los Angeles County"/>
    <x v="10"/>
    <n v="12"/>
    <e v="#NAME?"/>
  </r>
  <r>
    <s v="TX502123"/>
    <s v="Graphic Tees"/>
    <n v="4"/>
    <n v="22.2"/>
    <n v="88.8"/>
    <d v="2025-03-19T00:00:00"/>
    <d v="2025-03-20T00:00:00"/>
    <s v=""/>
    <s v="Website"/>
    <n v="5"/>
    <s v="California"/>
    <s v="Merced County"/>
    <x v="3"/>
    <n v="12"/>
    <e v="#NAME?"/>
  </r>
  <r>
    <s v="TX502124"/>
    <s v="Leggings"/>
    <n v="3"/>
    <n v="52.8"/>
    <n v="158.39999999999998"/>
    <d v="2025-03-19T00:00:00"/>
    <d v="2025-03-20T00:00:00"/>
    <s v="M"/>
    <s v="Instagram"/>
    <n v="5"/>
    <s v="California"/>
    <s v="Merced County"/>
    <x v="3"/>
    <n v="12"/>
    <e v="#NAME?"/>
  </r>
  <r>
    <s v="TX502125"/>
    <s v="T-Shirts"/>
    <n v="3"/>
    <n v="41.5"/>
    <n v="124.5"/>
    <d v="2025-03-19T00:00:00"/>
    <d v="2025-03-22T00:00:00"/>
    <s v="F"/>
    <s v="App"/>
    <n v="4"/>
    <s v="California"/>
    <s v="Orange County"/>
    <x v="2"/>
    <n v="12"/>
    <e v="#NAME?"/>
  </r>
  <r>
    <s v="TX502126"/>
    <s v="Casual Dresses"/>
    <n v="8"/>
    <n v="103.5"/>
    <n v="828"/>
    <d v="2025-03-19T00:00:00"/>
    <d v="2025-03-22T00:00:00"/>
    <s v="F"/>
    <s v="App"/>
    <n v="5"/>
    <s v="California"/>
    <s v="Riverside County"/>
    <x v="2"/>
    <n v="12"/>
    <e v="#NAME?"/>
  </r>
  <r>
    <s v="TX502127"/>
    <s v="Graphic Tees"/>
    <n v="14"/>
    <n v="37.5"/>
    <n v="525"/>
    <d v="2025-03-19T00:00:00"/>
    <d v="2025-03-19T00:00:00"/>
    <s v="F"/>
    <s v="Website"/>
    <n v="5"/>
    <s v="California"/>
    <s v="Sacramento County"/>
    <x v="7"/>
    <n v="12"/>
    <e v="#NAME?"/>
  </r>
  <r>
    <s v="TX502128"/>
    <s v="Crop Tops"/>
    <n v="8"/>
    <n v="44.4"/>
    <n v="355.2"/>
    <d v="2025-03-19T00:00:00"/>
    <d v="2025-03-25T00:00:00"/>
    <s v="F"/>
    <s v="Instagram"/>
    <n v="5"/>
    <s v="California"/>
    <s v="San Bernardino County"/>
    <x v="4"/>
    <n v="12"/>
    <e v="#NAME?"/>
  </r>
  <r>
    <s v="TX502129"/>
    <s v="T-Shirts"/>
    <n v="3"/>
    <n v="26.2"/>
    <n v="78.599999999999994"/>
    <d v="2025-03-19T00:00:00"/>
    <d v="2025-03-20T00:00:00"/>
    <s v="M"/>
    <s v="App"/>
    <n v="4"/>
    <s v="California"/>
    <s v="San Diego County"/>
    <x v="3"/>
    <n v="12"/>
    <e v="#NAME?"/>
  </r>
  <r>
    <s v="TX502130"/>
    <s v="Tank Tops"/>
    <n v="7"/>
    <n v="32.200000000000003"/>
    <n v="225.40000000000003"/>
    <d v="2025-03-19T00:00:00"/>
    <d v="2025-03-20T00:00:00"/>
    <s v="F"/>
    <s v="Website"/>
    <n v="5"/>
    <s v="California"/>
    <s v="San Diego County"/>
    <x v="3"/>
    <n v="12"/>
    <e v="#NAME?"/>
  </r>
  <r>
    <s v="TX502131"/>
    <s v="T-Shirts"/>
    <n v="1"/>
    <n v="17.399999999999999"/>
    <n v="17.399999999999999"/>
    <d v="2025-03-19T00:00:00"/>
    <d v="2025-03-23T00:00:00"/>
    <s v=""/>
    <s v="Target.com"/>
    <n v="3"/>
    <s v="California"/>
    <s v="San Diego County"/>
    <x v="5"/>
    <n v="12"/>
    <e v="#NAME?"/>
  </r>
  <r>
    <s v="TX502132"/>
    <s v="T-Shirts"/>
    <n v="6"/>
    <n v="72.3"/>
    <n v="433.79999999999995"/>
    <d v="2025-03-19T00:00:00"/>
    <d v="2025-03-22T00:00:00"/>
    <s v="F"/>
    <s v="App"/>
    <n v="4"/>
    <s v="California"/>
    <s v="San Diego County"/>
    <x v="2"/>
    <n v="12"/>
    <e v="#NAME?"/>
  </r>
  <r>
    <s v="TX502133"/>
    <s v="T-Shirts"/>
    <n v="11"/>
    <n v="24.3"/>
    <n v="267.3"/>
    <d v="2025-03-19T00:00:00"/>
    <d v="2025-03-20T00:00:00"/>
    <s v="M"/>
    <s v="App"/>
    <n v="4"/>
    <s v="California"/>
    <s v="San Diego County"/>
    <x v="3"/>
    <n v="12"/>
    <e v="#NAME?"/>
  </r>
  <r>
    <s v="TX502134"/>
    <s v="Tote Bags"/>
    <n v="3"/>
    <n v="49.1"/>
    <n v="147.30000000000001"/>
    <d v="2025-03-19T00:00:00"/>
    <d v="2025-03-25T00:00:00"/>
    <s v="M"/>
    <s v="Target.com"/>
    <n v="2"/>
    <s v="California"/>
    <s v="San Diego County"/>
    <x v="4"/>
    <n v="12"/>
    <e v="#NAME?"/>
  </r>
  <r>
    <s v="TX502135"/>
    <s v="Sneakers"/>
    <n v="10"/>
    <n v="234.7"/>
    <n v="2347"/>
    <d v="2025-03-19T00:00:00"/>
    <d v="2025-03-20T00:00:00"/>
    <s v="M"/>
    <s v="Instagram"/>
    <n v="3"/>
    <s v="California"/>
    <s v="San Diego County"/>
    <x v="3"/>
    <n v="12"/>
    <e v="#NAME?"/>
  </r>
  <r>
    <s v="TX502136"/>
    <s v="Workout Tops"/>
    <n v="5"/>
    <n v="76.099999999999994"/>
    <n v="380.5"/>
    <d v="2025-03-19T00:00:00"/>
    <d v="2025-03-21T00:00:00"/>
    <s v="M"/>
    <s v="Website"/>
    <n v="3"/>
    <s v="California"/>
    <s v="San Francisco"/>
    <x v="1"/>
    <n v="12"/>
    <e v="#NAME?"/>
  </r>
  <r>
    <s v="TX502137"/>
    <s v="Tank Tops"/>
    <n v="3"/>
    <n v="93.9"/>
    <n v="281.70000000000005"/>
    <d v="2025-03-19T00:00:00"/>
    <d v="2025-03-20T00:00:00"/>
    <s v="M"/>
    <s v="Website"/>
    <n v="2"/>
    <s v="California"/>
    <s v="Santa Clara County"/>
    <x v="3"/>
    <n v="12"/>
    <e v="#NAME?"/>
  </r>
  <r>
    <s v="TX502138"/>
    <s v="Sneakers"/>
    <n v="4"/>
    <n v="187"/>
    <n v="748"/>
    <d v="2025-03-20T00:00:00"/>
    <d v="2025-03-23T00:00:00"/>
    <s v="M"/>
    <s v="App"/>
    <n v="4"/>
    <s v="California"/>
    <s v="Santa Clara County"/>
    <x v="2"/>
    <n v="12"/>
    <e v="#NAME?"/>
  </r>
  <r>
    <s v="TX502139"/>
    <s v="T-Shirts"/>
    <n v="2"/>
    <n v="18"/>
    <n v="36"/>
    <d v="2025-03-20T00:00:00"/>
    <d v="2025-03-21T00:00:00"/>
    <s v="F"/>
    <s v="Website"/>
    <n v="5"/>
    <s v="California"/>
    <s v="Shasta County"/>
    <x v="3"/>
    <n v="12"/>
    <e v="#NAME?"/>
  </r>
  <r>
    <s v="TX502140"/>
    <s v="Graphic Tees"/>
    <n v="1"/>
    <n v="24.4"/>
    <n v="24.4"/>
    <d v="2025-03-20T00:00:00"/>
    <d v="2025-03-21T00:00:00"/>
    <s v="F"/>
    <s v="Partner App"/>
    <n v="5"/>
    <s v="California"/>
    <s v="Alameda County"/>
    <x v="3"/>
    <n v="12"/>
    <e v="#NAME?"/>
  </r>
  <r>
    <s v="TX502141"/>
    <s v="Bikinis"/>
    <n v="2"/>
    <n v="38.799999999999997"/>
    <n v="77.599999999999994"/>
    <d v="2025-03-20T00:00:00"/>
    <d v="2025-03-21T00:00:00"/>
    <s v="M"/>
    <s v="Partner App"/>
    <n v="3"/>
    <s v="California"/>
    <s v="Los Angeles County"/>
    <x v="3"/>
    <n v="12"/>
    <e v="#NAME?"/>
  </r>
  <r>
    <s v="TX502142"/>
    <s v="Workout Tops"/>
    <n v="1"/>
    <n v="59.7"/>
    <n v="59.7"/>
    <d v="2025-03-20T00:00:00"/>
    <d v="2025-03-23T00:00:00"/>
    <s v="M"/>
    <s v="Instagram"/>
    <n v="4"/>
    <s v="California"/>
    <s v="Los Angeles County"/>
    <x v="2"/>
    <n v="12"/>
    <e v="#NAME?"/>
  </r>
  <r>
    <s v="TX502143"/>
    <s v="Hoodies &amp; Sweatshirts"/>
    <n v="1"/>
    <n v="31.2"/>
    <n v="31.2"/>
    <d v="2025-03-20T00:00:00"/>
    <d v="2025-03-21T00:00:00"/>
    <s v="M"/>
    <s v="Website"/>
    <n v="5"/>
    <s v="California"/>
    <s v="Los Angeles County"/>
    <x v="3"/>
    <n v="12"/>
    <e v="#NAME?"/>
  </r>
  <r>
    <s v="TX502144"/>
    <s v="Shorts"/>
    <n v="1"/>
    <n v="16.8"/>
    <n v="16.8"/>
    <d v="2025-03-20T00:00:00"/>
    <d v="2025-03-21T00:00:00"/>
    <s v="F"/>
    <s v="Target.com"/>
    <n v="3"/>
    <s v="California"/>
    <s v="Los Angeles County"/>
    <x v="3"/>
    <n v="12"/>
    <e v="#NAME?"/>
  </r>
  <r>
    <s v="TX502145"/>
    <s v="T-Shirts"/>
    <n v="1"/>
    <n v="46"/>
    <n v="46"/>
    <d v="2025-03-20T00:00:00"/>
    <d v="2025-03-21T00:00:00"/>
    <s v="M"/>
    <s v="App"/>
    <n v="4"/>
    <s v="California"/>
    <s v="Los Angeles County"/>
    <x v="3"/>
    <n v="12"/>
    <e v="#NAME?"/>
  </r>
  <r>
    <s v="TX502146"/>
    <s v="Sundresses"/>
    <n v="8"/>
    <n v="42.2"/>
    <n v="337.6"/>
    <d v="2025-03-20T00:00:00"/>
    <d v="2025-03-23T00:00:00"/>
    <s v="F"/>
    <s v="Instagram"/>
    <n v="5"/>
    <s v="California"/>
    <s v="Los Angeles County"/>
    <x v="2"/>
    <n v="12"/>
    <e v="#NAME?"/>
  </r>
  <r>
    <s v="TX502147"/>
    <s v="Tank Tops"/>
    <n v="3"/>
    <n v="71.5"/>
    <n v="214.5"/>
    <d v="2025-03-20T00:00:00"/>
    <d v="2025-04-03T00:00:00"/>
    <s v="F"/>
    <s v="App"/>
    <n v="4"/>
    <s v="California"/>
    <s v="Los Angeles County"/>
    <x v="12"/>
    <n v="12"/>
    <e v="#NAME?"/>
  </r>
  <r>
    <s v="TX502148"/>
    <s v="Tank Tops"/>
    <n v="2"/>
    <n v="76.599999999999994"/>
    <n v="153.19999999999999"/>
    <d v="2025-03-20T00:00:00"/>
    <d v="2025-03-20T00:00:00"/>
    <s v="M"/>
    <s v="App"/>
    <n v="5"/>
    <s v="California"/>
    <s v="Los Angeles County"/>
    <x v="7"/>
    <n v="12"/>
    <e v="#NAME?"/>
  </r>
  <r>
    <s v="TX502149"/>
    <s v="Casual Dresses"/>
    <n v="2"/>
    <n v="87.3"/>
    <n v="174.6"/>
    <d v="2025-03-20T00:00:00"/>
    <d v="2025-03-28T00:00:00"/>
    <s v="F"/>
    <s v="Instagram"/>
    <n v="5"/>
    <s v="California"/>
    <s v="Los Angeles County"/>
    <x v="9"/>
    <n v="12"/>
    <e v="#NAME?"/>
  </r>
  <r>
    <s v="TX502150"/>
    <s v="Tank Tops"/>
    <n v="1"/>
    <n v="63"/>
    <n v="63"/>
    <d v="2025-03-20T00:00:00"/>
    <d v="2025-03-23T00:00:00"/>
    <s v="M"/>
    <s v="Instagram"/>
    <n v="4"/>
    <s v="California"/>
    <s v="Los Angeles County"/>
    <x v="2"/>
    <n v="12"/>
    <e v="#NAME?"/>
  </r>
  <r>
    <s v="TX502151"/>
    <s v="T-Shirts"/>
    <n v="2"/>
    <n v="41.7"/>
    <n v="83.4"/>
    <d v="2025-03-20T00:00:00"/>
    <d v="2025-03-21T00:00:00"/>
    <s v="F"/>
    <s v="Partner App"/>
    <n v="3"/>
    <s v="California"/>
    <s v="Marin County"/>
    <x v="3"/>
    <n v="12"/>
    <e v="#NAME?"/>
  </r>
  <r>
    <s v="TX502152"/>
    <s v="Jeans"/>
    <n v="2"/>
    <n v="76.099999999999994"/>
    <n v="152.19999999999999"/>
    <d v="2025-03-20T00:00:00"/>
    <d v="2025-03-20T00:00:00"/>
    <s v="F"/>
    <s v="Partner App"/>
    <n v="5"/>
    <s v="California"/>
    <s v="Napa County"/>
    <x v="7"/>
    <n v="12"/>
    <e v="#NAME?"/>
  </r>
  <r>
    <s v="TX502153"/>
    <s v="Tote Bags"/>
    <n v="2"/>
    <n v="28.5"/>
    <n v="57"/>
    <d v="2025-03-20T00:00:00"/>
    <d v="2025-03-21T00:00:00"/>
    <s v="F"/>
    <s v="App"/>
    <n v="5"/>
    <s v="California"/>
    <s v="Nevada County"/>
    <x v="3"/>
    <n v="12"/>
    <e v="#NAME?"/>
  </r>
  <r>
    <s v="TX502154"/>
    <s v="Shorts"/>
    <n v="4"/>
    <n v="32.1"/>
    <n v="128.4"/>
    <d v="2025-03-20T00:00:00"/>
    <d v="2025-03-21T00:00:00"/>
    <s v="F"/>
    <s v="Website"/>
    <n v="5"/>
    <s v="California"/>
    <s v="Orange County"/>
    <x v="3"/>
    <n v="12"/>
    <e v="#NAME?"/>
  </r>
  <r>
    <s v="TX502155"/>
    <s v="Graphic Tees"/>
    <n v="3"/>
    <n v="39"/>
    <n v="117"/>
    <d v="2025-03-20T00:00:00"/>
    <d v="2025-03-23T00:00:00"/>
    <s v="M"/>
    <s v="Website"/>
    <n v="5"/>
    <s v="California"/>
    <s v="Orange County"/>
    <x v="2"/>
    <n v="12"/>
    <e v="#NAME?"/>
  </r>
  <r>
    <s v="TX502156"/>
    <s v="Jeans"/>
    <n v="1"/>
    <n v="78.5"/>
    <n v="78.5"/>
    <d v="2025-03-20T00:00:00"/>
    <d v="2025-03-21T00:00:00"/>
    <s v="M"/>
    <s v="Website"/>
    <n v="4"/>
    <s v="California"/>
    <s v="Sacramento County"/>
    <x v="3"/>
    <n v="12"/>
    <e v="#NAME?"/>
  </r>
  <r>
    <s v="TX502157"/>
    <s v="Graphic Tees"/>
    <n v="5"/>
    <n v="49.7"/>
    <n v="248.5"/>
    <d v="2025-03-20T00:00:00"/>
    <d v="2025-03-22T00:00:00"/>
    <s v="F"/>
    <s v="App"/>
    <n v="4"/>
    <s v="California"/>
    <s v="Sacramento County"/>
    <x v="1"/>
    <n v="12"/>
    <e v="#NAME?"/>
  </r>
  <r>
    <s v="TX502158"/>
    <s v="Tank Tops"/>
    <n v="4"/>
    <n v="68.400000000000006"/>
    <n v="273.60000000000002"/>
    <d v="2025-03-20T00:00:00"/>
    <d v="2025-03-21T00:00:00"/>
    <s v="F"/>
    <s v="Target.com"/>
    <n v="5"/>
    <s v="California"/>
    <s v="San Bernardino County"/>
    <x v="3"/>
    <n v="12"/>
    <e v="#NAME?"/>
  </r>
  <r>
    <s v="TX502159"/>
    <s v="Workout Tops"/>
    <n v="2"/>
    <n v="72.900000000000006"/>
    <n v="145.80000000000001"/>
    <d v="2025-03-20T00:00:00"/>
    <d v="2025-03-23T00:00:00"/>
    <s v=""/>
    <s v="App"/>
    <n v="5"/>
    <s v="California"/>
    <s v="San Bernardino County"/>
    <x v="2"/>
    <n v="12"/>
    <e v="#NAME?"/>
  </r>
  <r>
    <s v="TX502160"/>
    <s v="Sandals"/>
    <n v="13"/>
    <n v="30.3"/>
    <n v="393.90000000000003"/>
    <d v="2025-03-20T00:00:00"/>
    <d v="2025-03-21T00:00:00"/>
    <s v="M"/>
    <s v="Partner App"/>
    <n v="4"/>
    <s v="California"/>
    <s v="San Bernardino County"/>
    <x v="3"/>
    <n v="12"/>
    <e v="#NAME?"/>
  </r>
  <r>
    <s v="TX502161"/>
    <s v="Jeans"/>
    <n v="11"/>
    <n v="57.9"/>
    <n v="636.9"/>
    <d v="2025-03-20T00:00:00"/>
    <d v="2025-03-21T00:00:00"/>
    <s v="F"/>
    <s v="App"/>
    <n v="4"/>
    <s v="California"/>
    <s v="San Diego County"/>
    <x v="3"/>
    <n v="12"/>
    <e v="#NAME?"/>
  </r>
  <r>
    <s v="TX502162"/>
    <s v="Tank Tops"/>
    <n v="1"/>
    <n v="96.7"/>
    <n v="96.7"/>
    <d v="2025-03-20T00:00:00"/>
    <d v="2025-03-21T00:00:00"/>
    <s v="M"/>
    <s v="App"/>
    <n v="4"/>
    <s v="California"/>
    <s v="San Diego County"/>
    <x v="3"/>
    <n v="12"/>
    <e v="#NAME?"/>
  </r>
  <r>
    <s v="TX502163"/>
    <s v="T-Shirts"/>
    <n v="12"/>
    <n v="27.6"/>
    <n v="331.20000000000005"/>
    <d v="2025-03-20T00:00:00"/>
    <d v="2025-03-22T00:00:00"/>
    <s v="M"/>
    <s v="Target.com"/>
    <n v="5"/>
    <s v="California"/>
    <s v="San Diego County"/>
    <x v="1"/>
    <n v="12"/>
    <e v="#NAME?"/>
  </r>
  <r>
    <s v="TX502164"/>
    <s v="Jeans"/>
    <n v="4"/>
    <n v="64.7"/>
    <n v="258.8"/>
    <d v="2025-03-20T00:00:00"/>
    <d v="2025-03-20T00:00:00"/>
    <s v="M"/>
    <s v="Instagram"/>
    <n v="5"/>
    <s v="California"/>
    <s v="San Diego County"/>
    <x v="7"/>
    <n v="12"/>
    <e v="#NAME?"/>
  </r>
  <r>
    <s v="TX502165"/>
    <s v="Bikinis"/>
    <n v="6"/>
    <n v="30.5"/>
    <n v="183"/>
    <d v="2025-03-20T00:00:00"/>
    <d v="2025-03-21T00:00:00"/>
    <s v="M"/>
    <s v="Partner App"/>
    <n v="4"/>
    <s v="California"/>
    <s v="San Diego County"/>
    <x v="3"/>
    <n v="12"/>
    <e v="#NAME?"/>
  </r>
  <r>
    <s v="TX502166"/>
    <s v="Jeans"/>
    <n v="70"/>
    <n v="106"/>
    <n v="7420"/>
    <d v="2025-03-21T00:00:00"/>
    <d v="2025-03-23T00:00:00"/>
    <s v="M"/>
    <s v="Partner App"/>
    <n v="5"/>
    <s v="California"/>
    <s v="San Diego County"/>
    <x v="1"/>
    <n v="12"/>
    <e v="#NAME?"/>
  </r>
  <r>
    <s v="TX502167"/>
    <s v="Casual Dresses"/>
    <n v="5"/>
    <n v="76.8"/>
    <n v="384"/>
    <d v="2025-03-21T00:00:00"/>
    <d v="2025-03-27T00:00:00"/>
    <s v=""/>
    <s v="Website"/>
    <n v="3"/>
    <s v="California"/>
    <s v="Sonoma County"/>
    <x v="4"/>
    <n v="12"/>
    <e v="#NAME?"/>
  </r>
  <r>
    <s v="TX502168"/>
    <s v="Jeans"/>
    <n v="2"/>
    <n v="80.400000000000006"/>
    <n v="160.80000000000001"/>
    <d v="2025-03-21T00:00:00"/>
    <d v="2025-03-22T00:00:00"/>
    <s v="F"/>
    <s v="Target.com"/>
    <n v="4"/>
    <s v="California"/>
    <s v="Ventura County"/>
    <x v="3"/>
    <n v="12"/>
    <e v="#NAME?"/>
  </r>
  <r>
    <s v="TX502169"/>
    <s v="Jeans"/>
    <n v="4"/>
    <n v="69.099999999999994"/>
    <n v="276.39999999999998"/>
    <d v="2025-03-21T00:00:00"/>
    <d v="2025-03-22T00:00:00"/>
    <s v="M"/>
    <s v="Website"/>
    <n v="5"/>
    <s v="California"/>
    <s v="Alameda County"/>
    <x v="3"/>
    <n v="12"/>
    <e v="#NAME?"/>
  </r>
  <r>
    <s v="TX502170"/>
    <s v="Leggings"/>
    <n v="2"/>
    <n v="76.400000000000006"/>
    <n v="152.80000000000001"/>
    <d v="2025-03-21T00:00:00"/>
    <d v="2025-03-21T00:00:00"/>
    <s v="M"/>
    <s v="Instagram"/>
    <n v="4"/>
    <s v="California"/>
    <s v="Alameda County"/>
    <x v="7"/>
    <n v="12"/>
    <e v="#NAME?"/>
  </r>
  <r>
    <s v="TX502171"/>
    <s v="Sneakers"/>
    <n v="2"/>
    <n v="61.3"/>
    <n v="122.6"/>
    <d v="2025-03-21T00:00:00"/>
    <d v="2025-03-22T00:00:00"/>
    <s v="F"/>
    <s v="Website"/>
    <n v="3"/>
    <s v="California"/>
    <s v="Alameda County"/>
    <x v="3"/>
    <n v="12"/>
    <e v="#NAME?"/>
  </r>
  <r>
    <s v="TX502172"/>
    <s v="Hoodies &amp; Sweatshirts"/>
    <n v="1"/>
    <n v="58"/>
    <n v="58"/>
    <d v="2025-03-21T00:00:00"/>
    <d v="2025-03-22T00:00:00"/>
    <s v="M"/>
    <s v="Instagram"/>
    <n v="3"/>
    <s v="California"/>
    <s v="Contra Costa County"/>
    <x v="3"/>
    <n v="12"/>
    <e v="#NAME?"/>
  </r>
  <r>
    <s v="TX502173"/>
    <s v="Sneakers"/>
    <n v="8"/>
    <n v="102.3"/>
    <n v="818.4"/>
    <d v="2025-03-21T00:00:00"/>
    <d v="2025-03-23T00:00:00"/>
    <s v="M"/>
    <s v="Target.com"/>
    <n v="4"/>
    <s v="California"/>
    <s v="El Dorado County"/>
    <x v="1"/>
    <n v="12"/>
    <e v="#NAME?"/>
  </r>
  <r>
    <s v="TX502174"/>
    <s v="Jewelry"/>
    <n v="2"/>
    <n v="13.8"/>
    <n v="27.6"/>
    <d v="2025-03-21T00:00:00"/>
    <d v="2025-03-22T00:00:00"/>
    <s v="F"/>
    <s v="Partner App"/>
    <n v="5"/>
    <s v="California"/>
    <s v="Fresno County"/>
    <x v="3"/>
    <n v="12"/>
    <e v="#NAME?"/>
  </r>
  <r>
    <s v="TX502175"/>
    <s v="T-Shirts"/>
    <n v="3"/>
    <n v="33.299999999999997"/>
    <n v="99.899999999999991"/>
    <d v="2025-03-21T00:00:00"/>
    <d v="2025-03-24T00:00:00"/>
    <s v="F"/>
    <s v="Target.com"/>
    <n v="4"/>
    <s v="California"/>
    <s v="Kern County"/>
    <x v="2"/>
    <n v="12"/>
    <e v="#NAME?"/>
  </r>
  <r>
    <s v="TX502176"/>
    <s v="Bikinis"/>
    <n v="1"/>
    <n v="27.4"/>
    <n v="27.4"/>
    <d v="2025-03-21T00:00:00"/>
    <d v="2025-03-24T00:00:00"/>
    <s v="M"/>
    <s v="App"/>
    <n v="5"/>
    <s v="California"/>
    <s v="Kern County"/>
    <x v="2"/>
    <n v="12"/>
    <e v="#NAME?"/>
  </r>
  <r>
    <s v="TX502177"/>
    <s v="Baseball Caps"/>
    <n v="2"/>
    <n v="25.6"/>
    <n v="51.2"/>
    <d v="2025-03-21T00:00:00"/>
    <d v="2025-03-22T00:00:00"/>
    <s v="F"/>
    <s v="Website"/>
    <n v="3"/>
    <s v="California"/>
    <s v="Los Angeles County"/>
    <x v="3"/>
    <n v="12"/>
    <e v="#NAME?"/>
  </r>
  <r>
    <s v="TX502178"/>
    <s v="Tote Bags"/>
    <n v="1"/>
    <n v="58.4"/>
    <n v="58.4"/>
    <d v="2025-03-21T00:00:00"/>
    <d v="2025-03-22T00:00:00"/>
    <s v="F"/>
    <s v="Target.com"/>
    <n v="5"/>
    <s v="California"/>
    <s v="Los Angeles County"/>
    <x v="3"/>
    <n v="12"/>
    <e v="#NAME?"/>
  </r>
  <r>
    <s v="TX502179"/>
    <s v="Maxi Dresses"/>
    <n v="30"/>
    <n v="27"/>
    <n v="810"/>
    <d v="2025-03-21T00:00:00"/>
    <d v="2025-03-22T00:00:00"/>
    <s v="F"/>
    <s v="Partner App"/>
    <n v="4"/>
    <s v="California"/>
    <s v="Los Angeles County"/>
    <x v="3"/>
    <n v="12"/>
    <e v="#NAME?"/>
  </r>
  <r>
    <s v="TX502180"/>
    <s v="Shorts"/>
    <n v="4"/>
    <n v="14.2"/>
    <n v="56.8"/>
    <d v="2025-03-21T00:00:00"/>
    <d v="2025-03-22T00:00:00"/>
    <s v="M"/>
    <s v="App"/>
    <n v="5"/>
    <s v="California"/>
    <s v="Los Angeles County"/>
    <x v="3"/>
    <n v="12"/>
    <e v="#NAME?"/>
  </r>
  <r>
    <s v="TX502181"/>
    <s v="Hoodies &amp; Sweatshirts"/>
    <n v="2"/>
    <n v="68"/>
    <n v="136"/>
    <d v="2025-03-21T00:00:00"/>
    <d v="2025-03-31T00:00:00"/>
    <s v="M"/>
    <s v="Target.com"/>
    <n v="3"/>
    <s v="California"/>
    <s v="Los Angeles County"/>
    <x v="14"/>
    <n v="12"/>
    <e v="#NAME?"/>
  </r>
  <r>
    <s v="TX502182"/>
    <s v="T-Shirts"/>
    <n v="1"/>
    <n v="30.7"/>
    <n v="30.7"/>
    <d v="2025-03-21T00:00:00"/>
    <d v="2025-03-22T00:00:00"/>
    <s v="M"/>
    <s v="App"/>
    <n v="4"/>
    <s v="California"/>
    <s v="Los Angeles County"/>
    <x v="3"/>
    <n v="12"/>
    <e v="#NAME?"/>
  </r>
  <r>
    <s v="TX502183"/>
    <s v="Pajama Sets"/>
    <n v="13"/>
    <n v="51.6"/>
    <n v="670.80000000000007"/>
    <d v="2025-03-21T00:00:00"/>
    <d v="2025-03-24T00:00:00"/>
    <s v="O"/>
    <s v="Website"/>
    <n v="5"/>
    <s v="California"/>
    <s v="Los Angeles County"/>
    <x v="2"/>
    <n v="12"/>
    <e v="#NAME?"/>
  </r>
  <r>
    <s v="TX502184"/>
    <s v="T-Shirts"/>
    <n v="3"/>
    <n v="20.6"/>
    <n v="61.800000000000004"/>
    <d v="2025-03-21T00:00:00"/>
    <d v="2025-03-25T00:00:00"/>
    <s v="F"/>
    <s v="Partner App"/>
    <n v="5"/>
    <s v="California"/>
    <s v="Los Angeles County"/>
    <x v="5"/>
    <n v="12"/>
    <e v="#NAME?"/>
  </r>
  <r>
    <s v="TX502185"/>
    <s v="T-Shirts"/>
    <n v="1"/>
    <n v="24.8"/>
    <n v="24.8"/>
    <d v="2025-03-21T00:00:00"/>
    <d v="2025-03-22T00:00:00"/>
    <s v="M"/>
    <s v="Partner App"/>
    <n v="4"/>
    <s v="California"/>
    <s v="Los Angeles County"/>
    <x v="3"/>
    <n v="12"/>
    <e v="#NAME?"/>
  </r>
  <r>
    <s v="TX502186"/>
    <s v="Shorts"/>
    <n v="7"/>
    <n v="11.2"/>
    <n v="78.399999999999991"/>
    <d v="2025-03-21T00:00:00"/>
    <d v="2025-03-24T00:00:00"/>
    <s v="M"/>
    <s v="Website"/>
    <n v="4"/>
    <s v="California"/>
    <s v="Los Angeles County"/>
    <x v="2"/>
    <n v="12"/>
    <e v="#NAME?"/>
  </r>
  <r>
    <s v="TX502187"/>
    <s v="Maxi Dresses"/>
    <n v="2"/>
    <n v="51.2"/>
    <n v="102.4"/>
    <d v="2025-03-21T00:00:00"/>
    <d v="2025-03-22T00:00:00"/>
    <s v="F"/>
    <s v="Website"/>
    <n v="5"/>
    <s v="California"/>
    <s v="Los Angeles County"/>
    <x v="3"/>
    <n v="12"/>
    <e v="#NAME?"/>
  </r>
  <r>
    <s v="TX502188"/>
    <s v="Hoodies &amp; Sweatshirts"/>
    <n v="6"/>
    <n v="90.5"/>
    <n v="543"/>
    <d v="2025-03-21T00:00:00"/>
    <d v="2025-03-22T00:00:00"/>
    <s v="F"/>
    <s v="Website"/>
    <n v="2"/>
    <s v="California"/>
    <s v="Los Angeles County"/>
    <x v="3"/>
    <n v="12"/>
    <e v="#NAME?"/>
  </r>
  <r>
    <s v="TX502189"/>
    <s v="Tank Tops"/>
    <n v="2"/>
    <n v="42.4"/>
    <n v="84.8"/>
    <d v="2025-03-21T00:00:00"/>
    <d v="2025-03-22T00:00:00"/>
    <s v="M"/>
    <s v="Website"/>
    <n v="5"/>
    <s v="California"/>
    <s v="Nevada County"/>
    <x v="3"/>
    <n v="12"/>
    <e v="#NAME?"/>
  </r>
  <r>
    <s v="TX502190"/>
    <s v="Tank Tops"/>
    <n v="2"/>
    <n v="38.200000000000003"/>
    <n v="76.400000000000006"/>
    <d v="2025-03-21T00:00:00"/>
    <d v="2025-03-22T00:00:00"/>
    <s v="M"/>
    <s v="App"/>
    <n v="4"/>
    <s v="California"/>
    <s v="Placer County"/>
    <x v="3"/>
    <n v="12"/>
    <e v="#NAME?"/>
  </r>
  <r>
    <s v="TX502191"/>
    <s v="Sneakers"/>
    <n v="9"/>
    <n v="121.3"/>
    <n v="1091.7"/>
    <d v="2025-03-21T00:00:00"/>
    <d v="2025-03-26T00:00:00"/>
    <s v="M"/>
    <s v="App"/>
    <n v="4"/>
    <s v="California"/>
    <s v="Sacramento County"/>
    <x v="0"/>
    <n v="12"/>
    <e v="#NAME?"/>
  </r>
  <r>
    <s v="TX502192"/>
    <s v="Jeans"/>
    <n v="2"/>
    <n v="46.9"/>
    <n v="93.8"/>
    <d v="2025-03-21T00:00:00"/>
    <d v="2025-03-28T00:00:00"/>
    <s v="M"/>
    <s v="App"/>
    <n v="4"/>
    <s v="California"/>
    <s v="San Diego County"/>
    <x v="6"/>
    <n v="12"/>
    <e v="#NAME?"/>
  </r>
  <r>
    <s v="TX502193"/>
    <s v="Bikinis"/>
    <n v="1"/>
    <n v="55.3"/>
    <n v="55.3"/>
    <d v="2025-03-21T00:00:00"/>
    <d v="2025-03-23T00:00:00"/>
    <s v="M"/>
    <s v="App"/>
    <n v="4"/>
    <s v="California"/>
    <s v="San Diego County"/>
    <x v="1"/>
    <n v="12"/>
    <e v="#NAME?"/>
  </r>
  <r>
    <s v="TX502194"/>
    <s v="Sneakers"/>
    <n v="3"/>
    <n v="70.599999999999994"/>
    <n v="211.79999999999998"/>
    <d v="2025-03-22T00:00:00"/>
    <d v="2025-03-22T00:00:00"/>
    <s v="F"/>
    <s v="App"/>
    <n v="3"/>
    <s v="California"/>
    <s v="San Diego County"/>
    <x v="7"/>
    <n v="12"/>
    <e v="#NAME?"/>
  </r>
  <r>
    <s v="TX502195"/>
    <s v="Baseball Caps"/>
    <n v="4"/>
    <n v="26.1"/>
    <n v="104.4"/>
    <d v="2025-03-22T00:00:00"/>
    <d v="2025-03-24T00:00:00"/>
    <s v="M"/>
    <s v="App"/>
    <n v="4"/>
    <s v="California"/>
    <s v="San Diego County"/>
    <x v="1"/>
    <n v="12"/>
    <e v="#NAME?"/>
  </r>
  <r>
    <s v="TX502196"/>
    <s v="Sundresses"/>
    <n v="11"/>
    <n v="34.5"/>
    <n v="379.5"/>
    <d v="2025-03-22T00:00:00"/>
    <d v="2025-03-26T00:00:00"/>
    <s v="M"/>
    <s v="Target.com"/>
    <n v="4"/>
    <s v="California"/>
    <s v="San Francisco"/>
    <x v="5"/>
    <n v="12"/>
    <e v="#NAME?"/>
  </r>
  <r>
    <s v="TX502197"/>
    <s v="Tank Tops"/>
    <n v="2"/>
    <n v="64.2"/>
    <n v="128.4"/>
    <d v="2025-03-22T00:00:00"/>
    <d v="2025-03-23T00:00:00"/>
    <s v="F"/>
    <s v="App"/>
    <n v="3"/>
    <s v="California"/>
    <s v="San Francisco"/>
    <x v="3"/>
    <n v="12"/>
    <e v="#NAME?"/>
  </r>
  <r>
    <s v="TX502198"/>
    <s v="Sneakers"/>
    <n v="4"/>
    <n v="145.69999999999999"/>
    <n v="582.79999999999995"/>
    <d v="2025-03-22T00:00:00"/>
    <d v="2025-03-23T00:00:00"/>
    <s v="F"/>
    <s v="App"/>
    <n v="2"/>
    <s v="California"/>
    <s v="San Francisco"/>
    <x v="3"/>
    <n v="12"/>
    <e v="#NAME?"/>
  </r>
  <r>
    <s v="TX502199"/>
    <s v="Casual Dresses"/>
    <n v="2"/>
    <n v="78.5"/>
    <n v="157"/>
    <d v="2025-03-22T00:00:00"/>
    <d v="2025-03-23T00:00:00"/>
    <s v="M"/>
    <s v="Target.com"/>
    <n v="4"/>
    <s v="California"/>
    <s v="San Joaquin County"/>
    <x v="3"/>
    <n v="12"/>
    <e v="#NAME?"/>
  </r>
  <r>
    <s v="TX502200"/>
    <s v="Tank Tops"/>
    <n v="1"/>
    <n v="34.200000000000003"/>
    <n v="34.200000000000003"/>
    <d v="2025-03-22T00:00:00"/>
    <d v="2025-03-24T00:00:00"/>
    <s v="M"/>
    <s v="App"/>
    <n v="4"/>
    <s v="California"/>
    <s v="San Mateo County"/>
    <x v="1"/>
    <n v="12"/>
    <e v="#NAME?"/>
  </r>
  <r>
    <s v="TX502201"/>
    <s v="Jewelry"/>
    <n v="1"/>
    <n v="26.2"/>
    <n v="26.2"/>
    <d v="2025-03-22T00:00:00"/>
    <d v="2025-03-23T00:00:00"/>
    <s v="M"/>
    <s v="Target.com"/>
    <n v="4"/>
    <s v="California"/>
    <s v="San Mateo County"/>
    <x v="3"/>
    <n v="12"/>
    <e v="#NAME?"/>
  </r>
  <r>
    <s v="TX502202"/>
    <s v="Jeans"/>
    <n v="4"/>
    <n v="53.2"/>
    <n v="212.8"/>
    <d v="2025-03-22T00:00:00"/>
    <d v="2025-03-23T00:00:00"/>
    <s v="M"/>
    <s v="Website"/>
    <n v="3"/>
    <s v="California"/>
    <s v="Santa Clara County"/>
    <x v="3"/>
    <n v="12"/>
    <e v="#NAME?"/>
  </r>
  <r>
    <s v="TX502203"/>
    <s v="Tank Tops"/>
    <n v="1"/>
    <n v="35.4"/>
    <n v="35.4"/>
    <d v="2025-03-22T00:00:00"/>
    <d v="2025-03-26T00:00:00"/>
    <s v="M"/>
    <s v="Website"/>
    <n v="2"/>
    <s v="California"/>
    <s v="Sonoma County"/>
    <x v="5"/>
    <n v="12"/>
    <e v="#NAME?"/>
  </r>
  <r>
    <s v="TX502204"/>
    <s v="Baseball Caps"/>
    <n v="2"/>
    <n v="21.3"/>
    <n v="42.6"/>
    <d v="2025-03-22T00:00:00"/>
    <d v="2025-03-23T00:00:00"/>
    <s v="M"/>
    <s v="Target.com"/>
    <n v="4"/>
    <s v="California"/>
    <s v="Tulare County"/>
    <x v="3"/>
    <n v="12"/>
    <e v="#NAME?"/>
  </r>
  <r>
    <s v="TX502205"/>
    <s v="T-Shirts"/>
    <n v="4"/>
    <n v="32.9"/>
    <n v="131.6"/>
    <d v="2025-03-22T00:00:00"/>
    <d v="2025-03-25T00:00:00"/>
    <s v="F"/>
    <s v="Partner App"/>
    <n v="5"/>
    <s v="California"/>
    <s v="Alameda County"/>
    <x v="2"/>
    <n v="12"/>
    <e v="#NAME?"/>
  </r>
  <r>
    <s v="TX502206"/>
    <s v="Sandals"/>
    <n v="15"/>
    <n v="85.5"/>
    <n v="1282.5"/>
    <d v="2025-03-22T00:00:00"/>
    <d v="2025-03-24T00:00:00"/>
    <s v="F"/>
    <s v="Instagram"/>
    <n v="3"/>
    <s v="California"/>
    <s v="Alameda County"/>
    <x v="1"/>
    <n v="12"/>
    <e v="#NAME?"/>
  </r>
  <r>
    <s v="TX502207"/>
    <s v="Graphic Tees"/>
    <n v="1"/>
    <n v="26.8"/>
    <n v="26.8"/>
    <d v="2025-03-22T00:00:00"/>
    <d v="2025-03-23T00:00:00"/>
    <s v="F"/>
    <s v="App"/>
    <n v="3"/>
    <s v="California"/>
    <s v="Fresno County"/>
    <x v="3"/>
    <n v="12"/>
    <e v="#NAME?"/>
  </r>
  <r>
    <s v="TX502208"/>
    <s v="Sundresses"/>
    <n v="26"/>
    <n v="31.7"/>
    <n v="824.19999999999993"/>
    <d v="2025-03-22T00:00:00"/>
    <d v="2025-03-22T00:00:00"/>
    <s v="F"/>
    <s v="Instagram"/>
    <n v="4"/>
    <s v="California"/>
    <s v="Fresno County"/>
    <x v="7"/>
    <n v="12"/>
    <e v="#NAME?"/>
  </r>
  <r>
    <s v="TX502209"/>
    <s v="Tank Tops"/>
    <n v="2"/>
    <n v="78.3"/>
    <n v="156.6"/>
    <d v="2025-03-22T00:00:00"/>
    <d v="2025-03-24T00:00:00"/>
    <s v="F"/>
    <s v="Website"/>
    <n v="3"/>
    <s v="California"/>
    <s v="Los Angeles County"/>
    <x v="1"/>
    <n v="12"/>
    <e v="#NAME?"/>
  </r>
  <r>
    <s v="TX502210"/>
    <s v="Jeans"/>
    <n v="1"/>
    <n v="43.9"/>
    <n v="43.9"/>
    <d v="2025-03-22T00:00:00"/>
    <d v="2025-03-23T00:00:00"/>
    <s v="M"/>
    <s v="App"/>
    <n v="4"/>
    <s v="California"/>
    <s v="Los Angeles County"/>
    <x v="3"/>
    <n v="12"/>
    <e v="#NAME?"/>
  </r>
  <r>
    <s v="TX502211"/>
    <s v="Leggings"/>
    <n v="3"/>
    <n v="84"/>
    <n v="252"/>
    <d v="2025-03-22T00:00:00"/>
    <d v="2025-03-24T00:00:00"/>
    <s v=""/>
    <s v="Instagram"/>
    <n v="5"/>
    <s v="California"/>
    <s v="Los Angeles County"/>
    <x v="1"/>
    <n v="12"/>
    <e v="#NAME?"/>
  </r>
  <r>
    <s v="TX502212"/>
    <s v="Shorts"/>
    <n v="3"/>
    <n v="11.4"/>
    <n v="34.200000000000003"/>
    <d v="2025-03-22T00:00:00"/>
    <d v="2025-03-23T00:00:00"/>
    <s v="M"/>
    <s v="Partner App"/>
    <n v="4"/>
    <s v="California"/>
    <s v="Los Angeles County"/>
    <x v="3"/>
    <n v="12"/>
    <e v="#NAME?"/>
  </r>
  <r>
    <s v="TX502213"/>
    <s v="Casual Dresses"/>
    <n v="8"/>
    <n v="47.5"/>
    <n v="380"/>
    <d v="2025-03-22T00:00:00"/>
    <d v="2025-03-30T00:00:00"/>
    <s v="F"/>
    <s v="App"/>
    <n v="4"/>
    <s v="California"/>
    <s v="Los Angeles County"/>
    <x v="9"/>
    <n v="12"/>
    <e v="#NAME?"/>
  </r>
  <r>
    <s v="TX502214"/>
    <s v="Sundresses"/>
    <n v="11"/>
    <n v="50.5"/>
    <n v="555.5"/>
    <d v="2025-03-22T00:00:00"/>
    <d v="2025-03-24T00:00:00"/>
    <s v="M"/>
    <s v="Target.com"/>
    <n v="4"/>
    <s v="California"/>
    <s v="Los Angeles County"/>
    <x v="1"/>
    <n v="12"/>
    <e v="#NAME?"/>
  </r>
  <r>
    <s v="TX502215"/>
    <s v="Crop Tops"/>
    <n v="1"/>
    <n v="36.299999999999997"/>
    <n v="36.299999999999997"/>
    <d v="2025-03-22T00:00:00"/>
    <d v="2025-03-25T00:00:00"/>
    <s v="O"/>
    <s v="App"/>
    <n v="3"/>
    <s v="California"/>
    <s v="San Diego County"/>
    <x v="2"/>
    <n v="12"/>
    <e v="#NAME?"/>
  </r>
  <r>
    <s v="TX502216"/>
    <s v="T-Shirts"/>
    <n v="2"/>
    <n v="35.4"/>
    <n v="70.8"/>
    <d v="2025-03-22T00:00:00"/>
    <d v="2025-03-23T00:00:00"/>
    <s v="F"/>
    <s v="App"/>
    <n v="4"/>
    <s v="California"/>
    <s v="San Francisco"/>
    <x v="3"/>
    <n v="12"/>
    <e v="#NAME?"/>
  </r>
  <r>
    <s v="TX502217"/>
    <s v="Tank Tops"/>
    <n v="3"/>
    <n v="45.9"/>
    <n v="137.69999999999999"/>
    <d v="2025-03-23T00:00:00"/>
    <d v="2025-03-24T00:00:00"/>
    <s v="M"/>
    <s v="Instagram"/>
    <n v="4"/>
    <s v="California"/>
    <s v="San Mateo County"/>
    <x v="3"/>
    <n v="13"/>
    <e v="#NAME?"/>
  </r>
  <r>
    <s v="TX502218"/>
    <s v="Jeans"/>
    <n v="10"/>
    <n v="41.2"/>
    <n v="412"/>
    <d v="2025-03-23T00:00:00"/>
    <d v="2025-03-27T00:00:00"/>
    <s v="M"/>
    <s v="App"/>
    <n v="4"/>
    <s v="California"/>
    <s v="Santa Clara County"/>
    <x v="5"/>
    <n v="13"/>
    <e v="#NAME?"/>
  </r>
  <r>
    <s v="TX502219"/>
    <s v="Pajama Sets"/>
    <n v="2"/>
    <n v="45.1"/>
    <n v="90.2"/>
    <d v="2025-03-23T00:00:00"/>
    <d v="2025-03-24T00:00:00"/>
    <s v="M"/>
    <s v="Website"/>
    <n v="3"/>
    <s v="California"/>
    <s v="Alameda County"/>
    <x v="3"/>
    <n v="13"/>
    <e v="#NAME?"/>
  </r>
  <r>
    <s v="TX502220"/>
    <s v="Jeans"/>
    <n v="10"/>
    <n v="63.6"/>
    <n v="636"/>
    <d v="2025-03-23T00:00:00"/>
    <d v="2025-03-23T00:00:00"/>
    <s v="M"/>
    <s v="Target.com"/>
    <n v="4"/>
    <s v="California"/>
    <s v="Contra Costa County"/>
    <x v="7"/>
    <n v="13"/>
    <e v="#NAME?"/>
  </r>
  <r>
    <s v="TX502221"/>
    <s v="T-Shirts"/>
    <n v="1"/>
    <n v="70.5"/>
    <n v="70.5"/>
    <d v="2025-03-23T00:00:00"/>
    <d v="2025-03-24T00:00:00"/>
    <s v="M"/>
    <s v="App"/>
    <n v="4"/>
    <s v="California"/>
    <s v="Los Angeles County"/>
    <x v="3"/>
    <n v="13"/>
    <e v="#NAME?"/>
  </r>
  <r>
    <s v="TX502222"/>
    <s v="Jeans"/>
    <n v="1"/>
    <n v="41.3"/>
    <n v="41.3"/>
    <d v="2025-03-23T00:00:00"/>
    <d v="2025-03-23T00:00:00"/>
    <s v="M"/>
    <s v="Partner App"/>
    <n v="4"/>
    <s v="California"/>
    <s v="Los Angeles County"/>
    <x v="7"/>
    <n v="13"/>
    <e v="#NAME?"/>
  </r>
  <r>
    <s v="TX502223"/>
    <s v="Graphic Tees"/>
    <n v="1"/>
    <n v="35.299999999999997"/>
    <n v="35.299999999999997"/>
    <d v="2025-03-23T00:00:00"/>
    <d v="2025-03-26T00:00:00"/>
    <s v="F"/>
    <s v="Partner App"/>
    <n v="5"/>
    <s v="California"/>
    <s v="Los Angeles County"/>
    <x v="2"/>
    <n v="13"/>
    <e v="#NAME?"/>
  </r>
  <r>
    <s v="TX502224"/>
    <s v="T-Shirts"/>
    <n v="5"/>
    <n v="34.700000000000003"/>
    <n v="173.5"/>
    <d v="2025-03-23T00:00:00"/>
    <d v="2025-03-24T00:00:00"/>
    <s v="F"/>
    <s v="App"/>
    <n v="5"/>
    <s v="California"/>
    <s v="Los Angeles County"/>
    <x v="3"/>
    <n v="13"/>
    <e v="#NAME?"/>
  </r>
  <r>
    <s v="TX502225"/>
    <s v="T-Shirts"/>
    <n v="3"/>
    <n v="26.1"/>
    <n v="78.300000000000011"/>
    <d v="2025-03-23T00:00:00"/>
    <d v="2025-03-24T00:00:00"/>
    <s v="F"/>
    <s v="App"/>
    <n v="4"/>
    <s v="California"/>
    <s v="Los Angeles County"/>
    <x v="3"/>
    <n v="13"/>
    <e v="#NAME?"/>
  </r>
  <r>
    <s v="TX502226"/>
    <s v="Sundresses"/>
    <n v="5"/>
    <n v="22.6"/>
    <n v="113"/>
    <d v="2025-03-23T00:00:00"/>
    <d v="2025-03-23T00:00:00"/>
    <s v="F"/>
    <s v="Website"/>
    <n v="5"/>
    <s v="California"/>
    <s v="Los Angeles County"/>
    <x v="7"/>
    <n v="13"/>
    <e v="#NAME?"/>
  </r>
  <r>
    <s v="TX502227"/>
    <s v="Sneakers"/>
    <n v="2"/>
    <n v="154.4"/>
    <n v="308.8"/>
    <d v="2025-03-23T00:00:00"/>
    <d v="2025-03-26T00:00:00"/>
    <s v="M"/>
    <s v="Website"/>
    <n v="3"/>
    <s v="California"/>
    <s v="Los Angeles County"/>
    <x v="2"/>
    <n v="13"/>
    <e v="#NAME?"/>
  </r>
  <r>
    <s v="TX502228"/>
    <s v="T-Shirts"/>
    <n v="2"/>
    <n v="18.399999999999999"/>
    <n v="36.799999999999997"/>
    <d v="2025-03-23T00:00:00"/>
    <d v="2025-03-24T00:00:00"/>
    <s v="M"/>
    <s v="App"/>
    <n v="4"/>
    <s v="California"/>
    <s v="Los Angeles County"/>
    <x v="3"/>
    <n v="13"/>
    <e v="#NAME?"/>
  </r>
  <r>
    <s v="TX502229"/>
    <s v="Baseball Caps"/>
    <n v="1"/>
    <n v="25"/>
    <n v="25"/>
    <d v="2025-03-23T00:00:00"/>
    <d v="2025-03-26T00:00:00"/>
    <s v="F"/>
    <s v="App"/>
    <n v="4"/>
    <s v="California"/>
    <s v="Los Angeles County"/>
    <x v="2"/>
    <n v="13"/>
    <e v="#NAME?"/>
  </r>
  <r>
    <s v="TX502230"/>
    <s v="Sneakers"/>
    <n v="6"/>
    <n v="105.6"/>
    <n v="633.59999999999991"/>
    <d v="2025-03-23T00:00:00"/>
    <d v="2025-03-23T00:00:00"/>
    <s v="F"/>
    <s v="App"/>
    <n v="4"/>
    <s v="California"/>
    <s v="Los Angeles County"/>
    <x v="7"/>
    <n v="13"/>
    <e v="#NAME?"/>
  </r>
  <r>
    <s v="TX502231"/>
    <s v="Leggings"/>
    <n v="8"/>
    <n v="59.6"/>
    <n v="476.8"/>
    <d v="2025-03-23T00:00:00"/>
    <d v="2025-03-23T00:00:00"/>
    <s v="F"/>
    <s v="App"/>
    <n v="5"/>
    <s v="California"/>
    <s v="Riverside County"/>
    <x v="7"/>
    <n v="13"/>
    <e v="#NAME?"/>
  </r>
  <r>
    <s v="TX502232"/>
    <s v="Crop Tops"/>
    <n v="3"/>
    <n v="75.400000000000006"/>
    <n v="226.20000000000002"/>
    <d v="2025-03-23T00:00:00"/>
    <d v="2025-03-28T00:00:00"/>
    <s v="M"/>
    <s v="App"/>
    <n v="3"/>
    <s v="California"/>
    <s v="San Bernardino County"/>
    <x v="0"/>
    <n v="13"/>
    <e v="#NAME?"/>
  </r>
  <r>
    <s v="TX502233"/>
    <s v="Hoodies &amp; Sweatshirts"/>
    <n v="1"/>
    <n v="104.4"/>
    <n v="104.4"/>
    <d v="2025-03-23T00:00:00"/>
    <d v="2025-03-24T00:00:00"/>
    <s v="F"/>
    <s v="App"/>
    <n v="4"/>
    <s v="California"/>
    <s v="San Diego County"/>
    <x v="3"/>
    <n v="13"/>
    <e v="#NAME?"/>
  </r>
  <r>
    <s v="TX502234"/>
    <s v="Sneakers"/>
    <n v="10"/>
    <n v="208.2"/>
    <n v="2082"/>
    <d v="2025-03-23T00:00:00"/>
    <d v="2025-03-24T00:00:00"/>
    <s v="M"/>
    <s v="App"/>
    <n v="5"/>
    <s v="California"/>
    <s v="San Diego County"/>
    <x v="3"/>
    <n v="13"/>
    <e v="#NAME?"/>
  </r>
  <r>
    <s v="TX502235"/>
    <s v="Jeans"/>
    <n v="2"/>
    <n v="45"/>
    <n v="90"/>
    <d v="2025-03-23T00:00:00"/>
    <d v="2025-03-26T00:00:00"/>
    <s v="F"/>
    <s v="App"/>
    <n v="4"/>
    <s v="California"/>
    <s v="Santa Barbara County"/>
    <x v="2"/>
    <n v="13"/>
    <e v="#NAME?"/>
  </r>
  <r>
    <s v="TX502236"/>
    <s v="Crop Tops"/>
    <n v="2"/>
    <n v="20.3"/>
    <n v="40.6"/>
    <d v="2025-03-24T00:00:00"/>
    <d v="2025-03-26T00:00:00"/>
    <s v=""/>
    <s v="Website"/>
    <n v="4"/>
    <s v="California"/>
    <s v="Santa Clara County"/>
    <x v="1"/>
    <n v="13"/>
    <e v="#NAME?"/>
  </r>
  <r>
    <s v="TX502237"/>
    <s v="Sneakers"/>
    <n v="3"/>
    <n v="94.4"/>
    <n v="283.20000000000005"/>
    <d v="2025-03-24T00:00:00"/>
    <d v="2025-03-25T00:00:00"/>
    <s v="F"/>
    <s v="App"/>
    <n v="5"/>
    <s v="California"/>
    <s v="Santa Clara County"/>
    <x v="3"/>
    <n v="13"/>
    <e v="#NAME?"/>
  </r>
  <r>
    <s v="TX502238"/>
    <s v="Sundresses"/>
    <n v="1"/>
    <n v="49"/>
    <n v="49"/>
    <d v="2025-03-24T00:00:00"/>
    <d v="2025-03-26T00:00:00"/>
    <s v="F"/>
    <s v="App"/>
    <n v="5"/>
    <s v="California"/>
    <s v="Tulare County"/>
    <x v="1"/>
    <n v="13"/>
    <e v="#NAME?"/>
  </r>
  <r>
    <s v="TX502239"/>
    <s v="Graphic Tees"/>
    <n v="2"/>
    <n v="27.2"/>
    <n v="54.4"/>
    <d v="2025-03-24T00:00:00"/>
    <d v="2025-03-26T00:00:00"/>
    <s v="M"/>
    <s v="App"/>
    <n v="5"/>
    <s v="California"/>
    <s v="Contra Costa County"/>
    <x v="1"/>
    <n v="13"/>
    <e v="#NAME?"/>
  </r>
  <r>
    <s v="TX502240"/>
    <s v="Sneakers"/>
    <n v="6"/>
    <n v="72.599999999999994"/>
    <n v="435.59999999999997"/>
    <d v="2025-03-24T00:00:00"/>
    <d v="2025-03-25T00:00:00"/>
    <s v="F"/>
    <s v="App"/>
    <n v="5"/>
    <s v="California"/>
    <s v="Fresno County"/>
    <x v="3"/>
    <n v="13"/>
    <e v="#NAME?"/>
  </r>
  <r>
    <s v="TX502241"/>
    <s v="Crop Tops"/>
    <n v="4"/>
    <n v="62.4"/>
    <n v="249.6"/>
    <d v="2025-03-24T00:00:00"/>
    <d v="2025-03-25T00:00:00"/>
    <s v="F"/>
    <s v="App"/>
    <n v="4"/>
    <s v="California"/>
    <s v="Los Angeles County"/>
    <x v="3"/>
    <n v="13"/>
    <e v="#NAME?"/>
  </r>
  <r>
    <s v="TX502242"/>
    <s v="T-Shirts"/>
    <n v="3"/>
    <n v="19.100000000000001"/>
    <n v="57.300000000000004"/>
    <d v="2025-03-24T00:00:00"/>
    <d v="2025-03-26T00:00:00"/>
    <s v="M"/>
    <s v="App"/>
    <n v="3"/>
    <s v="California"/>
    <s v="Los Angeles County"/>
    <x v="1"/>
    <n v="13"/>
    <e v="#NAME?"/>
  </r>
  <r>
    <s v="TX502243"/>
    <s v="Bikinis"/>
    <n v="1"/>
    <n v="29.6"/>
    <n v="29.6"/>
    <d v="2025-03-24T00:00:00"/>
    <d v="2025-03-28T00:00:00"/>
    <s v="M"/>
    <s v="App"/>
    <n v="2"/>
    <s v="California"/>
    <s v="Los Angeles County"/>
    <x v="5"/>
    <n v="13"/>
    <e v="#NAME?"/>
  </r>
  <r>
    <s v="TX502244"/>
    <s v="T-Shirts"/>
    <n v="2"/>
    <n v="18.899999999999999"/>
    <n v="37.799999999999997"/>
    <d v="2025-03-24T00:00:00"/>
    <d v="2025-03-26T00:00:00"/>
    <s v="F"/>
    <s v="Partner App"/>
    <n v="5"/>
    <s v="California"/>
    <s v="Los Angeles County"/>
    <x v="1"/>
    <n v="13"/>
    <e v="#NAME?"/>
  </r>
  <r>
    <s v="TX502245"/>
    <s v="Bikinis"/>
    <n v="5"/>
    <n v="41.4"/>
    <n v="207"/>
    <d v="2025-03-24T00:00:00"/>
    <d v="2025-03-25T00:00:00"/>
    <s v="M"/>
    <s v="Instagram"/>
    <n v="4"/>
    <s v="California"/>
    <s v="Los Angeles County"/>
    <x v="3"/>
    <n v="13"/>
    <e v="#NAME?"/>
  </r>
  <r>
    <s v="TX502246"/>
    <s v="Sneakers"/>
    <n v="1"/>
    <n v="118.4"/>
    <n v="118.4"/>
    <d v="2025-03-24T00:00:00"/>
    <d v="2025-03-25T00:00:00"/>
    <s v="F"/>
    <s v="App"/>
    <n v="5"/>
    <s v="California"/>
    <s v="Los Angeles County"/>
    <x v="3"/>
    <n v="13"/>
    <e v="#NAME?"/>
  </r>
  <r>
    <s v="TX502247"/>
    <s v="Sneakers"/>
    <n v="2"/>
    <n v="125.3"/>
    <n v="250.6"/>
    <d v="2025-03-24T00:00:00"/>
    <d v="2025-03-27T00:00:00"/>
    <s v="F"/>
    <s v="App"/>
    <n v="5"/>
    <s v="California"/>
    <s v="Los Angeles County"/>
    <x v="2"/>
    <n v="13"/>
    <e v="#NAME?"/>
  </r>
  <r>
    <s v="TX502248"/>
    <s v="Workout Tops"/>
    <n v="2"/>
    <n v="85.8"/>
    <n v="171.6"/>
    <d v="2025-03-24T00:00:00"/>
    <d v="2025-03-25T00:00:00"/>
    <s v="F"/>
    <s v="Website"/>
    <n v="2"/>
    <s v="California"/>
    <s v="Los Angeles County"/>
    <x v="3"/>
    <n v="13"/>
    <e v="#NAME?"/>
  </r>
  <r>
    <s v="TX502249"/>
    <s v="Jeans"/>
    <n v="1"/>
    <n v="44.2"/>
    <n v="44.2"/>
    <d v="2025-03-24T00:00:00"/>
    <d v="2025-03-27T00:00:00"/>
    <s v="M"/>
    <s v="Website"/>
    <n v="4"/>
    <s v="California"/>
    <s v="Los Angeles County"/>
    <x v="2"/>
    <n v="13"/>
    <e v="#NAME?"/>
  </r>
  <r>
    <s v="TX502250"/>
    <s v="Sandals"/>
    <n v="4"/>
    <n v="74.099999999999994"/>
    <n v="296.39999999999998"/>
    <d v="2025-03-24T00:00:00"/>
    <d v="2025-03-26T00:00:00"/>
    <s v="F"/>
    <s v="App"/>
    <n v="4"/>
    <s v="California"/>
    <s v="Los Angeles County"/>
    <x v="1"/>
    <n v="13"/>
    <e v="#NAME?"/>
  </r>
  <r>
    <s v="TX502251"/>
    <s v="T-Shirts"/>
    <n v="1"/>
    <n v="33.799999999999997"/>
    <n v="33.799999999999997"/>
    <d v="2025-03-24T00:00:00"/>
    <d v="2025-03-25T00:00:00"/>
    <s v="F"/>
    <s v="Target.com"/>
    <n v="5"/>
    <s v="California"/>
    <s v="Merced County"/>
    <x v="3"/>
    <n v="13"/>
    <e v="#NAME?"/>
  </r>
  <r>
    <s v="TX502252"/>
    <s v="Tank Tops"/>
    <n v="2"/>
    <n v="39.1"/>
    <n v="78.2"/>
    <d v="2025-03-24T00:00:00"/>
    <d v="2025-03-25T00:00:00"/>
    <s v="M"/>
    <s v="App"/>
    <n v="3"/>
    <s v="California"/>
    <s v="Merced County"/>
    <x v="3"/>
    <n v="13"/>
    <e v="#NAME?"/>
  </r>
  <r>
    <s v="TX502253"/>
    <s v="Shorts"/>
    <n v="1"/>
    <n v="37.200000000000003"/>
    <n v="37.200000000000003"/>
    <d v="2025-03-24T00:00:00"/>
    <d v="2025-03-25T00:00:00"/>
    <s v="M"/>
    <s v="App"/>
    <n v="3"/>
    <s v="California"/>
    <s v="Napa County"/>
    <x v="3"/>
    <n v="13"/>
    <e v="#NAME?"/>
  </r>
  <r>
    <s v="TX502254"/>
    <s v="Crop Tops"/>
    <n v="3"/>
    <n v="33.9"/>
    <n v="101.69999999999999"/>
    <d v="2025-03-24T00:00:00"/>
    <d v="2025-03-26T00:00:00"/>
    <s v="M"/>
    <s v="Target.com"/>
    <n v="4"/>
    <s v="California"/>
    <s v="Sacramento County"/>
    <x v="1"/>
    <n v="13"/>
    <e v="#NAME?"/>
  </r>
  <r>
    <s v="TX502255"/>
    <s v="Hoodies &amp; Sweatshirts"/>
    <n v="15"/>
    <n v="73.3"/>
    <n v="1099.5"/>
    <d v="2025-03-24T00:00:00"/>
    <d v="2025-03-27T00:00:00"/>
    <s v="F"/>
    <s v="Target.com"/>
    <n v="3"/>
    <s v="California"/>
    <s v="San Diego County"/>
    <x v="2"/>
    <n v="13"/>
    <e v="#NAME?"/>
  </r>
  <r>
    <s v="TX502256"/>
    <s v="T-Shirts"/>
    <n v="4"/>
    <n v="35"/>
    <n v="140"/>
    <d v="2025-03-24T00:00:00"/>
    <d v="2025-03-26T00:00:00"/>
    <s v="F"/>
    <s v="Website"/>
    <n v="4"/>
    <s v="California"/>
    <s v="San Diego County"/>
    <x v="1"/>
    <n v="13"/>
    <e v="#NAME?"/>
  </r>
  <r>
    <s v="TX502257"/>
    <s v="Shorts"/>
    <n v="3"/>
    <n v="22.2"/>
    <n v="66.599999999999994"/>
    <d v="2025-03-24T00:00:00"/>
    <d v="2025-03-25T00:00:00"/>
    <s v="M"/>
    <s v="Website"/>
    <n v="4"/>
    <s v="California"/>
    <s v="San Francisco"/>
    <x v="3"/>
    <n v="13"/>
    <e v="#NAME?"/>
  </r>
  <r>
    <s v="TX502258"/>
    <s v="Bikinis"/>
    <n v="1"/>
    <n v="32.4"/>
    <n v="32.4"/>
    <d v="2025-03-24T00:00:00"/>
    <d v="2025-03-25T00:00:00"/>
    <s v="F"/>
    <s v="App"/>
    <n v="4"/>
    <s v="California"/>
    <s v="Santa Clara County"/>
    <x v="3"/>
    <n v="13"/>
    <e v="#NAME?"/>
  </r>
  <r>
    <s v="TX502259"/>
    <s v="Sandals"/>
    <n v="3"/>
    <n v="88.4"/>
    <n v="265.20000000000005"/>
    <d v="2025-03-25T00:00:00"/>
    <d v="2025-03-27T00:00:00"/>
    <s v="F"/>
    <s v="Website"/>
    <n v="3"/>
    <s v="California"/>
    <s v="Santa Clara County"/>
    <x v="1"/>
    <n v="13"/>
    <e v="#NAME?"/>
  </r>
  <r>
    <s v="TX502260"/>
    <s v="Sandals"/>
    <n v="16"/>
    <n v="30.5"/>
    <n v="488"/>
    <d v="2025-03-25T00:00:00"/>
    <d v="2025-03-26T00:00:00"/>
    <s v="F"/>
    <s v="Target.com"/>
    <n v="4"/>
    <s v="California"/>
    <s v="Santa Clara County"/>
    <x v="3"/>
    <n v="13"/>
    <e v="#NAME?"/>
  </r>
  <r>
    <s v="TX502261"/>
    <s v="Tank Tops"/>
    <n v="6"/>
    <n v="38.1"/>
    <n v="228.60000000000002"/>
    <d v="2025-03-25T00:00:00"/>
    <d v="2025-03-27T00:00:00"/>
    <s v="F"/>
    <s v="App"/>
    <n v="3"/>
    <s v="California"/>
    <s v="Santa Clara County"/>
    <x v="1"/>
    <n v="13"/>
    <e v="#NAME?"/>
  </r>
  <r>
    <s v="TX502262"/>
    <s v="Bikinis"/>
    <n v="5"/>
    <n v="37.6"/>
    <n v="188"/>
    <d v="2025-03-25T00:00:00"/>
    <d v="2025-03-29T00:00:00"/>
    <s v="M"/>
    <s v="App"/>
    <n v="4"/>
    <s v="California"/>
    <s v="Santa Clara County"/>
    <x v="5"/>
    <n v="13"/>
    <e v="#NAME?"/>
  </r>
  <r>
    <s v="TX502263"/>
    <s v="Crop Tops"/>
    <n v="2"/>
    <n v="31.4"/>
    <n v="62.8"/>
    <d v="2025-03-25T00:00:00"/>
    <d v="2025-03-26T00:00:00"/>
    <s v="M"/>
    <s v="App"/>
    <n v="5"/>
    <s v="California"/>
    <s v="Santa Clara County"/>
    <x v="3"/>
    <n v="13"/>
    <e v="#NAME?"/>
  </r>
  <r>
    <s v="TX502264"/>
    <s v="Jeans"/>
    <n v="2"/>
    <n v="61.5"/>
    <n v="123"/>
    <d v="2025-03-25T00:00:00"/>
    <d v="2025-03-26T00:00:00"/>
    <s v="M"/>
    <s v="Instagram"/>
    <n v="4"/>
    <s v="California"/>
    <s v="Sutter County"/>
    <x v="3"/>
    <n v="13"/>
    <e v="#NAME?"/>
  </r>
  <r>
    <s v="TX502265"/>
    <s v="Jeans"/>
    <n v="1"/>
    <n v="72.599999999999994"/>
    <n v="72.599999999999994"/>
    <d v="2025-03-25T00:00:00"/>
    <d v="2025-03-26T00:00:00"/>
    <s v="M"/>
    <s v="App"/>
    <n v="3"/>
    <s v="California"/>
    <s v="Alameda County"/>
    <x v="3"/>
    <n v="13"/>
    <e v="#NAME?"/>
  </r>
  <r>
    <s v="TX502266"/>
    <s v="Sundresses"/>
    <n v="3"/>
    <n v="26.9"/>
    <n v="80.699999999999989"/>
    <d v="2025-03-25T00:00:00"/>
    <d v="2025-03-30T00:00:00"/>
    <s v="O"/>
    <s v="Partner App"/>
    <n v="3"/>
    <s v="California"/>
    <s v="Amador County"/>
    <x v="0"/>
    <n v="13"/>
    <e v="#NAME?"/>
  </r>
  <r>
    <s v="TX502267"/>
    <s v="Pajama Sets"/>
    <n v="12"/>
    <n v="29.4"/>
    <n v="352.79999999999995"/>
    <d v="2025-03-25T00:00:00"/>
    <d v="2025-03-26T00:00:00"/>
    <s v="F"/>
    <s v="Website"/>
    <n v="4"/>
    <s v="California"/>
    <s v="Butte County"/>
    <x v="3"/>
    <n v="13"/>
    <e v="#NAME?"/>
  </r>
  <r>
    <s v="TX502268"/>
    <s v="Pajama Sets"/>
    <n v="2"/>
    <n v="42.1"/>
    <n v="84.2"/>
    <d v="2025-03-25T00:00:00"/>
    <d v="2025-03-26T00:00:00"/>
    <s v="F"/>
    <s v="Instagram"/>
    <n v="3"/>
    <s v="California"/>
    <s v="Contra Costa County"/>
    <x v="3"/>
    <n v="13"/>
    <e v="#NAME?"/>
  </r>
  <r>
    <s v="TX502269"/>
    <s v="Sandals"/>
    <n v="1"/>
    <n v="40.5"/>
    <n v="40.5"/>
    <d v="2025-03-25T00:00:00"/>
    <d v="2025-03-26T00:00:00"/>
    <s v="F"/>
    <s v="Target.com"/>
    <n v="3"/>
    <s v="California"/>
    <s v="Contra Costa County"/>
    <x v="3"/>
    <n v="13"/>
    <e v="#NAME?"/>
  </r>
  <r>
    <s v="TX502270"/>
    <s v="Sneakers"/>
    <n v="4"/>
    <n v="182.3"/>
    <n v="729.2"/>
    <d v="2025-03-25T00:00:00"/>
    <d v="2025-03-26T00:00:00"/>
    <s v="F"/>
    <s v="Website"/>
    <n v="4"/>
    <s v="California"/>
    <s v="Contra Costa County"/>
    <x v="3"/>
    <n v="13"/>
    <e v="#NAME?"/>
  </r>
  <r>
    <s v="TX502271"/>
    <s v="Sneakers"/>
    <n v="5"/>
    <n v="157"/>
    <n v="785"/>
    <d v="2025-03-25T00:00:00"/>
    <d v="2025-03-28T00:00:00"/>
    <s v="F"/>
    <s v="Website"/>
    <n v="5"/>
    <s v="California"/>
    <s v="Fresno County"/>
    <x v="2"/>
    <n v="13"/>
    <e v="#NAME?"/>
  </r>
  <r>
    <s v="TX502272"/>
    <s v="Pajama Sets"/>
    <n v="5"/>
    <n v="45.2"/>
    <n v="226"/>
    <d v="2025-03-25T00:00:00"/>
    <d v="2025-03-28T00:00:00"/>
    <s v="F"/>
    <s v="Website"/>
    <n v="4"/>
    <s v="California"/>
    <s v="Kern County"/>
    <x v="2"/>
    <n v="13"/>
    <e v="#NAME?"/>
  </r>
  <r>
    <s v="TX502273"/>
    <s v="Crop Tops"/>
    <n v="4"/>
    <n v="27.4"/>
    <n v="109.6"/>
    <d v="2025-03-25T00:00:00"/>
    <d v="2025-03-27T00:00:00"/>
    <s v="F"/>
    <s v="App"/>
    <n v="4"/>
    <s v="California"/>
    <s v="Los Angeles County"/>
    <x v="1"/>
    <n v="13"/>
    <e v="#NAME?"/>
  </r>
  <r>
    <s v="TX502274"/>
    <s v="Sandals"/>
    <n v="5"/>
    <n v="34.1"/>
    <n v="170.5"/>
    <d v="2025-03-25T00:00:00"/>
    <d v="2025-03-27T00:00:00"/>
    <s v="M"/>
    <s v="App"/>
    <n v="5"/>
    <s v="California"/>
    <s v="Los Angeles County"/>
    <x v="1"/>
    <n v="13"/>
    <e v="#NAME?"/>
  </r>
  <r>
    <s v="TX502275"/>
    <s v="Shorts"/>
    <n v="2"/>
    <n v="26"/>
    <n v="52"/>
    <d v="2025-03-25T00:00:00"/>
    <d v="2025-03-27T00:00:00"/>
    <s v="M"/>
    <s v="Target.com"/>
    <n v="3"/>
    <s v="California"/>
    <s v="Los Angeles County"/>
    <x v="1"/>
    <n v="13"/>
    <e v="#NAME?"/>
  </r>
  <r>
    <s v="TX502276"/>
    <s v="T-Shirts"/>
    <n v="7"/>
    <n v="19.399999999999999"/>
    <n v="135.79999999999998"/>
    <d v="2025-03-25T00:00:00"/>
    <d v="2025-03-27T00:00:00"/>
    <s v=""/>
    <s v="Website"/>
    <n v="3"/>
    <s v="California"/>
    <s v="Los Angeles County"/>
    <x v="1"/>
    <n v="13"/>
    <e v="#NAME?"/>
  </r>
  <r>
    <s v="TX502277"/>
    <s v="Sunglasses"/>
    <n v="3"/>
    <n v="30.3"/>
    <n v="90.9"/>
    <d v="2025-03-25T00:00:00"/>
    <d v="2025-03-28T00:00:00"/>
    <s v="F"/>
    <s v="Website"/>
    <n v="5"/>
    <s v="California"/>
    <s v="Los Angeles County"/>
    <x v="2"/>
    <n v="13"/>
    <e v="#NAME?"/>
  </r>
  <r>
    <s v="TX502278"/>
    <s v="Sneakers"/>
    <n v="3"/>
    <n v="101.4"/>
    <n v="304.20000000000005"/>
    <d v="2025-03-25T00:00:00"/>
    <d v="2025-03-26T00:00:00"/>
    <s v="M"/>
    <s v="App"/>
    <n v="4"/>
    <s v="California"/>
    <s v="Los Angeles County"/>
    <x v="3"/>
    <n v="13"/>
    <e v="#NAME?"/>
  </r>
  <r>
    <s v="TX502279"/>
    <s v="Workout Tops"/>
    <n v="5"/>
    <n v="55.5"/>
    <n v="277.5"/>
    <d v="2025-03-25T00:00:00"/>
    <d v="2025-03-28T00:00:00"/>
    <s v="M"/>
    <s v="Website"/>
    <n v="4"/>
    <s v="California"/>
    <s v="Merced County"/>
    <x v="2"/>
    <n v="13"/>
    <e v="#NAME?"/>
  </r>
  <r>
    <s v="TX502280"/>
    <s v="T-Shirts"/>
    <n v="1"/>
    <n v="23.1"/>
    <n v="23.1"/>
    <d v="2025-03-25T00:00:00"/>
    <d v="2025-03-26T00:00:00"/>
    <s v="M"/>
    <s v="App"/>
    <n v="4"/>
    <s v="California"/>
    <s v="Orange County"/>
    <x v="3"/>
    <n v="13"/>
    <e v="#NAME?"/>
  </r>
  <r>
    <s v="TX502281"/>
    <s v="Leggings"/>
    <n v="2"/>
    <n v="38.9"/>
    <n v="77.8"/>
    <d v="2025-03-25T00:00:00"/>
    <d v="2025-03-26T00:00:00"/>
    <s v="M"/>
    <s v="Target.com"/>
    <n v="4"/>
    <s v="California"/>
    <s v="Orange County"/>
    <x v="3"/>
    <n v="13"/>
    <e v="#NAME?"/>
  </r>
  <r>
    <s v="TX502282"/>
    <s v="Jeans"/>
    <n v="9"/>
    <n v="116.3"/>
    <n v="1046.7"/>
    <d v="2025-03-25T00:00:00"/>
    <d v="2025-03-29T00:00:00"/>
    <s v="F"/>
    <s v="App"/>
    <n v="4"/>
    <s v="California"/>
    <s v="Placer County"/>
    <x v="5"/>
    <n v="13"/>
    <e v="#NAME?"/>
  </r>
  <r>
    <s v="TX502283"/>
    <s v="Sunglasses"/>
    <n v="9"/>
    <n v="64.099999999999994"/>
    <n v="576.9"/>
    <d v="2025-03-25T00:00:00"/>
    <d v="2025-03-25T00:00:00"/>
    <s v="F"/>
    <s v="App"/>
    <n v="5"/>
    <s v="California"/>
    <s v="Sacramento County"/>
    <x v="7"/>
    <n v="13"/>
    <e v="#NAME?"/>
  </r>
  <r>
    <s v="TX502284"/>
    <s v="Sneakers"/>
    <n v="6"/>
    <n v="109.2"/>
    <n v="655.20000000000005"/>
    <d v="2025-03-25T00:00:00"/>
    <d v="2025-03-27T00:00:00"/>
    <s v="M"/>
    <s v="App"/>
    <n v="3"/>
    <s v="California"/>
    <s v="San Diego County"/>
    <x v="1"/>
    <n v="13"/>
    <e v="#NAME?"/>
  </r>
  <r>
    <s v="TX502285"/>
    <s v="Bikinis"/>
    <n v="5"/>
    <n v="23.2"/>
    <n v="116"/>
    <d v="2025-03-26T00:00:00"/>
    <d v="2025-03-27T00:00:00"/>
    <s v="M"/>
    <s v="App"/>
    <n v="3"/>
    <s v="California"/>
    <s v="San Diego County"/>
    <x v="3"/>
    <n v="13"/>
    <e v="#NAME?"/>
  </r>
  <r>
    <s v="TX502286"/>
    <s v="Leggings"/>
    <n v="6"/>
    <n v="81.2"/>
    <n v="487.20000000000005"/>
    <d v="2025-03-26T00:00:00"/>
    <d v="2025-03-28T00:00:00"/>
    <s v="M"/>
    <s v="Target.com"/>
    <n v="5"/>
    <s v="California"/>
    <s v="San Diego County"/>
    <x v="1"/>
    <n v="13"/>
    <e v="#NAME?"/>
  </r>
  <r>
    <s v="TX502287"/>
    <s v="Tank Tops"/>
    <n v="14"/>
    <n v="35.700000000000003"/>
    <n v="499.80000000000007"/>
    <d v="2025-03-26T00:00:00"/>
    <d v="2025-03-27T00:00:00"/>
    <s v="M"/>
    <s v="Instagram"/>
    <n v="4"/>
    <s v="California"/>
    <s v="San Diego County"/>
    <x v="3"/>
    <n v="13"/>
    <e v="#NAME?"/>
  </r>
  <r>
    <s v="TX502288"/>
    <s v="Hoodies &amp; Sweatshirts"/>
    <n v="2"/>
    <n v="44.5"/>
    <n v="89"/>
    <d v="2025-03-26T00:00:00"/>
    <d v="2025-03-29T00:00:00"/>
    <s v="M"/>
    <s v="Partner App"/>
    <n v="4"/>
    <s v="California"/>
    <s v="San Mateo County"/>
    <x v="2"/>
    <n v="13"/>
    <e v="#NAME?"/>
  </r>
  <r>
    <s v="TX502289"/>
    <s v="Tank Tops"/>
    <n v="5"/>
    <n v="32"/>
    <n v="160"/>
    <d v="2025-03-26T00:00:00"/>
    <d v="2025-03-28T00:00:00"/>
    <s v="O"/>
    <s v="Website"/>
    <n v="3"/>
    <s v="California"/>
    <s v="San Mateo County"/>
    <x v="1"/>
    <n v="13"/>
    <e v="#NAME?"/>
  </r>
  <r>
    <s v="TX502290"/>
    <s v="T-Shirts"/>
    <n v="1"/>
    <n v="25.7"/>
    <n v="25.7"/>
    <d v="2025-03-26T00:00:00"/>
    <d v="2025-03-27T00:00:00"/>
    <s v="M"/>
    <s v="App"/>
    <n v="4"/>
    <s v="California"/>
    <s v="Santa Barbara County"/>
    <x v="3"/>
    <n v="13"/>
    <e v="#NAME?"/>
  </r>
  <r>
    <s v="TX502291"/>
    <s v="Sunglasses"/>
    <n v="3"/>
    <n v="65.599999999999994"/>
    <n v="196.79999999999998"/>
    <d v="2025-03-26T00:00:00"/>
    <d v="2025-04-01T00:00:00"/>
    <s v="M"/>
    <s v="App"/>
    <n v="4"/>
    <s v="California"/>
    <s v="Santa Clara County"/>
    <x v="4"/>
    <n v="13"/>
    <e v="#NAME?"/>
  </r>
  <r>
    <s v="TX502292"/>
    <s v="Tank Tops"/>
    <n v="4"/>
    <n v="52.1"/>
    <n v="208.4"/>
    <d v="2025-03-26T00:00:00"/>
    <d v="2025-03-27T00:00:00"/>
    <s v="F"/>
    <s v="App"/>
    <n v="5"/>
    <s v="California"/>
    <s v="Santa Clara County"/>
    <x v="3"/>
    <n v="13"/>
    <e v="#NAME?"/>
  </r>
  <r>
    <s v="TX502293"/>
    <s v="T-Shirts"/>
    <n v="1"/>
    <n v="31"/>
    <n v="31"/>
    <d v="2025-03-26T00:00:00"/>
    <d v="2025-03-27T00:00:00"/>
    <s v="M"/>
    <s v="App"/>
    <n v="3"/>
    <s v="California"/>
    <s v="Stanislaus County"/>
    <x v="3"/>
    <n v="13"/>
    <e v="#NAME?"/>
  </r>
  <r>
    <s v="TX502294"/>
    <s v="T-Shirts"/>
    <n v="1"/>
    <n v="32"/>
    <n v="32"/>
    <d v="2025-03-26T00:00:00"/>
    <d v="2025-03-28T00:00:00"/>
    <s v="O"/>
    <s v="Instagram"/>
    <n v="3"/>
    <s v="California"/>
    <s v="Sutter County"/>
    <x v="1"/>
    <n v="13"/>
    <e v="#NAME?"/>
  </r>
  <r>
    <s v="TX502295"/>
    <s v="Sunglasses"/>
    <n v="4"/>
    <n v="58.3"/>
    <n v="233.2"/>
    <d v="2025-03-26T00:00:00"/>
    <d v="2025-03-30T00:00:00"/>
    <s v="M"/>
    <s v="Website"/>
    <n v="2"/>
    <s v="California"/>
    <s v="Tulare County"/>
    <x v="5"/>
    <n v="13"/>
    <e v="#NAME?"/>
  </r>
  <r>
    <s v="TX502296"/>
    <s v="T-Shirts"/>
    <n v="3"/>
    <n v="31"/>
    <n v="93"/>
    <d v="2025-03-26T00:00:00"/>
    <d v="2025-03-28T00:00:00"/>
    <s v="F"/>
    <s v="Target.com"/>
    <n v="2"/>
    <s v="California"/>
    <s v="Ventura County"/>
    <x v="1"/>
    <n v="13"/>
    <e v="#NAME?"/>
  </r>
  <r>
    <s v="TX502297"/>
    <s v="Workout Tops"/>
    <n v="1"/>
    <n v="40.299999999999997"/>
    <n v="40.299999999999997"/>
    <d v="2025-03-26T00:00:00"/>
    <d v="2025-03-27T00:00:00"/>
    <s v="M"/>
    <s v="Website"/>
    <n v="5"/>
    <s v="California"/>
    <s v="Colusa County"/>
    <x v="3"/>
    <n v="13"/>
    <e v="#NAME?"/>
  </r>
  <r>
    <s v="TX502298"/>
    <s v="Jeans"/>
    <n v="3"/>
    <n v="47.3"/>
    <n v="141.89999999999998"/>
    <d v="2025-03-26T00:00:00"/>
    <d v="2025-03-28T00:00:00"/>
    <s v="M"/>
    <s v="Partner App"/>
    <n v="5"/>
    <s v="California"/>
    <s v="Fresno County"/>
    <x v="1"/>
    <n v="13"/>
    <e v="#NAME?"/>
  </r>
  <r>
    <s v="TX502299"/>
    <s v="Sneakers"/>
    <n v="1"/>
    <n v="82.8"/>
    <n v="82.8"/>
    <d v="2025-03-26T00:00:00"/>
    <d v="2025-03-27T00:00:00"/>
    <s v="M"/>
    <s v="App"/>
    <n v="4"/>
    <s v="California"/>
    <s v="Fresno County"/>
    <x v="3"/>
    <n v="13"/>
    <e v="#NAME?"/>
  </r>
  <r>
    <s v="TX502300"/>
    <s v="T-Shirts"/>
    <n v="1"/>
    <n v="18.5"/>
    <n v="18.5"/>
    <d v="2025-03-26T00:00:00"/>
    <d v="2025-04-09T00:00:00"/>
    <s v="F"/>
    <s v="App"/>
    <n v="4"/>
    <s v="California"/>
    <s v="Humboldt County"/>
    <x v="12"/>
    <n v="13"/>
    <e v="#NAME?"/>
  </r>
  <r>
    <s v="TX502301"/>
    <s v="Workout Tops"/>
    <n v="2"/>
    <n v="60.4"/>
    <n v="120.8"/>
    <d v="2025-03-26T00:00:00"/>
    <d v="2025-03-27T00:00:00"/>
    <s v="M"/>
    <s v="Target.com"/>
    <n v="4"/>
    <s v="California"/>
    <s v="Kern County"/>
    <x v="3"/>
    <n v="13"/>
    <e v="#NAME?"/>
  </r>
  <r>
    <s v="TX502302"/>
    <s v="Jeans"/>
    <n v="5"/>
    <n v="80.2"/>
    <n v="401"/>
    <d v="2025-03-26T00:00:00"/>
    <d v="2025-04-02T00:00:00"/>
    <s v="M"/>
    <s v="Website"/>
    <n v="3"/>
    <s v="California"/>
    <s v="Lake County"/>
    <x v="6"/>
    <n v="13"/>
    <e v="#NAME?"/>
  </r>
  <r>
    <s v="TX502303"/>
    <s v="Graphic Tees"/>
    <n v="1"/>
    <n v="41.5"/>
    <n v="41.5"/>
    <d v="2025-03-26T00:00:00"/>
    <d v="2025-03-28T00:00:00"/>
    <s v="M"/>
    <s v="Target.com"/>
    <n v="4"/>
    <s v="California"/>
    <s v="Los Angeles County"/>
    <x v="1"/>
    <n v="13"/>
    <e v="#NAME?"/>
  </r>
  <r>
    <s v="TX502304"/>
    <s v="Sneakers"/>
    <n v="2"/>
    <n v="83.9"/>
    <n v="167.8"/>
    <d v="2025-03-26T00:00:00"/>
    <d v="2025-03-29T00:00:00"/>
    <s v="F"/>
    <s v="App"/>
    <n v="4"/>
    <s v="California"/>
    <s v="Los Angeles County"/>
    <x v="2"/>
    <n v="13"/>
    <e v="#NAME?"/>
  </r>
  <r>
    <s v="TX502305"/>
    <s v="T-Shirts"/>
    <n v="2"/>
    <n v="16.7"/>
    <n v="33.4"/>
    <d v="2025-03-26T00:00:00"/>
    <d v="2025-03-30T00:00:00"/>
    <s v="F"/>
    <s v="App"/>
    <n v="3"/>
    <s v="California"/>
    <s v="Los Angeles County"/>
    <x v="5"/>
    <n v="13"/>
    <e v="#NAME?"/>
  </r>
  <r>
    <s v="TX502306"/>
    <s v="Sundresses"/>
    <n v="2"/>
    <n v="72.900000000000006"/>
    <n v="145.80000000000001"/>
    <d v="2025-03-26T00:00:00"/>
    <d v="2025-03-27T00:00:00"/>
    <s v="M"/>
    <s v="Target.com"/>
    <n v="3"/>
    <s v="California"/>
    <s v="Los Angeles County"/>
    <x v="3"/>
    <n v="13"/>
    <e v="#NAME?"/>
  </r>
  <r>
    <s v="TX502307"/>
    <s v="Sandals"/>
    <n v="2"/>
    <n v="50.2"/>
    <n v="100.4"/>
    <d v="2025-03-26T00:00:00"/>
    <d v="2025-03-28T00:00:00"/>
    <s v="F"/>
    <s v="Website"/>
    <n v="5"/>
    <s v="California"/>
    <s v="Los Angeles County"/>
    <x v="1"/>
    <n v="13"/>
    <e v="#NAME?"/>
  </r>
  <r>
    <s v="TX502308"/>
    <s v="Workout Tops"/>
    <n v="2"/>
    <n v="34.200000000000003"/>
    <n v="68.400000000000006"/>
    <d v="2025-03-26T00:00:00"/>
    <d v="2025-04-05T00:00:00"/>
    <s v=""/>
    <s v="Website"/>
    <n v="4"/>
    <s v="California"/>
    <s v="Los Angeles County"/>
    <x v="14"/>
    <n v="13"/>
    <e v="#NAME?"/>
  </r>
  <r>
    <s v="TX502309"/>
    <s v="Sandals"/>
    <n v="2"/>
    <n v="107.9"/>
    <n v="215.8"/>
    <d v="2025-03-26T00:00:00"/>
    <d v="2025-03-26T00:00:00"/>
    <s v="M"/>
    <s v="Website"/>
    <n v="2"/>
    <s v="California"/>
    <s v="Los Angeles County"/>
    <x v="7"/>
    <n v="13"/>
    <e v="#NAME?"/>
  </r>
  <r>
    <s v="TX502310"/>
    <s v="Shorts"/>
    <n v="3"/>
    <n v="17.5"/>
    <n v="52.5"/>
    <d v="2025-03-26T00:00:00"/>
    <d v="2025-03-28T00:00:00"/>
    <s v="M"/>
    <s v="Partner App"/>
    <n v="4"/>
    <s v="California"/>
    <s v="Los Angeles County"/>
    <x v="1"/>
    <n v="13"/>
    <e v="#NAME?"/>
  </r>
  <r>
    <s v="TX502311"/>
    <s v="Tote Bags"/>
    <n v="15"/>
    <n v="44.7"/>
    <n v="670.5"/>
    <d v="2025-03-26T00:00:00"/>
    <d v="2025-03-27T00:00:00"/>
    <s v="M"/>
    <s v="App"/>
    <n v="3"/>
    <s v="California"/>
    <s v="Los Angeles County"/>
    <x v="3"/>
    <n v="13"/>
    <e v="#NAME?"/>
  </r>
  <r>
    <s v="TX502312"/>
    <s v="Casual Dresses"/>
    <n v="6"/>
    <n v="92.7"/>
    <n v="556.20000000000005"/>
    <d v="2025-03-26T00:00:00"/>
    <d v="2025-03-28T00:00:00"/>
    <s v="F"/>
    <s v="Target.com"/>
    <n v="3"/>
    <s v="California"/>
    <s v="Los Angeles County"/>
    <x v="1"/>
    <n v="13"/>
    <e v="#NAME?"/>
  </r>
  <r>
    <s v="TX502313"/>
    <s v="Hoodies &amp; Sweatshirts"/>
    <n v="3"/>
    <n v="48.8"/>
    <n v="146.39999999999998"/>
    <d v="2025-03-26T00:00:00"/>
    <d v="2025-03-28T00:00:00"/>
    <s v="F"/>
    <s v="Target.com"/>
    <n v="4"/>
    <s v="California"/>
    <s v="Los Angeles County"/>
    <x v="1"/>
    <n v="13"/>
    <e v="#NAME?"/>
  </r>
  <r>
    <s v="TX502314"/>
    <s v="Graphic Tees"/>
    <n v="16"/>
    <n v="21.3"/>
    <n v="340.8"/>
    <d v="2025-03-26T00:00:00"/>
    <d v="2025-03-30T00:00:00"/>
    <s v="F"/>
    <s v="Instagram"/>
    <n v="1"/>
    <s v="California"/>
    <s v="Los Angeles County"/>
    <x v="5"/>
    <n v="13"/>
    <e v="#NAME?"/>
  </r>
  <r>
    <s v="TX502315"/>
    <s v="Sunglasses"/>
    <n v="1"/>
    <n v="52.5"/>
    <n v="52.5"/>
    <d v="2025-03-26T00:00:00"/>
    <d v="2025-03-27T00:00:00"/>
    <s v="F"/>
    <s v="App"/>
    <n v="4"/>
    <s v="California"/>
    <s v="Los Angeles County"/>
    <x v="3"/>
    <n v="13"/>
    <e v="#NAME?"/>
  </r>
  <r>
    <s v="TX502316"/>
    <s v="Tank Tops"/>
    <n v="2"/>
    <n v="92.4"/>
    <n v="184.8"/>
    <d v="2025-03-26T00:00:00"/>
    <d v="2025-04-01T00:00:00"/>
    <s v="F"/>
    <s v="App"/>
    <n v="5"/>
    <s v="California"/>
    <s v="Los Angeles County"/>
    <x v="4"/>
    <n v="13"/>
    <e v="#NAME?"/>
  </r>
  <r>
    <s v="TX502317"/>
    <s v="Graphic Tees"/>
    <n v="11"/>
    <n v="58.3"/>
    <n v="641.29999999999995"/>
    <d v="2025-03-26T00:00:00"/>
    <d v="2025-03-28T00:00:00"/>
    <s v="M"/>
    <s v="Website"/>
    <n v="5"/>
    <s v="California"/>
    <s v="Los Angeles County"/>
    <x v="1"/>
    <n v="13"/>
    <e v="#NAME?"/>
  </r>
  <r>
    <s v="TX502318"/>
    <s v="Jeans"/>
    <n v="23"/>
    <n v="152.6"/>
    <n v="3509.7999999999997"/>
    <d v="2025-03-27T00:00:00"/>
    <d v="2025-03-29T00:00:00"/>
    <s v=""/>
    <s v="App"/>
    <n v="4"/>
    <s v="California"/>
    <s v="Los Angeles County"/>
    <x v="1"/>
    <n v="13"/>
    <e v="#NAME?"/>
  </r>
  <r>
    <s v="TX502319"/>
    <s v="T-Shirts"/>
    <n v="2"/>
    <n v="26"/>
    <n v="52"/>
    <d v="2025-03-27T00:00:00"/>
    <d v="2025-03-27T00:00:00"/>
    <s v=""/>
    <s v="App"/>
    <n v="3"/>
    <s v="California"/>
    <s v="Los Angeles County"/>
    <x v="7"/>
    <n v="13"/>
    <e v="#NAME?"/>
  </r>
  <r>
    <s v="TX502320"/>
    <s v="Tank Tops"/>
    <n v="4"/>
    <n v="33.1"/>
    <n v="132.4"/>
    <d v="2025-03-27T00:00:00"/>
    <d v="2025-03-27T00:00:00"/>
    <s v="M"/>
    <s v="Target.com"/>
    <n v="2"/>
    <s v="California"/>
    <s v="Placer County"/>
    <x v="7"/>
    <n v="13"/>
    <e v="#NAME?"/>
  </r>
  <r>
    <s v="TX502321"/>
    <s v="Leggings"/>
    <n v="1"/>
    <n v="51.4"/>
    <n v="51.4"/>
    <d v="2025-03-27T00:00:00"/>
    <d v="2025-03-29T00:00:00"/>
    <s v="F"/>
    <s v="Website"/>
    <n v="3"/>
    <s v="California"/>
    <s v="Placer County"/>
    <x v="1"/>
    <n v="13"/>
    <e v="#NAME?"/>
  </r>
  <r>
    <s v="TX502322"/>
    <s v="T-Shirts"/>
    <n v="2"/>
    <n v="30.2"/>
    <n v="60.4"/>
    <d v="2025-03-27T00:00:00"/>
    <d v="2025-03-28T00:00:00"/>
    <s v="F"/>
    <s v="Target.com"/>
    <n v="5"/>
    <s v="California"/>
    <s v="Sacramento County"/>
    <x v="3"/>
    <n v="13"/>
    <e v="#NAME?"/>
  </r>
  <r>
    <s v="TX502323"/>
    <s v="Sneakers"/>
    <n v="6"/>
    <n v="97"/>
    <n v="582"/>
    <d v="2025-03-27T00:00:00"/>
    <d v="2025-03-31T00:00:00"/>
    <s v="F"/>
    <s v="App"/>
    <n v="5"/>
    <s v="California"/>
    <s v="San Bernardino County"/>
    <x v="5"/>
    <n v="13"/>
    <e v="#NAME?"/>
  </r>
  <r>
    <s v="TX502324"/>
    <s v="Sneakers"/>
    <n v="1"/>
    <n v="76.900000000000006"/>
    <n v="76.900000000000006"/>
    <d v="2025-03-27T00:00:00"/>
    <d v="2025-03-28T00:00:00"/>
    <s v="M"/>
    <s v="Website"/>
    <n v="5"/>
    <s v="California"/>
    <s v="San Diego County"/>
    <x v="3"/>
    <n v="13"/>
    <e v="#NAME?"/>
  </r>
  <r>
    <s v="TX502325"/>
    <s v="Hoodies &amp; Sweatshirts"/>
    <n v="6"/>
    <n v="36.1"/>
    <n v="216.60000000000002"/>
    <d v="2025-03-27T00:00:00"/>
    <d v="2025-03-31T00:00:00"/>
    <s v="F"/>
    <s v="App"/>
    <n v="4"/>
    <s v="California"/>
    <s v="San Diego County"/>
    <x v="5"/>
    <n v="13"/>
    <e v="#NAME?"/>
  </r>
  <r>
    <s v="TX502326"/>
    <s v="Tank Tops"/>
    <n v="7"/>
    <n v="34.4"/>
    <n v="240.79999999999998"/>
    <d v="2025-03-27T00:00:00"/>
    <d v="2025-03-27T00:00:00"/>
    <s v="F"/>
    <s v="Target.com"/>
    <n v="3"/>
    <s v="California"/>
    <s v="Santa Clara County"/>
    <x v="7"/>
    <n v="13"/>
    <e v="#NAME?"/>
  </r>
  <r>
    <s v="TX502327"/>
    <s v="Tank Tops"/>
    <n v="28"/>
    <n v="53.4"/>
    <n v="1495.2"/>
    <d v="2025-03-27T00:00:00"/>
    <d v="2025-03-29T00:00:00"/>
    <s v="F"/>
    <s v="Website"/>
    <n v="4"/>
    <s v="California"/>
    <s v="Sonoma County"/>
    <x v="1"/>
    <n v="13"/>
    <e v="#NAME?"/>
  </r>
  <r>
    <s v="TX502328"/>
    <s v="Sneakers"/>
    <n v="1"/>
    <n v="77.599999999999994"/>
    <n v="77.599999999999994"/>
    <d v="2025-03-27T00:00:00"/>
    <d v="2025-03-28T00:00:00"/>
    <s v="F"/>
    <s v="App"/>
    <n v="3"/>
    <s v="California"/>
    <s v="Stanislaus County"/>
    <x v="3"/>
    <n v="13"/>
    <e v="#NAME?"/>
  </r>
  <r>
    <s v="TX502329"/>
    <s v="Tank Tops"/>
    <n v="3"/>
    <n v="71.7"/>
    <n v="215.10000000000002"/>
    <d v="2025-03-27T00:00:00"/>
    <d v="2025-03-30T00:00:00"/>
    <s v="F"/>
    <s v="Website"/>
    <n v="4"/>
    <s v="California"/>
    <s v="Stanislaus County"/>
    <x v="2"/>
    <n v="13"/>
    <e v="#NAME?"/>
  </r>
  <r>
    <s v="TX502330"/>
    <s v="Workout Tops"/>
    <n v="3"/>
    <n v="80.599999999999994"/>
    <n v="241.79999999999998"/>
    <d v="2025-03-27T00:00:00"/>
    <d v="2025-03-28T00:00:00"/>
    <s v="M"/>
    <s v="Partner App"/>
    <n v="3"/>
    <s v="California"/>
    <s v="Stanislaus County"/>
    <x v="3"/>
    <n v="13"/>
    <e v="#NAME?"/>
  </r>
  <r>
    <s v="TX502331"/>
    <s v="Tank Tops"/>
    <n v="15"/>
    <n v="70"/>
    <n v="1050"/>
    <d v="2025-03-27T00:00:00"/>
    <d v="2025-03-29T00:00:00"/>
    <s v="M"/>
    <s v="App"/>
    <n v="4"/>
    <s v="California"/>
    <s v="Tulare County"/>
    <x v="1"/>
    <n v="13"/>
    <e v="#NAME?"/>
  </r>
  <r>
    <s v="TX502332"/>
    <s v="Graphic Tees"/>
    <n v="6"/>
    <n v="27.3"/>
    <n v="163.80000000000001"/>
    <d v="2025-03-27T00:00:00"/>
    <d v="2025-03-29T00:00:00"/>
    <s v="F"/>
    <s v="Website"/>
    <n v="3"/>
    <s v="California"/>
    <s v="Fresno County"/>
    <x v="1"/>
    <n v="13"/>
    <e v="#NAME?"/>
  </r>
  <r>
    <s v="TX502333"/>
    <s v="T-Shirts"/>
    <n v="14"/>
    <n v="37.6"/>
    <n v="526.4"/>
    <d v="2025-03-27T00:00:00"/>
    <d v="2025-03-29T00:00:00"/>
    <s v="M"/>
    <s v="Website"/>
    <n v="4"/>
    <s v="California"/>
    <s v="Los Angeles County"/>
    <x v="1"/>
    <n v="13"/>
    <e v="#NAME?"/>
  </r>
  <r>
    <s v="TX502334"/>
    <s v="Sandals"/>
    <n v="3"/>
    <n v="36.6"/>
    <n v="109.80000000000001"/>
    <d v="2025-03-27T00:00:00"/>
    <d v="2025-03-29T00:00:00"/>
    <s v="F"/>
    <s v="Partner App"/>
    <n v="4"/>
    <s v="California"/>
    <s v="Los Angeles County"/>
    <x v="1"/>
    <n v="13"/>
    <e v="#NAME?"/>
  </r>
  <r>
    <s v="TX502335"/>
    <s v="Tote Bags"/>
    <n v="1"/>
    <n v="55.2"/>
    <n v="55.2"/>
    <d v="2025-03-27T00:00:00"/>
    <d v="2025-03-29T00:00:00"/>
    <s v="M"/>
    <s v="Instagram"/>
    <n v="4"/>
    <s v="California"/>
    <s v="Los Angeles County"/>
    <x v="1"/>
    <n v="13"/>
    <e v="#NAME?"/>
  </r>
  <r>
    <s v="TX502336"/>
    <s v="Jeans"/>
    <n v="5"/>
    <n v="59.9"/>
    <n v="299.5"/>
    <d v="2025-03-27T00:00:00"/>
    <d v="2025-03-29T00:00:00"/>
    <s v="M"/>
    <s v="App"/>
    <n v="4"/>
    <s v="California"/>
    <s v="Los Angeles County"/>
    <x v="1"/>
    <n v="13"/>
    <e v="#NAME?"/>
  </r>
  <r>
    <s v="TX502337"/>
    <s v="Jeans"/>
    <n v="1"/>
    <n v="44"/>
    <n v="44"/>
    <d v="2025-03-27T00:00:00"/>
    <d v="2025-03-28T00:00:00"/>
    <s v="F"/>
    <s v="Target.com"/>
    <n v="5"/>
    <s v="California"/>
    <s v="Los Angeles County"/>
    <x v="3"/>
    <n v="13"/>
    <e v="#NAME?"/>
  </r>
  <r>
    <s v="TX502338"/>
    <s v="Sundresses"/>
    <n v="2"/>
    <n v="68.7"/>
    <n v="137.4"/>
    <d v="2025-03-27T00:00:00"/>
    <d v="2025-03-27T00:00:00"/>
    <s v="M"/>
    <s v="App"/>
    <n v="4"/>
    <s v="California"/>
    <s v="Los Angeles County"/>
    <x v="7"/>
    <n v="13"/>
    <e v="#NAME?"/>
  </r>
  <r>
    <s v="TX502339"/>
    <s v="Sandals"/>
    <n v="2"/>
    <n v="61.6"/>
    <n v="123.2"/>
    <d v="2025-03-27T00:00:00"/>
    <d v="2025-03-31T00:00:00"/>
    <s v="M"/>
    <s v="Instagram"/>
    <n v="3"/>
    <s v="California"/>
    <s v="Los Angeles County"/>
    <x v="5"/>
    <n v="13"/>
    <e v="#NAME?"/>
  </r>
  <r>
    <s v="TX502340"/>
    <s v="Hoodies &amp; Sweatshirts"/>
    <n v="7"/>
    <n v="51.8"/>
    <n v="362.59999999999997"/>
    <d v="2025-03-27T00:00:00"/>
    <d v="2025-03-28T00:00:00"/>
    <s v="M"/>
    <s v="App"/>
    <n v="4"/>
    <s v="California"/>
    <s v="Los Angeles County"/>
    <x v="3"/>
    <n v="13"/>
    <e v="#NAME?"/>
  </r>
  <r>
    <s v="TX502341"/>
    <s v="T-Shirts"/>
    <n v="10"/>
    <n v="46.2"/>
    <n v="462"/>
    <d v="2025-03-27T00:00:00"/>
    <d v="2025-03-29T00:00:00"/>
    <s v="M"/>
    <s v="Website"/>
    <n v="5"/>
    <s v="California"/>
    <s v="Los Angeles County"/>
    <x v="1"/>
    <n v="13"/>
    <e v="#NAME?"/>
  </r>
  <r>
    <s v="TX502342"/>
    <s v="Shorts"/>
    <n v="2"/>
    <n v="19.399999999999999"/>
    <n v="38.799999999999997"/>
    <d v="2025-03-27T00:00:00"/>
    <d v="2025-03-29T00:00:00"/>
    <s v="F"/>
    <s v="Website"/>
    <n v="5"/>
    <s v="California"/>
    <s v="Sacramento County"/>
    <x v="1"/>
    <n v="13"/>
    <e v="#NAME?"/>
  </r>
  <r>
    <s v="TX502343"/>
    <s v="Maxi Dresses"/>
    <n v="3"/>
    <n v="52.1"/>
    <n v="156.30000000000001"/>
    <d v="2025-03-27T00:00:00"/>
    <d v="2025-03-30T00:00:00"/>
    <s v="M"/>
    <s v="Instagram"/>
    <n v="1"/>
    <s v="California"/>
    <s v="Sacramento County"/>
    <x v="2"/>
    <n v="13"/>
    <e v="#NAME?"/>
  </r>
  <r>
    <s v="TX502344"/>
    <s v="Jeans"/>
    <n v="1"/>
    <n v="74.900000000000006"/>
    <n v="74.900000000000006"/>
    <d v="2025-03-27T00:00:00"/>
    <d v="2025-03-29T00:00:00"/>
    <s v="O"/>
    <s v="App"/>
    <n v="4"/>
    <s v="California"/>
    <s v="San Bernardino County"/>
    <x v="1"/>
    <n v="13"/>
    <e v="#NAME?"/>
  </r>
  <r>
    <s v="TX502345"/>
    <s v="Sundresses"/>
    <n v="7"/>
    <n v="49.6"/>
    <n v="347.2"/>
    <d v="2025-03-27T00:00:00"/>
    <d v="2025-03-30T00:00:00"/>
    <s v="F"/>
    <s v="Partner App"/>
    <n v="4"/>
    <s v="California"/>
    <s v="San Diego County"/>
    <x v="2"/>
    <n v="13"/>
    <e v="#NAME?"/>
  </r>
  <r>
    <s v="TX502346"/>
    <s v="Sunglasses"/>
    <n v="4"/>
    <n v="82.8"/>
    <n v="331.2"/>
    <d v="2025-03-28T00:00:00"/>
    <d v="2025-03-31T00:00:00"/>
    <s v="F"/>
    <s v="Partner App"/>
    <n v="4"/>
    <s v="California"/>
    <s v="San Diego County"/>
    <x v="2"/>
    <n v="13"/>
    <e v="#NAME?"/>
  </r>
  <r>
    <s v="TX502347"/>
    <s v="Sneakers"/>
    <n v="1"/>
    <n v="97.7"/>
    <n v="97.7"/>
    <d v="2025-03-28T00:00:00"/>
    <d v="2025-03-29T00:00:00"/>
    <s v="F"/>
    <s v="Website"/>
    <n v="4"/>
    <s v="California"/>
    <s v="San Diego County"/>
    <x v="3"/>
    <n v="13"/>
    <e v="#NAME?"/>
  </r>
  <r>
    <s v="TX502348"/>
    <s v="Jeans"/>
    <n v="5"/>
    <n v="83.6"/>
    <n v="418"/>
    <d v="2025-03-28T00:00:00"/>
    <d v="2025-03-29T00:00:00"/>
    <s v="F"/>
    <s v="Partner App"/>
    <n v="4"/>
    <s v="California"/>
    <s v="San Diego County"/>
    <x v="3"/>
    <n v="13"/>
    <e v="#NAME?"/>
  </r>
  <r>
    <s v="TX502349"/>
    <s v="T-Shirts"/>
    <n v="5"/>
    <n v="23.5"/>
    <n v="117.5"/>
    <d v="2025-03-28T00:00:00"/>
    <d v="2025-04-01T00:00:00"/>
    <s v="O"/>
    <s v="App"/>
    <n v="4"/>
    <s v="California"/>
    <s v="San Diego County"/>
    <x v="5"/>
    <n v="13"/>
    <e v="#NAME?"/>
  </r>
  <r>
    <s v="TX502350"/>
    <s v="Sundresses"/>
    <n v="3"/>
    <n v="44.6"/>
    <n v="133.80000000000001"/>
    <d v="2025-03-28T00:00:00"/>
    <d v="2025-03-31T00:00:00"/>
    <s v="F"/>
    <s v="Partner App"/>
    <n v="3"/>
    <s v="California"/>
    <s v="San Joaquin County"/>
    <x v="2"/>
    <n v="13"/>
    <e v="#NAME?"/>
  </r>
  <r>
    <s v="TX502351"/>
    <s v="Shorts"/>
    <n v="3"/>
    <n v="20.100000000000001"/>
    <n v="60.300000000000004"/>
    <d v="2025-03-28T00:00:00"/>
    <d v="2025-03-30T00:00:00"/>
    <s v="F"/>
    <s v="Instagram"/>
    <n v="2"/>
    <s v="California"/>
    <s v="Santa Clara County"/>
    <x v="1"/>
    <n v="13"/>
    <e v="#NAME?"/>
  </r>
  <r>
    <s v="TX502352"/>
    <s v="Sneakers"/>
    <n v="5"/>
    <n v="153.6"/>
    <n v="768"/>
    <d v="2025-03-28T00:00:00"/>
    <d v="2025-03-29T00:00:00"/>
    <s v="F"/>
    <s v="Website"/>
    <n v="5"/>
    <s v="California"/>
    <s v="Shasta County"/>
    <x v="3"/>
    <n v="13"/>
    <e v="#NAME?"/>
  </r>
  <r>
    <s v="TX502353"/>
    <s v="Tank Tops"/>
    <n v="2"/>
    <n v="71.8"/>
    <n v="143.6"/>
    <d v="2025-03-28T00:00:00"/>
    <d v="2025-04-01T00:00:00"/>
    <s v="F"/>
    <s v="Website"/>
    <n v="4"/>
    <s v="California"/>
    <s v="Contra Costa County"/>
    <x v="5"/>
    <n v="13"/>
    <e v="#NAME?"/>
  </r>
  <r>
    <s v="TX502354"/>
    <s v="Bikinis"/>
    <n v="1"/>
    <n v="64.7"/>
    <n v="64.7"/>
    <d v="2025-03-28T00:00:00"/>
    <d v="2025-03-30T00:00:00"/>
    <s v=""/>
    <s v="App"/>
    <n v="3"/>
    <s v="California"/>
    <s v="Contra Costa County"/>
    <x v="1"/>
    <n v="13"/>
    <e v="#NAME?"/>
  </r>
  <r>
    <s v="TX502355"/>
    <s v="Sundresses"/>
    <n v="8"/>
    <n v="60.4"/>
    <n v="483.2"/>
    <d v="2025-03-28T00:00:00"/>
    <d v="2025-03-30T00:00:00"/>
    <s v="F"/>
    <s v="Instagram"/>
    <n v="5"/>
    <s v="California"/>
    <s v="Fresno County"/>
    <x v="1"/>
    <n v="13"/>
    <e v="#NAME?"/>
  </r>
  <r>
    <s v="TX502356"/>
    <s v="Jeans"/>
    <n v="4"/>
    <n v="86"/>
    <n v="344"/>
    <d v="2025-03-28T00:00:00"/>
    <d v="2025-03-31T00:00:00"/>
    <s v="F"/>
    <s v="Target.com"/>
    <n v="5"/>
    <s v="California"/>
    <s v="Kern County"/>
    <x v="2"/>
    <n v="13"/>
    <e v="#NAME?"/>
  </r>
  <r>
    <s v="TX502357"/>
    <s v="Casual Dresses"/>
    <n v="2"/>
    <n v="42.1"/>
    <n v="84.2"/>
    <d v="2025-03-28T00:00:00"/>
    <d v="2025-03-29T00:00:00"/>
    <s v="F"/>
    <s v="Partner App"/>
    <n v="3"/>
    <s v="California"/>
    <s v="Kings County"/>
    <x v="3"/>
    <n v="13"/>
    <e v="#NAME?"/>
  </r>
  <r>
    <s v="TX502358"/>
    <s v="Sunglasses"/>
    <n v="9"/>
    <n v="51.1"/>
    <n v="459.90000000000003"/>
    <d v="2025-03-28T00:00:00"/>
    <d v="2025-03-29T00:00:00"/>
    <s v="M"/>
    <s v="Target.com"/>
    <n v="3"/>
    <s v="California"/>
    <s v="Los Angeles County"/>
    <x v="3"/>
    <n v="13"/>
    <e v="#NAME?"/>
  </r>
  <r>
    <s v="TX502359"/>
    <s v="Sundresses"/>
    <n v="4"/>
    <n v="73.8"/>
    <n v="295.2"/>
    <d v="2025-03-28T00:00:00"/>
    <d v="2025-03-29T00:00:00"/>
    <s v="M"/>
    <s v="Partner App"/>
    <n v="4"/>
    <s v="California"/>
    <s v="Los Angeles County"/>
    <x v="3"/>
    <n v="13"/>
    <e v="#NAME?"/>
  </r>
  <r>
    <s v="TX502360"/>
    <s v="T-Shirts"/>
    <n v="5"/>
    <n v="27"/>
    <n v="135"/>
    <d v="2025-03-28T00:00:00"/>
    <d v="2025-03-31T00:00:00"/>
    <s v="F"/>
    <s v="Target.com"/>
    <n v="5"/>
    <s v="California"/>
    <s v="Los Angeles County"/>
    <x v="2"/>
    <n v="13"/>
    <e v="#NAME?"/>
  </r>
  <r>
    <s v="TX502361"/>
    <s v="T-Shirts"/>
    <n v="6"/>
    <n v="60.1"/>
    <n v="360.6"/>
    <d v="2025-03-28T00:00:00"/>
    <d v="2025-03-29T00:00:00"/>
    <s v="M"/>
    <s v="Instagram"/>
    <n v="4"/>
    <s v="California"/>
    <s v="Los Angeles County"/>
    <x v="3"/>
    <n v="13"/>
    <e v="#NAME?"/>
  </r>
  <r>
    <s v="TX502362"/>
    <s v="Sneakers"/>
    <n v="7"/>
    <n v="94.1"/>
    <n v="658.69999999999993"/>
    <d v="2025-03-28T00:00:00"/>
    <d v="2025-03-30T00:00:00"/>
    <s v="F"/>
    <s v="Partner App"/>
    <n v="3"/>
    <s v="California"/>
    <s v="Los Angeles County"/>
    <x v="1"/>
    <n v="13"/>
    <e v="#NAME?"/>
  </r>
  <r>
    <s v="TX502363"/>
    <s v="Sneakers"/>
    <n v="2"/>
    <n v="124.1"/>
    <n v="248.2"/>
    <d v="2025-03-28T00:00:00"/>
    <d v="2025-03-28T00:00:00"/>
    <s v="F"/>
    <s v="Target.com"/>
    <n v="1"/>
    <s v="California"/>
    <s v="Marin County"/>
    <x v="7"/>
    <n v="13"/>
    <e v="#NAME?"/>
  </r>
  <r>
    <s v="TX502364"/>
    <s v="T-Shirts"/>
    <n v="4"/>
    <n v="16.899999999999999"/>
    <n v="67.599999999999994"/>
    <d v="2025-03-28T00:00:00"/>
    <d v="2025-03-31T00:00:00"/>
    <s v="M"/>
    <s v="Instagram"/>
    <n v="4"/>
    <s v="California"/>
    <s v="Sacramento County"/>
    <x v="2"/>
    <n v="13"/>
    <e v="#NAME?"/>
  </r>
  <r>
    <s v="TX502365"/>
    <s v="Tank Tops"/>
    <n v="1"/>
    <n v="36.9"/>
    <n v="36.9"/>
    <d v="2025-03-28T00:00:00"/>
    <d v="2025-03-29T00:00:00"/>
    <s v="M"/>
    <s v="App"/>
    <n v="4"/>
    <s v="California"/>
    <s v="Sacramento County"/>
    <x v="3"/>
    <n v="13"/>
    <e v="#NAME?"/>
  </r>
  <r>
    <s v="TX502366"/>
    <s v="Sundresses"/>
    <n v="2"/>
    <n v="22.6"/>
    <n v="45.2"/>
    <d v="2025-03-28T00:00:00"/>
    <d v="2025-04-10T00:00:00"/>
    <s v="F"/>
    <s v="Target.com"/>
    <n v="3"/>
    <s v="California"/>
    <s v="San Diego County"/>
    <x v="10"/>
    <n v="13"/>
    <e v="#NAME?"/>
  </r>
  <r>
    <s v="TX502367"/>
    <s v="Hoodies &amp; Sweatshirts"/>
    <n v="4"/>
    <n v="35"/>
    <n v="140"/>
    <d v="2025-03-28T00:00:00"/>
    <d v="2025-04-02T00:00:00"/>
    <s v="M"/>
    <s v="Instagram"/>
    <n v="3"/>
    <s v="California"/>
    <s v="San Diego County"/>
    <x v="0"/>
    <n v="13"/>
    <e v="#NAME?"/>
  </r>
  <r>
    <s v="TX502368"/>
    <s v="Sundresses"/>
    <n v="6"/>
    <n v="63.6"/>
    <n v="381.6"/>
    <d v="2025-03-28T00:00:00"/>
    <d v="2025-04-04T00:00:00"/>
    <s v=""/>
    <s v="Website"/>
    <n v="5"/>
    <s v="California"/>
    <s v="San Diego County"/>
    <x v="6"/>
    <n v="13"/>
    <e v="#NAME?"/>
  </r>
  <r>
    <s v="TX502369"/>
    <s v="Crop Tops"/>
    <n v="4"/>
    <n v="78.599999999999994"/>
    <n v="314.39999999999998"/>
    <d v="2025-03-28T00:00:00"/>
    <d v="2025-03-29T00:00:00"/>
    <s v="M"/>
    <s v="Partner App"/>
    <n v="3"/>
    <s v="California"/>
    <s v="San Diego County"/>
    <x v="3"/>
    <n v="13"/>
    <e v="#NAME?"/>
  </r>
  <r>
    <s v="TX502370"/>
    <s v="Workout Tops"/>
    <n v="2"/>
    <n v="38.5"/>
    <n v="77"/>
    <d v="2025-03-28T00:00:00"/>
    <d v="2025-03-29T00:00:00"/>
    <s v="M"/>
    <s v="App"/>
    <n v="5"/>
    <s v="California"/>
    <s v="San Diego County"/>
    <x v="3"/>
    <n v="13"/>
    <e v="#NAME?"/>
  </r>
  <r>
    <s v="TX502371"/>
    <s v="T-Shirts"/>
    <n v="11"/>
    <n v="71.5"/>
    <n v="786.5"/>
    <d v="2025-03-28T00:00:00"/>
    <d v="2025-03-29T00:00:00"/>
    <s v="F"/>
    <s v="Website"/>
    <n v="2"/>
    <s v="California"/>
    <s v="San Diego County"/>
    <x v="3"/>
    <n v="13"/>
    <e v="#NAME?"/>
  </r>
  <r>
    <s v="TX502372"/>
    <s v="Jeans"/>
    <n v="4"/>
    <n v="121.4"/>
    <n v="485.6"/>
    <d v="2025-03-28T00:00:00"/>
    <d v="2025-04-01T00:00:00"/>
    <s v="M"/>
    <s v="Website"/>
    <n v="5"/>
    <s v="California"/>
    <s v="San Francisco"/>
    <x v="5"/>
    <n v="13"/>
    <e v="#NAME?"/>
  </r>
  <r>
    <s v="TX502373"/>
    <s v="Maxi Dresses"/>
    <n v="1"/>
    <n v="40.200000000000003"/>
    <n v="40.200000000000003"/>
    <d v="2025-03-28T00:00:00"/>
    <d v="2025-03-31T00:00:00"/>
    <s v="F"/>
    <s v="App"/>
    <n v="5"/>
    <s v="California"/>
    <s v="Santa Clara County"/>
    <x v="2"/>
    <n v="13"/>
    <e v="#NAME?"/>
  </r>
  <r>
    <s v="TX502374"/>
    <s v="Sandals"/>
    <n v="5"/>
    <n v="31.9"/>
    <n v="159.5"/>
    <d v="2025-03-28T00:00:00"/>
    <d v="2025-03-30T00:00:00"/>
    <s v="F"/>
    <s v="Target.com"/>
    <n v="5"/>
    <s v="California"/>
    <s v="Yolo County"/>
    <x v="1"/>
    <n v="13"/>
    <e v="#NAME?"/>
  </r>
  <r>
    <s v="TX502375"/>
    <s v="Baseball Caps"/>
    <n v="5"/>
    <n v="15.8"/>
    <n v="79"/>
    <d v="2025-03-29T00:00:00"/>
    <d v="2025-03-30T00:00:00"/>
    <s v="M"/>
    <s v="Instagram"/>
    <n v="5"/>
    <s v="California"/>
    <s v="Alameda County"/>
    <x v="3"/>
    <n v="13"/>
    <e v="#NAME?"/>
  </r>
  <r>
    <s v="TX502376"/>
    <s v="Bikinis"/>
    <n v="2"/>
    <n v="25.1"/>
    <n v="50.2"/>
    <d v="2025-03-29T00:00:00"/>
    <d v="2025-03-31T00:00:00"/>
    <s v=""/>
    <s v="Website"/>
    <n v="4"/>
    <s v="California"/>
    <s v="Alameda County"/>
    <x v="1"/>
    <n v="13"/>
    <e v="#NAME?"/>
  </r>
  <r>
    <s v="TX502377"/>
    <s v="Tank Tops"/>
    <n v="23"/>
    <n v="38.1"/>
    <n v="876.30000000000007"/>
    <d v="2025-03-29T00:00:00"/>
    <d v="2025-03-30T00:00:00"/>
    <s v="F"/>
    <s v="Partner App"/>
    <n v="4"/>
    <s v="California"/>
    <s v="Contra Costa County"/>
    <x v="3"/>
    <n v="13"/>
    <e v="#NAME?"/>
  </r>
  <r>
    <s v="TX502378"/>
    <s v="Workout Tops"/>
    <n v="2"/>
    <n v="42.2"/>
    <n v="84.4"/>
    <d v="2025-03-29T00:00:00"/>
    <d v="2025-03-31T00:00:00"/>
    <s v="F"/>
    <s v="App"/>
    <n v="5"/>
    <s v="California"/>
    <s v="Contra Costa County"/>
    <x v="1"/>
    <n v="13"/>
    <e v="#NAME?"/>
  </r>
  <r>
    <s v="TX502379"/>
    <s v="Shorts"/>
    <n v="10"/>
    <n v="12.3"/>
    <n v="123"/>
    <d v="2025-03-29T00:00:00"/>
    <d v="2025-03-30T00:00:00"/>
    <s v="F"/>
    <s v="Partner App"/>
    <n v="4"/>
    <s v="California"/>
    <s v="Fresno County"/>
    <x v="3"/>
    <n v="13"/>
    <e v="#NAME?"/>
  </r>
  <r>
    <s v="TX502380"/>
    <s v="Hoodies &amp; Sweatshirts"/>
    <n v="1"/>
    <n v="30.2"/>
    <n v="30.2"/>
    <d v="2025-03-29T00:00:00"/>
    <d v="2025-03-31T00:00:00"/>
    <s v="F"/>
    <s v="Website"/>
    <n v="5"/>
    <s v="California"/>
    <s v="Kings County"/>
    <x v="1"/>
    <n v="13"/>
    <e v="#NAME?"/>
  </r>
  <r>
    <s v="TX502381"/>
    <s v="Sandals"/>
    <n v="3"/>
    <n v="25.3"/>
    <n v="75.900000000000006"/>
    <d v="2025-03-29T00:00:00"/>
    <d v="2025-04-01T00:00:00"/>
    <s v="F"/>
    <s v="Target.com"/>
    <n v="4"/>
    <s v="California"/>
    <s v="Los Angeles County"/>
    <x v="2"/>
    <n v="13"/>
    <e v="#NAME?"/>
  </r>
  <r>
    <s v="TX502382"/>
    <s v="T-Shirts"/>
    <n v="5"/>
    <n v="29.7"/>
    <n v="148.5"/>
    <d v="2025-03-29T00:00:00"/>
    <d v="2025-03-31T00:00:00"/>
    <s v="M"/>
    <s v="Instagram"/>
    <n v="4"/>
    <s v="California"/>
    <s v="Los Angeles County"/>
    <x v="1"/>
    <n v="13"/>
    <e v="#NAME?"/>
  </r>
  <r>
    <s v="TX502383"/>
    <s v="Sundresses"/>
    <n v="8"/>
    <n v="32.9"/>
    <n v="263.2"/>
    <d v="2025-03-29T00:00:00"/>
    <d v="2025-03-30T00:00:00"/>
    <s v=""/>
    <s v="Instagram"/>
    <n v="5"/>
    <s v="California"/>
    <s v="Los Angeles County"/>
    <x v="3"/>
    <n v="13"/>
    <e v="#NAME?"/>
  </r>
  <r>
    <s v="TX502384"/>
    <s v="Bikinis"/>
    <n v="2"/>
    <n v="43.6"/>
    <n v="87.2"/>
    <d v="2025-03-29T00:00:00"/>
    <d v="2025-03-30T00:00:00"/>
    <s v="M"/>
    <s v="Website"/>
    <n v="5"/>
    <s v="California"/>
    <s v="Los Angeles County"/>
    <x v="3"/>
    <n v="13"/>
    <e v="#NAME?"/>
  </r>
  <r>
    <s v="TX502385"/>
    <s v="Crop Tops"/>
    <n v="4"/>
    <n v="78.400000000000006"/>
    <n v="313.60000000000002"/>
    <d v="2025-03-29T00:00:00"/>
    <d v="2025-03-30T00:00:00"/>
    <s v="M"/>
    <s v="Target.com"/>
    <n v="4"/>
    <s v="California"/>
    <s v="Los Angeles County"/>
    <x v="3"/>
    <n v="13"/>
    <e v="#NAME?"/>
  </r>
  <r>
    <s v="TX502386"/>
    <s v="Jeans"/>
    <n v="2"/>
    <n v="56.5"/>
    <n v="113"/>
    <d v="2025-03-29T00:00:00"/>
    <d v="2025-04-02T00:00:00"/>
    <s v="M"/>
    <s v="Website"/>
    <n v="3"/>
    <s v="California"/>
    <s v="Los Angeles County"/>
    <x v="5"/>
    <n v="13"/>
    <e v="#NAME?"/>
  </r>
  <r>
    <s v="TX502387"/>
    <s v="Sunglasses"/>
    <n v="1"/>
    <n v="36.700000000000003"/>
    <n v="36.700000000000003"/>
    <d v="2025-03-29T00:00:00"/>
    <d v="2025-03-30T00:00:00"/>
    <s v="F"/>
    <s v="App"/>
    <n v="5"/>
    <s v="California"/>
    <s v="Los Angeles County"/>
    <x v="3"/>
    <n v="13"/>
    <e v="#NAME?"/>
  </r>
  <r>
    <s v="TX502388"/>
    <s v="Sneakers"/>
    <n v="4"/>
    <n v="103.6"/>
    <n v="414.4"/>
    <d v="2025-03-29T00:00:00"/>
    <d v="2025-04-09T00:00:00"/>
    <s v="M"/>
    <s v="Partner App"/>
    <n v="5"/>
    <s v="California"/>
    <s v="Los Angeles County"/>
    <x v="11"/>
    <n v="13"/>
    <e v="#NAME?"/>
  </r>
  <r>
    <s v="TX502389"/>
    <s v="T-Shirts"/>
    <n v="6"/>
    <n v="16.2"/>
    <n v="97.199999999999989"/>
    <d v="2025-03-29T00:00:00"/>
    <d v="2025-04-02T00:00:00"/>
    <s v="M"/>
    <s v="Website"/>
    <n v="5"/>
    <s v="California"/>
    <s v="Sacramento County"/>
    <x v="5"/>
    <n v="13"/>
    <e v="#NAME?"/>
  </r>
  <r>
    <s v="TX502390"/>
    <s v="T-Shirts"/>
    <n v="2"/>
    <n v="20.2"/>
    <n v="40.4"/>
    <d v="2025-03-29T00:00:00"/>
    <d v="2025-03-30T00:00:00"/>
    <s v="F"/>
    <s v="App"/>
    <n v="4"/>
    <s v="California"/>
    <s v="Sacramento County"/>
    <x v="3"/>
    <n v="13"/>
    <e v="#NAME?"/>
  </r>
  <r>
    <s v="TX502391"/>
    <s v="Maxi Dresses"/>
    <n v="2"/>
    <n v="26.9"/>
    <n v="53.8"/>
    <d v="2025-03-29T00:00:00"/>
    <d v="2025-03-31T00:00:00"/>
    <s v="F"/>
    <s v="Target.com"/>
    <n v="4"/>
    <s v="California"/>
    <s v="Sacramento County"/>
    <x v="1"/>
    <n v="13"/>
    <e v="#NAME?"/>
  </r>
  <r>
    <s v="TX502392"/>
    <s v="Tank Tops"/>
    <n v="2"/>
    <n v="82.4"/>
    <n v="164.8"/>
    <d v="2025-03-29T00:00:00"/>
    <d v="2025-04-01T00:00:00"/>
    <s v=""/>
    <s v="App"/>
    <n v="4"/>
    <s v="California"/>
    <s v="San Bernardino County"/>
    <x v="2"/>
    <n v="13"/>
    <e v="#NAME?"/>
  </r>
  <r>
    <s v="TX502393"/>
    <s v="Sneakers"/>
    <n v="2"/>
    <n v="117.8"/>
    <n v="235.6"/>
    <d v="2025-03-29T00:00:00"/>
    <d v="2025-03-31T00:00:00"/>
    <s v="M"/>
    <s v="Website"/>
    <n v="5"/>
    <s v="California"/>
    <s v="San Diego County"/>
    <x v="1"/>
    <n v="13"/>
    <e v="#NAME?"/>
  </r>
  <r>
    <s v="TX502394"/>
    <s v="Maxi Dresses"/>
    <n v="4"/>
    <n v="36.700000000000003"/>
    <n v="146.80000000000001"/>
    <d v="2025-03-29T00:00:00"/>
    <d v="2025-03-30T00:00:00"/>
    <s v="M"/>
    <s v="Website"/>
    <n v="4"/>
    <s v="California"/>
    <s v="San Diego County"/>
    <x v="3"/>
    <n v="13"/>
    <e v="#NAME?"/>
  </r>
  <r>
    <s v="TX502395"/>
    <s v="Pajama Sets"/>
    <n v="3"/>
    <n v="46.8"/>
    <n v="140.39999999999998"/>
    <d v="2025-03-29T00:00:00"/>
    <d v="2025-03-30T00:00:00"/>
    <s v="M"/>
    <s v="Partner App"/>
    <n v="5"/>
    <s v="California"/>
    <s v="Santa Barbara County"/>
    <x v="3"/>
    <n v="13"/>
    <e v="#NAME?"/>
  </r>
  <r>
    <s v="TX502396"/>
    <s v="Workout Tops"/>
    <n v="1"/>
    <n v="61.4"/>
    <n v="61.4"/>
    <d v="2025-03-29T00:00:00"/>
    <d v="2025-03-30T00:00:00"/>
    <s v="M"/>
    <s v="Website"/>
    <n v="4"/>
    <s v="California"/>
    <s v="Santa Barbara County"/>
    <x v="3"/>
    <n v="13"/>
    <e v="#NAME?"/>
  </r>
  <r>
    <s v="TX502397"/>
    <s v="Crop Tops"/>
    <n v="2"/>
    <n v="22.9"/>
    <n v="45.8"/>
    <d v="2025-03-29T00:00:00"/>
    <d v="2025-03-30T00:00:00"/>
    <s v="M"/>
    <s v="App"/>
    <n v="4"/>
    <s v="California"/>
    <s v="Santa Clara County"/>
    <x v="3"/>
    <n v="13"/>
    <e v="#NAME?"/>
  </r>
  <r>
    <s v="TX502398"/>
    <s v="Bikinis"/>
    <n v="2"/>
    <n v="22.1"/>
    <n v="44.2"/>
    <d v="2025-03-29T00:00:00"/>
    <d v="2025-03-30T00:00:00"/>
    <s v="F"/>
    <s v="Partner App"/>
    <n v="4"/>
    <s v="California"/>
    <s v="Santa Clara County"/>
    <x v="3"/>
    <n v="13"/>
    <e v="#NAME?"/>
  </r>
  <r>
    <s v="TX502399"/>
    <s v="Casual Dresses"/>
    <n v="2"/>
    <n v="31"/>
    <n v="62"/>
    <d v="2025-03-29T00:00:00"/>
    <d v="2025-03-31T00:00:00"/>
    <s v="F"/>
    <s v="Target.com"/>
    <n v="4"/>
    <s v="California"/>
    <s v="Sonoma County"/>
    <x v="1"/>
    <n v="13"/>
    <e v="#NA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vt_rating"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4">
  <location ref="A191:G196"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1" format="8" series="1">
      <pivotArea type="data" outline="0" fieldPosition="0">
        <references count="2">
          <reference field="4294967294" count="1" selected="0">
            <x v="0"/>
          </reference>
          <reference field="9" count="1" selected="0">
            <x v="0"/>
          </reference>
        </references>
      </pivotArea>
    </chartFormat>
    <chartFormat chart="1" format="9" series="1">
      <pivotArea type="data" outline="0" fieldPosition="0">
        <references count="2">
          <reference field="4294967294" count="1" selected="0">
            <x v="0"/>
          </reference>
          <reference field="9" count="1" selected="0">
            <x v="1"/>
          </reference>
        </references>
      </pivotArea>
    </chartFormat>
    <chartFormat chart="1" format="10" series="1">
      <pivotArea type="data" outline="0" fieldPosition="0">
        <references count="2">
          <reference field="4294967294" count="1" selected="0">
            <x v="0"/>
          </reference>
          <reference field="9" count="1" selected="0">
            <x v="2"/>
          </reference>
        </references>
      </pivotArea>
    </chartFormat>
    <chartFormat chart="1" format="11" series="1">
      <pivotArea type="data" outline="0" fieldPosition="0">
        <references count="2">
          <reference field="4294967294" count="1" selected="0">
            <x v="0"/>
          </reference>
          <reference field="9" count="1" selected="0">
            <x v="3"/>
          </reference>
        </references>
      </pivotArea>
    </chartFormat>
    <chartFormat chart="1" format="12" series="1">
      <pivotArea type="data" outline="0" fieldPosition="0">
        <references count="2">
          <reference field="4294967294" count="1" selected="0">
            <x v="0"/>
          </reference>
          <reference field="9" count="1" selected="0">
            <x v="4"/>
          </reference>
        </references>
      </pivotArea>
    </chartFormat>
    <chartFormat chart="2" format="23" series="1">
      <pivotArea type="data" outline="0" fieldPosition="0">
        <references count="2">
          <reference field="4294967294" count="1" selected="0">
            <x v="0"/>
          </reference>
          <reference field="9" count="1" selected="0">
            <x v="0"/>
          </reference>
        </references>
      </pivotArea>
    </chartFormat>
    <chartFormat chart="2" format="24" series="1">
      <pivotArea type="data" outline="0" fieldPosition="0">
        <references count="2">
          <reference field="4294967294" count="1" selected="0">
            <x v="0"/>
          </reference>
          <reference field="9" count="1" selected="0">
            <x v="1"/>
          </reference>
        </references>
      </pivotArea>
    </chartFormat>
    <chartFormat chart="2" format="25" series="1">
      <pivotArea type="data" outline="0" fieldPosition="0">
        <references count="2">
          <reference field="4294967294" count="1" selected="0">
            <x v="0"/>
          </reference>
          <reference field="9" count="1" selected="0">
            <x v="2"/>
          </reference>
        </references>
      </pivotArea>
    </chartFormat>
    <chartFormat chart="2" format="26" series="1">
      <pivotArea type="data" outline="0" fieldPosition="0">
        <references count="2">
          <reference field="4294967294" count="1" selected="0">
            <x v="0"/>
          </reference>
          <reference field="9" count="1" selected="0">
            <x v="3"/>
          </reference>
        </references>
      </pivotArea>
    </chartFormat>
    <chartFormat chart="2" format="2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vt_Qty"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36">
  <location ref="A40:B48"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defaultSubtotal="0">
      <items count="7">
        <item x="0"/>
        <item x="1"/>
        <item x="2"/>
        <item x="4"/>
        <item x="3"/>
        <item n="6 to 10" sd="0" x="5"/>
        <item n="More than 10" sd="0" x="6"/>
      </items>
    </pivotField>
    <pivotField showAll="0" defaultSubtotal="0">
      <items count="14">
        <item x="0"/>
        <item x="1"/>
        <item x="2"/>
        <item x="3"/>
        <item x="4"/>
        <item x="5"/>
        <item x="6"/>
        <item x="7"/>
        <item x="8"/>
        <item x="9"/>
        <item x="10"/>
        <item x="11"/>
        <item x="12"/>
        <item x="13"/>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vt_products"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8">
  <location ref="A55:F77"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5" format="12" series="1">
      <pivotArea type="data" outline="0" fieldPosition="0">
        <references count="2">
          <reference field="4294967294" count="1" selected="0">
            <x v="0"/>
          </reference>
          <reference field="14" count="1" selected="0">
            <x v="0"/>
          </reference>
        </references>
      </pivotArea>
    </chartFormat>
    <chartFormat chart="15" format="13" series="1">
      <pivotArea type="data" outline="0" fieldPosition="0">
        <references count="2">
          <reference field="4294967294" count="1" selected="0">
            <x v="0"/>
          </reference>
          <reference field="14" count="1" selected="0">
            <x v="1"/>
          </reference>
        </references>
      </pivotArea>
    </chartFormat>
    <chartFormat chart="15" format="14" series="1">
      <pivotArea type="data" outline="0" fieldPosition="0">
        <references count="2">
          <reference field="4294967294" count="1" selected="0">
            <x v="0"/>
          </reference>
          <reference field="14" count="1" selected="0">
            <x v="2"/>
          </reference>
        </references>
      </pivotArea>
    </chartFormat>
    <chartFormat chart="15" format="15"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vt_gender"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3">
  <location ref="A83:B88" firstHeaderRow="1"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defaultSubtotal="0">
      <items count="14">
        <item x="0"/>
        <item x="1"/>
        <item x="2"/>
        <item x="3"/>
        <item x="4"/>
        <item x="5"/>
        <item x="6"/>
        <item x="7"/>
        <item x="8"/>
        <item x="9"/>
        <item x="10"/>
        <item x="11"/>
        <item x="12"/>
        <item x="13"/>
      </items>
    </pivotField>
  </pivotFields>
  <rowFields count="1">
    <field x="14"/>
  </rowFields>
  <rowItems count="5">
    <i>
      <x/>
    </i>
    <i>
      <x v="1"/>
    </i>
    <i>
      <x v="2"/>
    </i>
    <i>
      <x v="3"/>
    </i>
    <i t="grand">
      <x/>
    </i>
  </rowItems>
  <colItems count="1">
    <i/>
  </colItems>
  <dataFields count="1">
    <dataField name="Sum of Quantity" fld="2" baseField="0" baseItem="0"/>
  </dataFields>
  <chartFormats count="10">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4" count="1" selected="0">
            <x v="0"/>
          </reference>
        </references>
      </pivotArea>
    </chartFormat>
    <chartFormat chart="10" format="3">
      <pivotArea type="data" outline="0" fieldPosition="0">
        <references count="2">
          <reference field="4294967294" count="1" selected="0">
            <x v="0"/>
          </reference>
          <reference field="14" count="1" selected="0">
            <x v="1"/>
          </reference>
        </references>
      </pivotArea>
    </chartFormat>
    <chartFormat chart="10" format="4">
      <pivotArea type="data" outline="0" fieldPosition="0">
        <references count="2">
          <reference field="4294967294" count="1" selected="0">
            <x v="0"/>
          </reference>
          <reference field="14" count="1" selected="0">
            <x v="2"/>
          </reference>
        </references>
      </pivotArea>
    </chartFormat>
    <chartFormat chart="10" format="5">
      <pivotArea type="data" outline="0" fieldPosition="0">
        <references count="2">
          <reference field="4294967294" count="1" selected="0">
            <x v="0"/>
          </reference>
          <reference field="14"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4" count="1" selected="0">
            <x v="0"/>
          </reference>
        </references>
      </pivotArea>
    </chartFormat>
    <chartFormat chart="11" format="8">
      <pivotArea type="data" outline="0" fieldPosition="0">
        <references count="2">
          <reference field="4294967294" count="1" selected="0">
            <x v="0"/>
          </reference>
          <reference field="14" count="1" selected="0">
            <x v="1"/>
          </reference>
        </references>
      </pivotArea>
    </chartFormat>
    <chartFormat chart="11" format="9">
      <pivotArea type="data" outline="0" fieldPosition="0">
        <references count="2">
          <reference field="4294967294" count="1" selected="0">
            <x v="0"/>
          </reference>
          <reference field="14" count="1" selected="0">
            <x v="2"/>
          </reference>
        </references>
      </pivotArea>
    </chartFormat>
    <chartFormat chart="11"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vt_summary"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6:E7"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numFmtId="2"/>
    <dataField name="Average of Days to Deliver" fld="12" subtotal="average" baseField="0" baseItem="0" numFmtId="164"/>
  </dataFields>
  <formats count="2">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O180:Q197" firstHeaderRow="1" firstDataRow="1" firstDataCol="0"/>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vt_Trend"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9">
  <location ref="A19:C33"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formats count="4">
    <format dxfId="5">
      <pivotArea dataOnly="0" labelOnly="1" outline="0" fieldPosition="0">
        <references count="1">
          <reference field="4294967294" count="1">
            <x v="1"/>
          </reference>
        </references>
      </pivotArea>
    </format>
    <format dxfId="4">
      <pivotArea outline="0" collapsedLevelsAreSubtotals="1" fieldPosition="0">
        <references count="1">
          <reference field="4294967294" count="1" selected="0">
            <x v="1"/>
          </reference>
        </references>
      </pivotArea>
    </format>
    <format dxfId="3">
      <pivotArea field="13" type="button" dataOnly="0" labelOnly="1" outline="0" axis="axisRow" fieldPosition="0"/>
    </format>
    <format dxfId="2">
      <pivotArea dataOnly="0" labelOnly="1" outline="0" fieldPosition="0">
        <references count="1">
          <reference field="4294967294" count="2">
            <x v="0"/>
            <x v="1"/>
          </reference>
        </references>
      </pivotArea>
    </format>
  </formats>
  <chartFormats count="2">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CE7E78-8694-4F5A-AEFD-35C51FFD2D2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5" indent="0" compact="0" compactData="0" multipleFieldFilters="0">
  <location ref="A204:D262" firstHeaderRow="0" firstDataRow="1" firstDataCol="2"/>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vt_duration"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64:B180" firstHeaderRow="1" firstDataRow="1" firstDataCol="1"/>
  <pivotFields count="15">
    <pivotField dataField="1" showAll="0"/>
    <pivotField showAll="0"/>
    <pivotField showAll="0"/>
    <pivotField showAll="0"/>
    <pivotField showAll="0"/>
    <pivotField numFmtId="15" showAll="0"/>
    <pivotField numFmtId="15" showAll="0"/>
    <pivotField showAll="0"/>
    <pivotField showAll="0"/>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vt_map" cacheId="0" applyNumberFormats="0" applyBorderFormats="0" applyFontFormats="0" applyPatternFormats="0" applyAlignmentFormats="0" applyWidthHeightFormats="1" dataCaption="Values" updatedVersion="8" minRefreshableVersion="3" useAutoFormatting="1" rowGrandTotals="0" colGrandTotals="0" itemPrintTitles="1" createdVersion="5" indent="0" compact="0" compactData="0" multipleFieldFilters="0">
  <location ref="A95:D153" firstHeaderRow="0" firstDataRow="1" firstDataCol="2"/>
  <pivotFields count="17">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numFmtId="15"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 axis="axisRow" compact="0" outline="0" subtotalTop="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4">
        <item x="2"/>
        <item x="1"/>
        <item x="3"/>
        <item x="0"/>
      </items>
      <extLst>
        <ext xmlns:x14="http://schemas.microsoft.com/office/spreadsheetml/2009/9/main" uri="{2946ED86-A175-432a-8AC1-64E0C546D7DE}">
          <x14:pivotField fillDownLabels="1"/>
        </ext>
      </extLst>
    </pivotField>
    <pivotField compact="0" outline="0" subtotalTop="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vt_matrix"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5:F12"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4"/>
        <item x="3"/>
        <item x="5"/>
        <item x="6"/>
      </items>
    </pivotField>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0000000-0013-0000-FFFF-FFFF01000000}" sourceName="Order Mode">
  <pivotTables>
    <pivotTable tabId="5" name="Pvt_rating"/>
    <pivotTable tabId="5" name="Pvt_gender"/>
    <pivotTable tabId="5" name="Pvt_products"/>
    <pivotTable tabId="5" name="Pvt_Qty"/>
    <pivotTable tabId="5" name="Pvt_summary"/>
    <pivotTable tabId="5" name="Pvt_Trend"/>
    <pivotTable tabId="6" name="Pvt_matrix"/>
  </pivotTables>
  <data>
    <tabular pivotCacheId="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0000000-0013-0000-FFFF-FFFF02000000}" sourceName="Gender Value">
  <pivotTables>
    <pivotTable tabId="5" name="Pvt_rating"/>
    <pivotTable tabId="5" name="PivotTable4"/>
    <pivotTable tabId="5" name="Pvt_map"/>
    <pivotTable tabId="5" name="Pvt_products"/>
    <pivotTable tabId="5" name="Pvt_Qty"/>
    <pivotTable tabId="5" name="Pvt_summary"/>
    <pivotTable tabId="5" name="Pvt_Trend"/>
    <pivotTable tabId="6" name="Pvt_matrix"/>
  </pivotTables>
  <data>
    <tabular pivotCacheId="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0000000-0014-0000-FFFF-FFFF01000000}" cache="Slicer_Order_Mode" caption="Order Mode" rowHeight="241300"/>
  <slicer name="Gender Value" xr10:uid="{00000000-0014-0000-FFFF-FFFF02000000}" cache="Slicer_Gender_Value" caption="Gender Valu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O2401" totalsRowShown="0">
  <tableColumns count="15">
    <tableColumn id="1" xr3:uid="{00000000-0010-0000-0000-000001000000}" name="TX ID"/>
    <tableColumn id="2" xr3:uid="{00000000-0010-0000-0000-000002000000}" name="Product"/>
    <tableColumn id="3" xr3:uid="{00000000-0010-0000-0000-000003000000}" name="Quantity"/>
    <tableColumn id="4" xr3:uid="{00000000-0010-0000-0000-000004000000}" name="Unit Price"/>
    <tableColumn id="5" xr3:uid="{00000000-0010-0000-0000-000005000000}" name="Amount"/>
    <tableColumn id="6" xr3:uid="{00000000-0010-0000-0000-000006000000}" name="Order Date" dataDxfId="10"/>
    <tableColumn id="7" xr3:uid="{00000000-0010-0000-0000-000007000000}" name="Ship Date" dataDxfId="9"/>
    <tableColumn id="8" xr3:uid="{00000000-0010-0000-0000-000008000000}" name="Customer Gender"/>
    <tableColumn id="9" xr3:uid="{00000000-0010-0000-0000-000009000000}" name="Order Mode"/>
    <tableColumn id="10" xr3:uid="{00000000-0010-0000-0000-00000A000000}" name="Rating C"/>
    <tableColumn id="15" xr3:uid="{00000000-0010-0000-0000-00000F000000}" name="State"/>
    <tableColumn id="14" xr3:uid="{00000000-0010-0000-0000-00000E000000}" name="County"/>
    <tableColumn id="11" xr3:uid="{00000000-0010-0000-0000-00000B000000}" name="Days to Deliver" dataDxfId="8">
      <calculatedColumnFormula>orders[[#This Row],[Ship Date]]-orders[[#This Row],[Order Date]]</calculatedColumnFormula>
    </tableColumn>
    <tableColumn id="12" xr3:uid="{00000000-0010-0000-0000-00000C000000}" name="Weeknum" dataDxfId="7">
      <calculatedColumnFormula>WEEKNUM(orders[[#This Row],[Order Date]])</calculatedColumnFormula>
    </tableColumn>
    <tableColumn id="13" xr3:uid="{00000000-0010-0000-0000-00000D000000}" name="Gender Value" dataDxfId="6">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zoomScale="40" zoomScaleNormal="40" workbookViewId="0">
      <selection activeCell="AU41" sqref="AU41"/>
    </sheetView>
  </sheetViews>
  <sheetFormatPr defaultRowHeight="14.5" x14ac:dyDescent="0.35"/>
  <cols>
    <col min="1" max="1" width="3.36328125" customWidth="1"/>
    <col min="2" max="2" width="22.26953125" customWidth="1"/>
    <col min="3" max="4" width="3.36328125" customWidth="1"/>
    <col min="26" max="26" width="3.36328125" customWidth="1"/>
  </cols>
  <sheetData/>
  <pageMargins left="0.7" right="0.7" top="0.75" bottom="0.75" header="0.3" footer="0.3"/>
  <pageSetup scale="33" orientation="landscape"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401"/>
  <sheetViews>
    <sheetView zoomScale="85" zoomScaleNormal="85" workbookViewId="0">
      <selection activeCell="L2398" sqref="L2398"/>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7265625" bestFit="1" customWidth="1"/>
    <col min="11" max="11" width="8.7265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8"/>
  <sheetViews>
    <sheetView tabSelected="1" workbookViewId="0">
      <selection activeCell="B3" sqref="B3"/>
    </sheetView>
  </sheetViews>
  <sheetFormatPr defaultRowHeight="14.5" x14ac:dyDescent="0.35"/>
  <cols>
    <col min="1" max="1" width="3.6328125" customWidth="1"/>
    <col min="2" max="2" width="52.7265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Q262"/>
  <sheetViews>
    <sheetView topLeftCell="A85" zoomScale="85" zoomScaleNormal="85" workbookViewId="0">
      <selection activeCell="B36" sqref="B36"/>
    </sheetView>
  </sheetViews>
  <sheetFormatPr defaultRowHeight="14.5" x14ac:dyDescent="0.35"/>
  <cols>
    <col min="1" max="1" width="13.1796875" bestFit="1" customWidth="1"/>
    <col min="2" max="2" width="14.26953125" bestFit="1" customWidth="1"/>
    <col min="3" max="3" width="13.6328125" bestFit="1" customWidth="1"/>
    <col min="4" max="4" width="17.08984375" bestFit="1" customWidth="1"/>
    <col min="5" max="5" width="22.7265625" bestFit="1" customWidth="1"/>
    <col min="6" max="7" width="10.453125" bestFit="1" customWidth="1"/>
    <col min="8" max="8" width="24" bestFit="1" customWidth="1"/>
    <col min="9" max="9" width="15.6328125" bestFit="1" customWidth="1"/>
    <col min="10" max="12" width="6.7265625" customWidth="1"/>
    <col min="13" max="13" width="9.90625" bestFit="1" customWidth="1"/>
    <col min="14" max="14" width="16.36328125" bestFit="1" customWidth="1"/>
    <col min="15" max="15" width="16.1796875" bestFit="1" customWidth="1"/>
    <col min="16" max="32" width="6.7265625" customWidth="1"/>
    <col min="33" max="89" width="6.90625" customWidth="1"/>
    <col min="90" max="90" width="11.36328125" customWidth="1"/>
    <col min="91" max="93" width="5.08984375" customWidth="1"/>
    <col min="94" max="94" width="3.08984375" customWidth="1"/>
    <col min="95" max="100" width="5.08984375" customWidth="1"/>
    <col min="101" max="101" width="3.08984375" customWidth="1"/>
    <col min="102" max="106" width="5.08984375" customWidth="1"/>
    <col min="107" max="107" width="3.08984375" customWidth="1"/>
    <col min="108" max="112" width="5.08984375" customWidth="1"/>
    <col min="113" max="113" width="3.08984375" customWidth="1"/>
    <col min="114" max="118" width="5.08984375" customWidth="1"/>
    <col min="119" max="119" width="3.08984375" customWidth="1"/>
    <col min="120" max="128" width="5.08984375" customWidth="1"/>
    <col min="129" max="129" width="3.08984375" customWidth="1"/>
    <col min="130" max="147" width="5.08984375" customWidth="1"/>
    <col min="148" max="148" width="3.08984375" customWidth="1"/>
    <col min="149" max="156" width="5.08984375" customWidth="1"/>
    <col min="157" max="157" width="3.08984375" customWidth="1"/>
    <col min="158" max="167" width="5.08984375" customWidth="1"/>
    <col min="168" max="168" width="3.08984375" customWidth="1"/>
    <col min="169" max="173" width="5.08984375" customWidth="1"/>
    <col min="174" max="174" width="3.08984375" customWidth="1"/>
    <col min="175" max="179" width="5.08984375" customWidth="1"/>
    <col min="180" max="180" width="3.08984375" customWidth="1"/>
    <col min="181" max="192" width="5.08984375" customWidth="1"/>
    <col min="193" max="193" width="3.08984375" customWidth="1"/>
    <col min="194" max="199" width="5.08984375" customWidth="1"/>
    <col min="200" max="200" width="3.08984375" customWidth="1"/>
    <col min="201" max="218" width="5.08984375" customWidth="1"/>
    <col min="219" max="219" width="3.08984375" customWidth="1"/>
    <col min="220" max="227" width="5.08984375" customWidth="1"/>
    <col min="228" max="228" width="3.08984375" customWidth="1"/>
    <col min="229" max="234" width="5.08984375" customWidth="1"/>
    <col min="235" max="235" width="3.08984375" customWidth="1"/>
    <col min="236" max="243" width="5.08984375" customWidth="1"/>
    <col min="244" max="244" width="3.08984375" customWidth="1"/>
    <col min="245" max="255" width="5.08984375" customWidth="1"/>
    <col min="256" max="256" width="3.08984375" customWidth="1"/>
    <col min="257" max="265" width="5.08984375" customWidth="1"/>
    <col min="266" max="266" width="3.08984375" customWidth="1"/>
    <col min="267" max="271" width="5.08984375" customWidth="1"/>
    <col min="272" max="272" width="3.08984375" customWidth="1"/>
    <col min="273" max="283" width="5.08984375" customWidth="1"/>
    <col min="284" max="284" width="3.08984375" customWidth="1"/>
    <col min="285" max="290" width="5.08984375" customWidth="1"/>
    <col min="291" max="291" width="3.08984375" customWidth="1"/>
    <col min="292" max="297" width="5.08984375" customWidth="1"/>
    <col min="298" max="298" width="3.08984375" customWidth="1"/>
    <col min="299" max="300" width="5.08984375" customWidth="1"/>
    <col min="301" max="301" width="3.08984375" customWidth="1"/>
    <col min="302" max="307" width="5.08984375" customWidth="1"/>
    <col min="308" max="308" width="3.08984375" customWidth="1"/>
    <col min="309" max="313" width="5.08984375" customWidth="1"/>
    <col min="314" max="314" width="3.08984375" customWidth="1"/>
    <col min="315" max="335" width="5.08984375" customWidth="1"/>
    <col min="336" max="336" width="3.08984375" customWidth="1"/>
    <col min="337" max="343" width="5.08984375" customWidth="1"/>
    <col min="344" max="344" width="3.08984375" customWidth="1"/>
    <col min="345" max="347" width="5.08984375" customWidth="1"/>
    <col min="348" max="348" width="3.08984375" customWidth="1"/>
    <col min="349" max="358" width="5.08984375" customWidth="1"/>
    <col min="359" max="359" width="3.08984375" customWidth="1"/>
    <col min="360" max="364" width="5.08984375" customWidth="1"/>
    <col min="365" max="365" width="3.08984375" customWidth="1"/>
    <col min="366" max="368" width="5.08984375" customWidth="1"/>
    <col min="369" max="369" width="3.08984375" customWidth="1"/>
    <col min="370" max="377" width="5.08984375" customWidth="1"/>
    <col min="378" max="378" width="3.08984375" customWidth="1"/>
    <col min="379" max="385" width="5.08984375" customWidth="1"/>
    <col min="386" max="386" width="3.08984375" customWidth="1"/>
    <col min="387" max="394" width="5.08984375" customWidth="1"/>
    <col min="395" max="395" width="3.08984375" customWidth="1"/>
    <col min="396" max="399" width="5.08984375" customWidth="1"/>
    <col min="400" max="400" width="3.08984375" customWidth="1"/>
    <col min="401" max="407" width="5.08984375" customWidth="1"/>
    <col min="408" max="408" width="3.08984375" customWidth="1"/>
    <col min="409" max="413" width="5.08984375" customWidth="1"/>
    <col min="414" max="414" width="3.08984375" customWidth="1"/>
    <col min="415" max="416" width="5.08984375" customWidth="1"/>
    <col min="417" max="417" width="3.08984375" customWidth="1"/>
    <col min="418" max="434" width="5.08984375" customWidth="1"/>
    <col min="435" max="435" width="3.08984375" customWidth="1"/>
    <col min="436" max="440" width="5.08984375" customWidth="1"/>
    <col min="441" max="441" width="3.08984375" customWidth="1"/>
    <col min="442" max="446" width="5.08984375" customWidth="1"/>
    <col min="447" max="447" width="3.08984375" customWidth="1"/>
    <col min="448" max="450" width="5.08984375" customWidth="1"/>
    <col min="451" max="451" width="3.08984375" customWidth="1"/>
    <col min="452" max="455" width="5.08984375" customWidth="1"/>
    <col min="456" max="456" width="3.08984375" customWidth="1"/>
    <col min="457" max="461" width="5.08984375" customWidth="1"/>
    <col min="462" max="462" width="3.08984375" customWidth="1"/>
    <col min="463" max="465" width="5.08984375" customWidth="1"/>
    <col min="466" max="466" width="3.08984375" customWidth="1"/>
    <col min="467" max="471" width="5.08984375" customWidth="1"/>
    <col min="472" max="472" width="3.08984375" customWidth="1"/>
    <col min="473" max="477" width="5.08984375" customWidth="1"/>
    <col min="478" max="478" width="3.08984375" customWidth="1"/>
    <col min="479" max="482" width="5.08984375" customWidth="1"/>
    <col min="483" max="483" width="3.08984375" customWidth="1"/>
    <col min="484" max="488" width="5.08984375" customWidth="1"/>
    <col min="489" max="489" width="3.08984375" customWidth="1"/>
    <col min="490" max="499" width="5.08984375" customWidth="1"/>
    <col min="500" max="500" width="3.08984375" customWidth="1"/>
    <col min="501" max="510" width="5.08984375" customWidth="1"/>
    <col min="511" max="511" width="4.08984375" customWidth="1"/>
    <col min="512" max="515" width="6.08984375" customWidth="1"/>
    <col min="516" max="516" width="4.08984375" customWidth="1"/>
    <col min="517" max="521" width="6.08984375" customWidth="1"/>
    <col min="522" max="522" width="4.08984375" customWidth="1"/>
    <col min="523" max="525" width="6.08984375" customWidth="1"/>
    <col min="526" max="526" width="4.08984375" customWidth="1"/>
    <col min="527" max="534" width="6.08984375" customWidth="1"/>
    <col min="535" max="535" width="4.08984375" customWidth="1"/>
    <col min="536" max="539" width="6.08984375" customWidth="1"/>
    <col min="540" max="540" width="4.08984375" customWidth="1"/>
    <col min="541" max="549" width="6.08984375" customWidth="1"/>
    <col min="550" max="550" width="4.08984375" customWidth="1"/>
    <col min="551" max="554" width="6.08984375" customWidth="1"/>
    <col min="555" max="555" width="4.08984375" customWidth="1"/>
    <col min="556" max="569" width="6.08984375" customWidth="1"/>
    <col min="570" max="570" width="4.08984375" customWidth="1"/>
    <col min="571" max="573" width="6.08984375" customWidth="1"/>
    <col min="574" max="574" width="4.08984375" customWidth="1"/>
    <col min="575" max="579" width="6.08984375" customWidth="1"/>
    <col min="580" max="580" width="4.08984375" customWidth="1"/>
    <col min="581" max="585" width="6.08984375" customWidth="1"/>
    <col min="586" max="586" width="4.08984375" customWidth="1"/>
    <col min="587" max="590" width="6.08984375" customWidth="1"/>
    <col min="591" max="591" width="4.08984375" customWidth="1"/>
    <col min="592" max="592" width="6.08984375" customWidth="1"/>
    <col min="593" max="593" width="4.08984375" customWidth="1"/>
    <col min="594" max="599" width="6.08984375" customWidth="1"/>
    <col min="600" max="600" width="4.08984375" customWidth="1"/>
    <col min="601" max="606" width="6.08984375" customWidth="1"/>
    <col min="607" max="607" width="4.08984375" customWidth="1"/>
    <col min="608" max="612" width="6.08984375" customWidth="1"/>
    <col min="613" max="613" width="4.08984375" customWidth="1"/>
    <col min="614" max="618" width="6.08984375" customWidth="1"/>
    <col min="619" max="619" width="4.08984375" customWidth="1"/>
    <col min="620" max="621" width="6.08984375" customWidth="1"/>
    <col min="622" max="622" width="4.08984375" customWidth="1"/>
    <col min="623" max="626" width="6.08984375" customWidth="1"/>
    <col min="627" max="627" width="4.08984375" customWidth="1"/>
    <col min="628" max="631" width="6.08984375" customWidth="1"/>
    <col min="632" max="632" width="4.08984375" customWidth="1"/>
    <col min="633" max="638" width="6.08984375" customWidth="1"/>
    <col min="639" max="639" width="4.08984375" customWidth="1"/>
    <col min="640" max="641" width="6.08984375" customWidth="1"/>
    <col min="642" max="642" width="4.08984375" customWidth="1"/>
    <col min="643" max="647" width="6.08984375" customWidth="1"/>
    <col min="648" max="648" width="4.08984375" customWidth="1"/>
    <col min="649" max="656" width="6.08984375" customWidth="1"/>
    <col min="657" max="657" width="4.08984375" customWidth="1"/>
    <col min="658" max="659" width="6.08984375" customWidth="1"/>
    <col min="660" max="660" width="4.08984375" customWidth="1"/>
    <col min="661" max="675" width="6.08984375" customWidth="1"/>
    <col min="676" max="676" width="4.08984375" customWidth="1"/>
    <col min="677" max="681" width="6.08984375" customWidth="1"/>
    <col min="682" max="682" width="4.08984375" customWidth="1"/>
    <col min="683" max="686" width="6.08984375" customWidth="1"/>
    <col min="687" max="687" width="4.08984375" customWidth="1"/>
    <col min="688" max="696" width="6.08984375" customWidth="1"/>
    <col min="697" max="697" width="4.08984375" customWidth="1"/>
    <col min="698" max="700" width="6.08984375" customWidth="1"/>
    <col min="701" max="701" width="4.08984375" customWidth="1"/>
    <col min="702" max="706" width="6.08984375" customWidth="1"/>
    <col min="707" max="707" width="4.08984375" customWidth="1"/>
    <col min="708" max="714" width="6.08984375" customWidth="1"/>
    <col min="715" max="715" width="4.08984375" customWidth="1"/>
    <col min="716" max="718" width="6.08984375" customWidth="1"/>
    <col min="719" max="719" width="4.08984375" customWidth="1"/>
    <col min="720" max="730" width="6.08984375" customWidth="1"/>
    <col min="731" max="731" width="4.08984375" customWidth="1"/>
    <col min="732" max="736" width="6.08984375" customWidth="1"/>
    <col min="737" max="737" width="4.08984375" customWidth="1"/>
    <col min="738" max="746" width="6.08984375" customWidth="1"/>
    <col min="747" max="747" width="4.08984375" customWidth="1"/>
    <col min="748" max="754" width="6.08984375" customWidth="1"/>
    <col min="755" max="755" width="4.08984375" customWidth="1"/>
    <col min="756" max="758" width="6.08984375" customWidth="1"/>
    <col min="759" max="759" width="4.08984375" customWidth="1"/>
    <col min="760" max="763" width="6.08984375" customWidth="1"/>
    <col min="764" max="764" width="4.08984375" customWidth="1"/>
    <col min="765" max="769" width="6.08984375" customWidth="1"/>
    <col min="770" max="770" width="4.08984375" customWidth="1"/>
    <col min="771" max="779" width="6.08984375" customWidth="1"/>
    <col min="780" max="780" width="4.08984375" customWidth="1"/>
    <col min="781" max="784" width="6.08984375" customWidth="1"/>
    <col min="785" max="785" width="4.08984375" customWidth="1"/>
    <col min="786" max="787" width="6.08984375" customWidth="1"/>
    <col min="788" max="788" width="4.08984375" customWidth="1"/>
    <col min="789" max="790" width="6.08984375" customWidth="1"/>
    <col min="791" max="791" width="4.08984375" customWidth="1"/>
    <col min="792" max="795" width="6.08984375" customWidth="1"/>
    <col min="796" max="796" width="4.08984375" customWidth="1"/>
    <col min="797" max="800" width="6.08984375" customWidth="1"/>
    <col min="801" max="801" width="4.08984375" customWidth="1"/>
    <col min="802" max="804" width="6.08984375" customWidth="1"/>
    <col min="805" max="805" width="4.08984375" customWidth="1"/>
    <col min="806" max="808" width="6.08984375" customWidth="1"/>
    <col min="809" max="809" width="4.08984375" customWidth="1"/>
    <col min="810" max="813" width="6.08984375" customWidth="1"/>
    <col min="814" max="814" width="4.08984375" customWidth="1"/>
    <col min="815" max="817" width="6.08984375" customWidth="1"/>
    <col min="818" max="818" width="4.08984375" customWidth="1"/>
    <col min="819" max="827" width="6.08984375" customWidth="1"/>
    <col min="828" max="828" width="4.08984375" customWidth="1"/>
    <col min="829" max="831" width="6.08984375" customWidth="1"/>
    <col min="832" max="832" width="4.08984375" customWidth="1"/>
    <col min="833" max="835" width="6.08984375" customWidth="1"/>
    <col min="836" max="836" width="4.08984375" customWidth="1"/>
    <col min="837" max="841" width="6.08984375" customWidth="1"/>
    <col min="842" max="842" width="4.08984375" customWidth="1"/>
    <col min="843" max="844" width="6.08984375" customWidth="1"/>
    <col min="845" max="845" width="4.08984375" customWidth="1"/>
    <col min="846" max="849" width="6.08984375" customWidth="1"/>
    <col min="850" max="850" width="4.08984375" customWidth="1"/>
    <col min="851" max="853" width="6.08984375" customWidth="1"/>
    <col min="854" max="854" width="4.08984375" customWidth="1"/>
    <col min="855" max="859" width="6.08984375" customWidth="1"/>
    <col min="860" max="860" width="4.08984375" customWidth="1"/>
    <col min="861" max="862" width="6.08984375" customWidth="1"/>
    <col min="863" max="863" width="4.08984375" customWidth="1"/>
    <col min="864" max="866" width="6.08984375" customWidth="1"/>
    <col min="867" max="867" width="4.08984375" customWidth="1"/>
    <col min="868" max="869" width="6.08984375" customWidth="1"/>
    <col min="870" max="870" width="4.08984375" customWidth="1"/>
    <col min="871" max="875" width="6.08984375" customWidth="1"/>
    <col min="876" max="876" width="4.08984375" customWidth="1"/>
    <col min="877" max="878" width="6.08984375" customWidth="1"/>
    <col min="879" max="879" width="4.08984375" customWidth="1"/>
    <col min="880" max="883" width="6.08984375" customWidth="1"/>
    <col min="884" max="884" width="4.08984375" customWidth="1"/>
    <col min="885" max="885" width="6.08984375" customWidth="1"/>
    <col min="886" max="886" width="4.08984375" customWidth="1"/>
    <col min="887" max="889" width="6.08984375" customWidth="1"/>
    <col min="890" max="890" width="4.08984375" customWidth="1"/>
    <col min="891" max="896" width="6.08984375" customWidth="1"/>
    <col min="897" max="898" width="4.08984375" customWidth="1"/>
    <col min="899" max="903" width="6.08984375" customWidth="1"/>
    <col min="904" max="904" width="4.08984375" customWidth="1"/>
    <col min="905" max="909" width="6.08984375" customWidth="1"/>
    <col min="910" max="910" width="4.08984375" customWidth="1"/>
    <col min="911" max="913" width="6.08984375" customWidth="1"/>
    <col min="914" max="914" width="4.08984375" customWidth="1"/>
    <col min="915" max="931" width="6.08984375" customWidth="1"/>
    <col min="932" max="933" width="4.08984375" customWidth="1"/>
    <col min="934" max="934" width="6.08984375" customWidth="1"/>
    <col min="935" max="935" width="4.08984375" customWidth="1"/>
    <col min="936" max="943" width="6.08984375" customWidth="1"/>
    <col min="944" max="944" width="4.08984375" customWidth="1"/>
    <col min="945" max="951" width="6.08984375" customWidth="1"/>
    <col min="952" max="952" width="4.08984375" customWidth="1"/>
    <col min="953" max="953" width="6.08984375" customWidth="1"/>
    <col min="954" max="954" width="4.08984375" customWidth="1"/>
    <col min="955" max="961" width="6.08984375" customWidth="1"/>
    <col min="962" max="962" width="4.08984375" customWidth="1"/>
    <col min="963" max="969" width="6.08984375" customWidth="1"/>
    <col min="970" max="970" width="4.08984375" customWidth="1"/>
    <col min="971" max="974" width="6.08984375" customWidth="1"/>
    <col min="975" max="975" width="4.08984375" customWidth="1"/>
    <col min="976" max="987" width="6.08984375" customWidth="1"/>
    <col min="988" max="988" width="4.08984375" customWidth="1"/>
    <col min="989" max="990" width="6.08984375" customWidth="1"/>
    <col min="991" max="991" width="4.08984375" customWidth="1"/>
    <col min="992" max="996" width="6.08984375" customWidth="1"/>
    <col min="997" max="997" width="4.08984375" customWidth="1"/>
    <col min="998" max="999" width="6.08984375" customWidth="1"/>
    <col min="1000" max="1000" width="4.08984375" customWidth="1"/>
    <col min="1001" max="1001" width="6.08984375" customWidth="1"/>
    <col min="1002" max="1002" width="4.08984375" customWidth="1"/>
    <col min="1003" max="1007" width="6.08984375" customWidth="1"/>
    <col min="1008" max="1008" width="4.08984375" customWidth="1"/>
    <col min="1009" max="1013" width="6.08984375" customWidth="1"/>
    <col min="1014" max="1014" width="4.08984375" customWidth="1"/>
    <col min="1015" max="1017" width="6.08984375" customWidth="1"/>
    <col min="1018" max="1018" width="4.08984375" customWidth="1"/>
    <col min="1019" max="1022" width="6.08984375" customWidth="1"/>
    <col min="1023" max="1023" width="4.08984375" customWidth="1"/>
    <col min="1024" max="1031" width="6.08984375" customWidth="1"/>
    <col min="1032" max="1032" width="4.08984375" customWidth="1"/>
    <col min="1033" max="1035" width="6.08984375" customWidth="1"/>
    <col min="1036" max="1036" width="4.08984375" customWidth="1"/>
    <col min="1037" max="1037" width="6.08984375" customWidth="1"/>
    <col min="1038" max="1038" width="4.08984375" customWidth="1"/>
    <col min="1039" max="1044" width="6.08984375" customWidth="1"/>
    <col min="1045" max="1045" width="4.08984375" customWidth="1"/>
    <col min="1046" max="1046" width="6.08984375" customWidth="1"/>
    <col min="1047" max="1047" width="4.08984375" customWidth="1"/>
    <col min="1048" max="1054" width="6.08984375" customWidth="1"/>
    <col min="1055" max="1055" width="4.08984375" customWidth="1"/>
    <col min="1056" max="1056" width="6.08984375" customWidth="1"/>
    <col min="1057" max="1057" width="4.08984375" customWidth="1"/>
    <col min="1058" max="1059" width="6.08984375" customWidth="1"/>
    <col min="1060" max="1060" width="4.08984375" customWidth="1"/>
    <col min="1061" max="1061" width="6.08984375" customWidth="1"/>
    <col min="1062" max="1062" width="4.08984375" customWidth="1"/>
    <col min="1063" max="1065" width="6.08984375" customWidth="1"/>
    <col min="1066" max="1066" width="4.08984375" customWidth="1"/>
    <col min="1067" max="1067" width="6.08984375" customWidth="1"/>
    <col min="1068" max="1068" width="4.08984375" customWidth="1"/>
    <col min="1069" max="1070" width="6.08984375" customWidth="1"/>
    <col min="1071" max="1072" width="4.08984375" customWidth="1"/>
    <col min="1073" max="1074" width="6.08984375" customWidth="1"/>
    <col min="1075" max="1075" width="4.08984375" customWidth="1"/>
    <col min="1076" max="1087" width="6.08984375" customWidth="1"/>
    <col min="1088" max="1088" width="4.08984375" customWidth="1"/>
    <col min="1089" max="1090" width="6.08984375" customWidth="1"/>
    <col min="1091" max="1091" width="4.08984375" customWidth="1"/>
    <col min="1092" max="1099" width="6.08984375" customWidth="1"/>
    <col min="1100" max="1100" width="4.08984375" customWidth="1"/>
    <col min="1101" max="1106" width="6.08984375" customWidth="1"/>
    <col min="1107" max="1107" width="4.08984375" customWidth="1"/>
    <col min="1108" max="1109" width="6.08984375" customWidth="1"/>
    <col min="1110" max="1110" width="4.08984375" customWidth="1"/>
    <col min="1111" max="1125" width="6.08984375" customWidth="1"/>
    <col min="1126" max="1126" width="4.08984375" customWidth="1"/>
    <col min="1127" max="1128" width="6.08984375" customWidth="1"/>
    <col min="1129" max="1129" width="4.08984375" customWidth="1"/>
    <col min="1130" max="1135" width="6.08984375" customWidth="1"/>
    <col min="1136" max="1136" width="4.08984375" customWidth="1"/>
    <col min="1137" max="1140" width="6.08984375" customWidth="1"/>
    <col min="1141" max="1141" width="4.08984375" customWidth="1"/>
    <col min="1142" max="1142" width="6.08984375" customWidth="1"/>
    <col min="1143" max="1143" width="4.08984375" customWidth="1"/>
    <col min="1144" max="1149" width="6.08984375" customWidth="1"/>
    <col min="1150" max="1150" width="4.08984375" customWidth="1"/>
    <col min="1151" max="1161" width="6.08984375" customWidth="1"/>
    <col min="1162" max="1162" width="4.08984375" customWidth="1"/>
    <col min="1163" max="1163" width="6.08984375" customWidth="1"/>
    <col min="1164" max="1164" width="4.08984375" customWidth="1"/>
    <col min="1165" max="1171" width="6.08984375" customWidth="1"/>
    <col min="1172" max="1172" width="4.08984375" customWidth="1"/>
    <col min="1173" max="1174" width="6.08984375" customWidth="1"/>
    <col min="1175" max="1176" width="4.08984375" customWidth="1"/>
    <col min="1177" max="1178" width="6.08984375" customWidth="1"/>
    <col min="1179" max="1179" width="4.08984375" customWidth="1"/>
    <col min="1180" max="1190" width="6.08984375" customWidth="1"/>
    <col min="1191" max="1191" width="4.08984375" customWidth="1"/>
    <col min="1192" max="1193" width="6.08984375" customWidth="1"/>
    <col min="1194" max="1194" width="4.08984375" customWidth="1"/>
    <col min="1195" max="1197" width="6.08984375" customWidth="1"/>
    <col min="1198" max="1198" width="4.08984375" customWidth="1"/>
    <col min="1199" max="1200" width="6.08984375" customWidth="1"/>
    <col min="1201" max="1201" width="4.08984375" customWidth="1"/>
    <col min="1202" max="1204" width="6.08984375" customWidth="1"/>
    <col min="1205" max="1205" width="4.08984375" customWidth="1"/>
    <col min="1206" max="1206" width="6.08984375" customWidth="1"/>
    <col min="1207" max="1207" width="4.08984375" customWidth="1"/>
    <col min="1208" max="1209" width="6.08984375" customWidth="1"/>
    <col min="1210" max="1210" width="4.08984375" customWidth="1"/>
    <col min="1211" max="1214" width="6.08984375" customWidth="1"/>
    <col min="1215" max="1215" width="4.08984375" customWidth="1"/>
    <col min="1216" max="1219" width="6.08984375" customWidth="1"/>
    <col min="1220" max="1220" width="4.08984375" customWidth="1"/>
    <col min="1221" max="1224" width="6.08984375" customWidth="1"/>
    <col min="1225" max="1225" width="4.08984375" customWidth="1"/>
    <col min="1226" max="1228" width="6.08984375" customWidth="1"/>
    <col min="1229" max="1229" width="4.08984375" customWidth="1"/>
    <col min="1230" max="1231" width="6.08984375" customWidth="1"/>
    <col min="1232" max="1232" width="4.08984375" customWidth="1"/>
    <col min="1233" max="1238" width="6.08984375" customWidth="1"/>
    <col min="1239" max="1239" width="4.08984375" customWidth="1"/>
    <col min="1240" max="1245" width="6.08984375" customWidth="1"/>
    <col min="1246" max="1246" width="4.08984375" customWidth="1"/>
    <col min="1247" max="1250" width="6.08984375" customWidth="1"/>
    <col min="1251" max="1251" width="4.08984375" customWidth="1"/>
    <col min="1252" max="1254" width="6.08984375" customWidth="1"/>
    <col min="1255" max="1255" width="4.08984375" customWidth="1"/>
    <col min="1256" max="1257" width="6.08984375" customWidth="1"/>
    <col min="1258" max="1258" width="4.08984375" customWidth="1"/>
    <col min="1259" max="1259" width="6.08984375" customWidth="1"/>
    <col min="1260" max="1260" width="4.08984375" customWidth="1"/>
    <col min="1261" max="1261" width="6.08984375" customWidth="1"/>
    <col min="1262" max="1262" width="4.08984375" customWidth="1"/>
    <col min="1263" max="1266" width="6.08984375" customWidth="1"/>
    <col min="1267" max="1267" width="4.08984375" customWidth="1"/>
    <col min="1268" max="1277" width="6.08984375" customWidth="1"/>
    <col min="1278" max="1278" width="4.08984375" customWidth="1"/>
    <col min="1279" max="1285" width="6.08984375" customWidth="1"/>
    <col min="1286" max="1286" width="4.08984375" customWidth="1"/>
    <col min="1287" max="1290" width="6.08984375" customWidth="1"/>
    <col min="1291" max="1291" width="4.08984375" customWidth="1"/>
    <col min="1292" max="1293" width="6.08984375" customWidth="1"/>
    <col min="1294" max="1295" width="4.08984375" customWidth="1"/>
    <col min="1296" max="1297" width="6.08984375" customWidth="1"/>
    <col min="1298" max="1298" width="4.08984375" customWidth="1"/>
    <col min="1299" max="1300" width="6.08984375" customWidth="1"/>
    <col min="1301" max="1301" width="4.08984375" customWidth="1"/>
    <col min="1302" max="1305" width="6.08984375" customWidth="1"/>
    <col min="1306" max="1306" width="4.08984375" customWidth="1"/>
    <col min="1307" max="1312" width="6.08984375" customWidth="1"/>
    <col min="1313" max="1313" width="4.08984375" customWidth="1"/>
    <col min="1314" max="1315" width="6.08984375" customWidth="1"/>
    <col min="1316" max="1316" width="4.08984375" customWidth="1"/>
    <col min="1317" max="1322" width="6.08984375" customWidth="1"/>
    <col min="1323" max="1323" width="4.08984375" customWidth="1"/>
    <col min="1324" max="1327" width="6.08984375" customWidth="1"/>
    <col min="1328" max="1328" width="4.08984375" customWidth="1"/>
    <col min="1329" max="1330" width="6.08984375" customWidth="1"/>
    <col min="1331" max="1331" width="4.08984375" customWidth="1"/>
    <col min="1332" max="1332" width="6.08984375" customWidth="1"/>
    <col min="1333" max="1334" width="4.08984375" customWidth="1"/>
    <col min="1335" max="1335" width="6.08984375" customWidth="1"/>
    <col min="1336" max="1337" width="4.08984375" customWidth="1"/>
    <col min="1338" max="1344" width="6.08984375" customWidth="1"/>
    <col min="1345" max="1345" width="4.08984375" customWidth="1"/>
    <col min="1346" max="1346" width="6.08984375" customWidth="1"/>
    <col min="1347" max="1347" width="4.08984375" customWidth="1"/>
    <col min="1348" max="1350" width="6.08984375" customWidth="1"/>
    <col min="1351" max="1351" width="4.08984375" customWidth="1"/>
    <col min="1352" max="1352" width="6.08984375" customWidth="1"/>
    <col min="1353" max="1353" width="4.08984375" customWidth="1"/>
    <col min="1354" max="1355" width="6.08984375" customWidth="1"/>
    <col min="1356" max="1356" width="4.08984375" customWidth="1"/>
    <col min="1357" max="1360" width="6.08984375" customWidth="1"/>
    <col min="1361" max="1361" width="4.08984375" customWidth="1"/>
    <col min="1362" max="1368" width="6.08984375" customWidth="1"/>
    <col min="1369" max="1369" width="4.08984375" customWidth="1"/>
    <col min="1370" max="1374" width="6.08984375" customWidth="1"/>
    <col min="1375" max="1375" width="4.08984375" customWidth="1"/>
    <col min="1376" max="1382" width="6.08984375" customWidth="1"/>
    <col min="1383" max="1383" width="4.08984375" customWidth="1"/>
    <col min="1384" max="1386" width="6.08984375" customWidth="1"/>
    <col min="1387" max="1387" width="4.08984375" customWidth="1"/>
    <col min="1388" max="1390" width="6.08984375" customWidth="1"/>
    <col min="1391" max="1391" width="4.08984375" customWidth="1"/>
    <col min="1392" max="1396" width="6.08984375" customWidth="1"/>
    <col min="1397" max="1397" width="4.08984375" customWidth="1"/>
    <col min="1398" max="1404" width="6.08984375" customWidth="1"/>
    <col min="1405" max="1405" width="4.08984375" customWidth="1"/>
    <col min="1406" max="1406" width="6.08984375" customWidth="1"/>
    <col min="1407" max="1407" width="4.08984375" customWidth="1"/>
    <col min="1408" max="1423" width="6.08984375" customWidth="1"/>
    <col min="1424" max="1424" width="4.08984375" customWidth="1"/>
    <col min="1425" max="1429" width="6.08984375" customWidth="1"/>
    <col min="1430" max="1430" width="4.08984375" customWidth="1"/>
    <col min="1431" max="1442" width="6.08984375" customWidth="1"/>
    <col min="1443" max="1444" width="4.08984375" customWidth="1"/>
    <col min="1445" max="1446" width="6.08984375" customWidth="1"/>
    <col min="1447" max="1447" width="4.08984375" customWidth="1"/>
    <col min="1448" max="1449" width="6.08984375" customWidth="1"/>
    <col min="1450" max="1451" width="4.08984375" customWidth="1"/>
    <col min="1452" max="1454" width="6.08984375" customWidth="1"/>
    <col min="1455" max="1456" width="4.08984375" customWidth="1"/>
    <col min="1457" max="1460" width="6.08984375" customWidth="1"/>
    <col min="1461" max="1461" width="4.08984375" customWidth="1"/>
    <col min="1462" max="1467" width="6.08984375" customWidth="1"/>
    <col min="1468" max="1469" width="4.08984375" customWidth="1"/>
    <col min="1470" max="1470" width="6.08984375" customWidth="1"/>
    <col min="1471" max="1471" width="4.08984375" customWidth="1"/>
    <col min="1472" max="1473" width="6.08984375" customWidth="1"/>
    <col min="1474" max="1474" width="4.08984375" customWidth="1"/>
    <col min="1475" max="1475" width="6.08984375" customWidth="1"/>
    <col min="1476" max="1476" width="4.08984375" customWidth="1"/>
    <col min="1477" max="1486" width="6.08984375" customWidth="1"/>
    <col min="1487" max="1487" width="4.08984375" customWidth="1"/>
    <col min="1488" max="1489" width="6.08984375" customWidth="1"/>
    <col min="1490" max="1490" width="4.08984375" customWidth="1"/>
    <col min="1491" max="1499" width="6.08984375" customWidth="1"/>
    <col min="1500" max="1501" width="4.08984375" customWidth="1"/>
    <col min="1502" max="1502" width="6.08984375" customWidth="1"/>
    <col min="1503" max="1503" width="4.08984375" customWidth="1"/>
    <col min="1504" max="1506" width="6.08984375" customWidth="1"/>
    <col min="1507" max="1509" width="4.08984375" customWidth="1"/>
    <col min="1510" max="1512" width="6.08984375" customWidth="1"/>
    <col min="1513" max="1513" width="4.08984375" customWidth="1"/>
    <col min="1514" max="1516" width="6.08984375" customWidth="1"/>
    <col min="1517" max="1517" width="4.08984375" customWidth="1"/>
    <col min="1518" max="1522" width="6.08984375" customWidth="1"/>
    <col min="1523" max="1523" width="4.08984375" customWidth="1"/>
    <col min="1524" max="1536" width="6.08984375" customWidth="1"/>
    <col min="1537" max="1537" width="4.08984375" customWidth="1"/>
    <col min="1538" max="1539" width="6.08984375" customWidth="1"/>
    <col min="1540" max="1541" width="4.08984375" customWidth="1"/>
    <col min="1542" max="1544" width="6.08984375" customWidth="1"/>
    <col min="1545" max="1545" width="4.08984375" customWidth="1"/>
    <col min="1546" max="1546" width="6.08984375" customWidth="1"/>
    <col min="1547" max="1547" width="4.08984375" customWidth="1"/>
    <col min="1548" max="1548" width="6.08984375" customWidth="1"/>
    <col min="1549" max="1549" width="4.08984375" customWidth="1"/>
    <col min="1550" max="1550" width="6.08984375" customWidth="1"/>
    <col min="1551" max="1551" width="4.08984375" customWidth="1"/>
    <col min="1552" max="1554" width="6.08984375" customWidth="1"/>
    <col min="1555" max="1555" width="4.08984375" customWidth="1"/>
    <col min="1556" max="1562" width="6.08984375" customWidth="1"/>
    <col min="1563" max="1563" width="4.08984375" customWidth="1"/>
    <col min="1564" max="1568" width="6.08984375" customWidth="1"/>
    <col min="1569" max="1569" width="4.08984375" customWidth="1"/>
    <col min="1570" max="1572" width="6.08984375" customWidth="1"/>
    <col min="1573" max="1573" width="4.08984375" customWidth="1"/>
    <col min="1574" max="1575" width="6.08984375" customWidth="1"/>
    <col min="1576" max="1576" width="4.08984375" customWidth="1"/>
    <col min="1577" max="1577" width="6.08984375" customWidth="1"/>
    <col min="1578" max="1578" width="4.08984375" customWidth="1"/>
    <col min="1579" max="1592" width="6.08984375" customWidth="1"/>
    <col min="1593" max="1594" width="4.08984375" customWidth="1"/>
    <col min="1595" max="1595" width="6.08984375" customWidth="1"/>
    <col min="1596" max="1596" width="4.08984375" customWidth="1"/>
    <col min="1597" max="1600" width="6.08984375" customWidth="1"/>
    <col min="1601" max="1601" width="4.08984375" customWidth="1"/>
    <col min="1602" max="1606" width="6.08984375" customWidth="1"/>
    <col min="1607" max="1608" width="4.08984375" customWidth="1"/>
    <col min="1609" max="1614" width="6.08984375" customWidth="1"/>
    <col min="1615" max="1615" width="4.08984375" customWidth="1"/>
    <col min="1616" max="1616" width="6.08984375" customWidth="1"/>
    <col min="1617" max="1621" width="4.08984375" customWidth="1"/>
    <col min="1622" max="1623" width="6.08984375" customWidth="1"/>
    <col min="1624" max="1625" width="4.08984375" customWidth="1"/>
    <col min="1626" max="1628" width="6.08984375" customWidth="1"/>
    <col min="1629" max="1629" width="4.08984375" customWidth="1"/>
    <col min="1630" max="1636" width="6.08984375" customWidth="1"/>
    <col min="1637" max="1637" width="4.08984375" customWidth="1"/>
    <col min="1638" max="1641" width="6.08984375" customWidth="1"/>
    <col min="1642" max="1642" width="4.08984375" customWidth="1"/>
    <col min="1643" max="1643" width="6.08984375" customWidth="1"/>
    <col min="1644" max="1644" width="4.08984375" customWidth="1"/>
    <col min="1645" max="1645" width="6.08984375" customWidth="1"/>
    <col min="1646" max="1646" width="4.08984375" customWidth="1"/>
    <col min="1647" max="1656" width="6.08984375" customWidth="1"/>
    <col min="1657" max="1659" width="4.08984375" customWidth="1"/>
    <col min="1660" max="1660" width="6.08984375" customWidth="1"/>
    <col min="1661" max="1661" width="4.08984375" customWidth="1"/>
    <col min="1662" max="1664" width="6.08984375" customWidth="1"/>
    <col min="1665" max="1666" width="4.08984375" customWidth="1"/>
    <col min="1667" max="1667" width="5.08984375" customWidth="1"/>
    <col min="1668" max="1671" width="7.08984375" customWidth="1"/>
    <col min="1672" max="1672" width="5.08984375" customWidth="1"/>
    <col min="1673" max="1673" width="7.08984375" customWidth="1"/>
    <col min="1674" max="1674" width="5.08984375" customWidth="1"/>
    <col min="1675" max="1675" width="7.08984375" customWidth="1"/>
    <col min="1676" max="1677" width="5.08984375" customWidth="1"/>
    <col min="1678" max="1678" width="7.08984375" customWidth="1"/>
    <col min="1679" max="1679" width="5.08984375" customWidth="1"/>
    <col min="1680" max="1682" width="7.08984375" customWidth="1"/>
    <col min="1683" max="1683" width="5.08984375" customWidth="1"/>
    <col min="1684" max="1689" width="7.08984375" customWidth="1"/>
    <col min="1690" max="1693" width="5.08984375" customWidth="1"/>
    <col min="1694" max="1696" width="7.08984375" customWidth="1"/>
    <col min="1697" max="1697" width="5.08984375" customWidth="1"/>
    <col min="1698" max="1706" width="7.08984375" customWidth="1"/>
    <col min="1707" max="1708" width="5.08984375" customWidth="1"/>
    <col min="1709" max="1710" width="7.08984375" customWidth="1"/>
    <col min="1711" max="1715" width="5.08984375" customWidth="1"/>
    <col min="1716" max="1717" width="7.08984375" customWidth="1"/>
    <col min="1718" max="1719" width="5.08984375" customWidth="1"/>
    <col min="1720" max="1720" width="7.08984375" customWidth="1"/>
    <col min="1721" max="1721" width="5.08984375" customWidth="1"/>
    <col min="1722" max="1733" width="7.08984375" customWidth="1"/>
    <col min="1734" max="1734" width="5.08984375" customWidth="1"/>
    <col min="1735" max="1735" width="7.08984375" customWidth="1"/>
    <col min="1736" max="1737" width="5.08984375" customWidth="1"/>
    <col min="1738" max="1738" width="7.08984375" customWidth="1"/>
    <col min="1739" max="1739" width="5.08984375" customWidth="1"/>
    <col min="1740" max="1741" width="7.08984375" customWidth="1"/>
    <col min="1742" max="1742" width="5.08984375" customWidth="1"/>
    <col min="1743" max="1744" width="7.08984375" customWidth="1"/>
    <col min="1745" max="1751" width="5.08984375" customWidth="1"/>
    <col min="1752" max="1753" width="7.08984375" customWidth="1"/>
    <col min="1754" max="1754" width="5.08984375" customWidth="1"/>
    <col min="1755" max="1756" width="7.08984375" customWidth="1"/>
    <col min="1757" max="1757" width="5.08984375" customWidth="1"/>
    <col min="1758" max="1763" width="7.08984375" customWidth="1"/>
    <col min="1764" max="1764" width="5.08984375" customWidth="1"/>
    <col min="1765" max="1765" width="7.08984375" customWidth="1"/>
    <col min="1766" max="1766" width="11.36328125" bestFit="1" customWidth="1"/>
  </cols>
  <sheetData>
    <row r="2" spans="1:11" x14ac:dyDescent="0.35">
      <c r="A2" t="s">
        <v>2571</v>
      </c>
    </row>
    <row r="4" spans="1:11" ht="15" thickBot="1" x14ac:dyDescent="0.4"/>
    <row r="5" spans="1:11" s="32" customFormat="1" x14ac:dyDescent="0.35">
      <c r="G5" s="34" t="s">
        <v>2553</v>
      </c>
      <c r="H5" s="35"/>
      <c r="I5" s="35"/>
      <c r="J5" s="35"/>
      <c r="K5" s="36"/>
    </row>
    <row r="6" spans="1:11" x14ac:dyDescent="0.35">
      <c r="A6" t="s">
        <v>2548</v>
      </c>
      <c r="B6" t="s">
        <v>2549</v>
      </c>
      <c r="C6" t="s">
        <v>2550</v>
      </c>
      <c r="D6" t="s">
        <v>2551</v>
      </c>
      <c r="E6" t="s">
        <v>2552</v>
      </c>
      <c r="G6" s="14" t="s">
        <v>2554</v>
      </c>
      <c r="H6" s="13" t="s">
        <v>2</v>
      </c>
      <c r="I6" s="13" t="s">
        <v>4</v>
      </c>
      <c r="J6" s="13" t="s">
        <v>2555</v>
      </c>
      <c r="K6" s="15" t="s">
        <v>2556</v>
      </c>
    </row>
    <row r="7" spans="1:11" ht="15" thickBot="1" x14ac:dyDescent="0.4">
      <c r="A7">
        <v>2400</v>
      </c>
      <c r="B7">
        <v>11997</v>
      </c>
      <c r="C7">
        <v>649019.80000000144</v>
      </c>
      <c r="D7" s="11">
        <v>3.9620833333333332</v>
      </c>
      <c r="E7" s="12">
        <v>2.3424999999999998</v>
      </c>
      <c r="G7" s="16" t="str">
        <f>TEXT(A7, "#.##")</f>
        <v>2400.</v>
      </c>
      <c r="H7" s="17" t="str">
        <f>TEXT(B7, "#,##")</f>
        <v>11,997</v>
      </c>
      <c r="I7" s="17" t="str">
        <f>TEXT(C7, "$#,##,.0K")</f>
        <v>$649.0K</v>
      </c>
      <c r="J7" s="17" t="str">
        <f>TEXT(D7, "0.0")</f>
        <v>4.0</v>
      </c>
      <c r="K7" s="18" t="str">
        <f>TEXT(E7, "0.0")</f>
        <v>2.3</v>
      </c>
    </row>
    <row r="16" spans="1:11" x14ac:dyDescent="0.35">
      <c r="A16" t="s">
        <v>2572</v>
      </c>
    </row>
    <row r="19" spans="1:3" s="32" customFormat="1" x14ac:dyDescent="0.35">
      <c r="A19" s="32" t="s">
        <v>2557</v>
      </c>
      <c r="B19" s="32" t="s">
        <v>2549</v>
      </c>
      <c r="C19" s="33" t="s">
        <v>2550</v>
      </c>
    </row>
    <row r="20" spans="1:3" x14ac:dyDescent="0.35">
      <c r="A20" s="20">
        <v>1</v>
      </c>
      <c r="B20">
        <v>546</v>
      </c>
      <c r="C20" s="21">
        <v>32413.300000000003</v>
      </c>
    </row>
    <row r="21" spans="1:3" x14ac:dyDescent="0.35">
      <c r="A21" s="20">
        <v>2</v>
      </c>
      <c r="B21">
        <v>905</v>
      </c>
      <c r="C21" s="21">
        <v>49562.999999999993</v>
      </c>
    </row>
    <row r="22" spans="1:3" x14ac:dyDescent="0.35">
      <c r="A22" s="20">
        <v>3</v>
      </c>
      <c r="B22">
        <v>796</v>
      </c>
      <c r="C22" s="21">
        <v>41700.400000000016</v>
      </c>
    </row>
    <row r="23" spans="1:3" x14ac:dyDescent="0.35">
      <c r="A23" s="20">
        <v>4</v>
      </c>
      <c r="B23">
        <v>913</v>
      </c>
      <c r="C23" s="21">
        <v>46782.599999999984</v>
      </c>
    </row>
    <row r="24" spans="1:3" x14ac:dyDescent="0.35">
      <c r="A24" s="20">
        <v>5</v>
      </c>
      <c r="B24">
        <v>844</v>
      </c>
      <c r="C24" s="21">
        <v>42676.100000000006</v>
      </c>
    </row>
    <row r="25" spans="1:3" x14ac:dyDescent="0.35">
      <c r="A25" s="20">
        <v>6</v>
      </c>
      <c r="B25">
        <v>1202</v>
      </c>
      <c r="C25" s="21">
        <v>62910.7</v>
      </c>
    </row>
    <row r="26" spans="1:3" x14ac:dyDescent="0.35">
      <c r="A26" s="20">
        <v>7</v>
      </c>
      <c r="B26">
        <v>935</v>
      </c>
      <c r="C26" s="21">
        <v>50332.200000000004</v>
      </c>
    </row>
    <row r="27" spans="1:3" x14ac:dyDescent="0.35">
      <c r="A27" s="20">
        <v>8</v>
      </c>
      <c r="B27">
        <v>1128</v>
      </c>
      <c r="C27" s="21">
        <v>58760.599999999977</v>
      </c>
    </row>
    <row r="28" spans="1:3" x14ac:dyDescent="0.35">
      <c r="A28" s="20">
        <v>9</v>
      </c>
      <c r="B28">
        <v>1007</v>
      </c>
      <c r="C28" s="21">
        <v>52017.299999999996</v>
      </c>
    </row>
    <row r="29" spans="1:3" x14ac:dyDescent="0.35">
      <c r="A29" s="20">
        <v>10</v>
      </c>
      <c r="B29">
        <v>1128</v>
      </c>
      <c r="C29" s="21">
        <v>64915.700000000033</v>
      </c>
    </row>
    <row r="30" spans="1:3" x14ac:dyDescent="0.35">
      <c r="A30" s="20">
        <v>11</v>
      </c>
      <c r="B30">
        <v>861</v>
      </c>
      <c r="C30" s="21">
        <v>45943.80000000001</v>
      </c>
    </row>
    <row r="31" spans="1:3" x14ac:dyDescent="0.35">
      <c r="A31" s="20">
        <v>12</v>
      </c>
      <c r="B31">
        <v>944</v>
      </c>
      <c r="C31" s="21">
        <v>55077.900000000031</v>
      </c>
    </row>
    <row r="32" spans="1:3" x14ac:dyDescent="0.35">
      <c r="A32" s="20">
        <v>13</v>
      </c>
      <c r="B32">
        <v>788</v>
      </c>
      <c r="C32" s="21">
        <v>45926.19999999999</v>
      </c>
    </row>
    <row r="33" spans="1:3" x14ac:dyDescent="0.35">
      <c r="A33" s="20" t="s">
        <v>2558</v>
      </c>
      <c r="B33">
        <v>11997</v>
      </c>
      <c r="C33" s="21">
        <v>649019.79999999993</v>
      </c>
    </row>
    <row r="38" spans="1:3" s="32" customFormat="1" x14ac:dyDescent="0.35">
      <c r="A38" s="32" t="s">
        <v>2512</v>
      </c>
    </row>
    <row r="40" spans="1:3" x14ac:dyDescent="0.35">
      <c r="A40" s="19" t="s">
        <v>2557</v>
      </c>
      <c r="B40" t="s">
        <v>2548</v>
      </c>
    </row>
    <row r="41" spans="1:3" x14ac:dyDescent="0.35">
      <c r="A41" s="20">
        <v>1</v>
      </c>
      <c r="B41">
        <v>397</v>
      </c>
    </row>
    <row r="42" spans="1:3" x14ac:dyDescent="0.35">
      <c r="A42" s="20">
        <v>2</v>
      </c>
      <c r="B42">
        <v>540</v>
      </c>
    </row>
    <row r="43" spans="1:3" x14ac:dyDescent="0.35">
      <c r="A43" s="20">
        <v>3</v>
      </c>
      <c r="B43">
        <v>375</v>
      </c>
    </row>
    <row r="44" spans="1:3" x14ac:dyDescent="0.35">
      <c r="A44" s="20">
        <v>4</v>
      </c>
      <c r="B44">
        <v>246</v>
      </c>
    </row>
    <row r="45" spans="1:3" x14ac:dyDescent="0.35">
      <c r="A45" s="20">
        <v>5</v>
      </c>
      <c r="B45">
        <v>195</v>
      </c>
    </row>
    <row r="46" spans="1:3" x14ac:dyDescent="0.35">
      <c r="A46" s="20" t="s">
        <v>2565</v>
      </c>
      <c r="B46">
        <v>414</v>
      </c>
    </row>
    <row r="47" spans="1:3" x14ac:dyDescent="0.35">
      <c r="A47" s="20" t="s">
        <v>2566</v>
      </c>
      <c r="B47">
        <v>233</v>
      </c>
    </row>
    <row r="48" spans="1:3" x14ac:dyDescent="0.35">
      <c r="A48" s="20" t="s">
        <v>2558</v>
      </c>
      <c r="B48">
        <v>2400</v>
      </c>
    </row>
    <row r="52" spans="1:6" s="32" customFormat="1" x14ac:dyDescent="0.35">
      <c r="A52" s="32" t="s">
        <v>2513</v>
      </c>
    </row>
    <row r="55" spans="1:6" x14ac:dyDescent="0.35">
      <c r="A55" s="19" t="s">
        <v>2549</v>
      </c>
      <c r="B55" s="19" t="s">
        <v>2559</v>
      </c>
    </row>
    <row r="56" spans="1:6" x14ac:dyDescent="0.35">
      <c r="A56" s="19" t="s">
        <v>2557</v>
      </c>
      <c r="B56" t="s">
        <v>2560</v>
      </c>
      <c r="C56" t="s">
        <v>2561</v>
      </c>
      <c r="D56" t="s">
        <v>2562</v>
      </c>
      <c r="E56" t="s">
        <v>2563</v>
      </c>
      <c r="F56" t="s">
        <v>2558</v>
      </c>
    </row>
    <row r="57" spans="1:6" x14ac:dyDescent="0.35">
      <c r="A57" s="20" t="s">
        <v>44</v>
      </c>
      <c r="B57">
        <v>744</v>
      </c>
      <c r="C57">
        <v>713</v>
      </c>
      <c r="D57">
        <v>90</v>
      </c>
      <c r="E57">
        <v>98</v>
      </c>
      <c r="F57">
        <v>1645</v>
      </c>
    </row>
    <row r="58" spans="1:6" x14ac:dyDescent="0.35">
      <c r="A58" s="20" t="s">
        <v>39</v>
      </c>
      <c r="B58">
        <v>716</v>
      </c>
      <c r="C58">
        <v>598</v>
      </c>
      <c r="D58">
        <v>18</v>
      </c>
      <c r="E58">
        <v>214</v>
      </c>
      <c r="F58">
        <v>1546</v>
      </c>
    </row>
    <row r="59" spans="1:6" x14ac:dyDescent="0.35">
      <c r="A59" s="20" t="s">
        <v>26</v>
      </c>
      <c r="B59">
        <v>627</v>
      </c>
      <c r="C59">
        <v>393</v>
      </c>
      <c r="D59">
        <v>29</v>
      </c>
      <c r="E59">
        <v>137</v>
      </c>
      <c r="F59">
        <v>1186</v>
      </c>
    </row>
    <row r="60" spans="1:6" x14ac:dyDescent="0.35">
      <c r="A60" s="20" t="s">
        <v>22</v>
      </c>
      <c r="B60">
        <v>568</v>
      </c>
      <c r="C60">
        <v>306</v>
      </c>
      <c r="D60">
        <v>22</v>
      </c>
      <c r="E60">
        <v>16</v>
      </c>
      <c r="F60">
        <v>912</v>
      </c>
    </row>
    <row r="61" spans="1:6" x14ac:dyDescent="0.35">
      <c r="A61" s="20" t="s">
        <v>54</v>
      </c>
      <c r="B61">
        <v>482</v>
      </c>
      <c r="C61">
        <v>295</v>
      </c>
      <c r="D61">
        <v>8</v>
      </c>
      <c r="E61">
        <v>22</v>
      </c>
      <c r="F61">
        <v>807</v>
      </c>
    </row>
    <row r="62" spans="1:6" x14ac:dyDescent="0.35">
      <c r="A62" s="20" t="s">
        <v>16</v>
      </c>
      <c r="B62">
        <v>428</v>
      </c>
      <c r="C62">
        <v>293</v>
      </c>
      <c r="E62">
        <v>24</v>
      </c>
      <c r="F62">
        <v>745</v>
      </c>
    </row>
    <row r="63" spans="1:6" x14ac:dyDescent="0.35">
      <c r="A63" s="20" t="s">
        <v>46</v>
      </c>
      <c r="B63">
        <v>445</v>
      </c>
      <c r="C63">
        <v>202</v>
      </c>
      <c r="D63">
        <v>14</v>
      </c>
      <c r="E63">
        <v>39</v>
      </c>
      <c r="F63">
        <v>700</v>
      </c>
    </row>
    <row r="64" spans="1:6" x14ac:dyDescent="0.35">
      <c r="A64" s="20" t="s">
        <v>32</v>
      </c>
      <c r="B64">
        <v>431</v>
      </c>
      <c r="C64">
        <v>187</v>
      </c>
      <c r="D64">
        <v>14</v>
      </c>
      <c r="E64">
        <v>15</v>
      </c>
      <c r="F64">
        <v>647</v>
      </c>
    </row>
    <row r="65" spans="1:6" x14ac:dyDescent="0.35">
      <c r="A65" s="20" t="s">
        <v>42</v>
      </c>
      <c r="B65">
        <v>264</v>
      </c>
      <c r="C65">
        <v>318</v>
      </c>
      <c r="D65">
        <v>15</v>
      </c>
      <c r="E65">
        <v>9</v>
      </c>
      <c r="F65">
        <v>606</v>
      </c>
    </row>
    <row r="66" spans="1:6" x14ac:dyDescent="0.35">
      <c r="A66" s="20" t="s">
        <v>37</v>
      </c>
      <c r="B66">
        <v>296</v>
      </c>
      <c r="C66">
        <v>275</v>
      </c>
      <c r="D66">
        <v>9</v>
      </c>
      <c r="E66">
        <v>23</v>
      </c>
      <c r="F66">
        <v>603</v>
      </c>
    </row>
    <row r="67" spans="1:6" x14ac:dyDescent="0.35">
      <c r="A67" s="20" t="s">
        <v>123</v>
      </c>
      <c r="B67">
        <v>153</v>
      </c>
      <c r="C67">
        <v>246</v>
      </c>
      <c r="D67">
        <v>30</v>
      </c>
      <c r="E67">
        <v>8</v>
      </c>
      <c r="F67">
        <v>437</v>
      </c>
    </row>
    <row r="68" spans="1:6" x14ac:dyDescent="0.35">
      <c r="A68" s="20" t="s">
        <v>146</v>
      </c>
      <c r="B68">
        <v>189</v>
      </c>
      <c r="C68">
        <v>168</v>
      </c>
      <c r="D68">
        <v>10</v>
      </c>
      <c r="E68">
        <v>31</v>
      </c>
      <c r="F68">
        <v>398</v>
      </c>
    </row>
    <row r="69" spans="1:6" x14ac:dyDescent="0.35">
      <c r="A69" s="20" t="s">
        <v>69</v>
      </c>
      <c r="B69">
        <v>234</v>
      </c>
      <c r="C69">
        <v>93</v>
      </c>
      <c r="D69">
        <v>19</v>
      </c>
      <c r="E69">
        <v>24</v>
      </c>
      <c r="F69">
        <v>370</v>
      </c>
    </row>
    <row r="70" spans="1:6" x14ac:dyDescent="0.35">
      <c r="A70" s="20" t="s">
        <v>30</v>
      </c>
      <c r="B70">
        <v>146</v>
      </c>
      <c r="C70">
        <v>94</v>
      </c>
      <c r="D70">
        <v>4</v>
      </c>
      <c r="E70">
        <v>28</v>
      </c>
      <c r="F70">
        <v>272</v>
      </c>
    </row>
    <row r="71" spans="1:6" x14ac:dyDescent="0.35">
      <c r="A71" s="20" t="s">
        <v>135</v>
      </c>
      <c r="B71">
        <v>127</v>
      </c>
      <c r="C71">
        <v>118</v>
      </c>
      <c r="D71">
        <v>13</v>
      </c>
      <c r="E71">
        <v>12</v>
      </c>
      <c r="F71">
        <v>270</v>
      </c>
    </row>
    <row r="72" spans="1:6" x14ac:dyDescent="0.35">
      <c r="A72" s="20" t="s">
        <v>67</v>
      </c>
      <c r="B72">
        <v>179</v>
      </c>
      <c r="C72">
        <v>76</v>
      </c>
      <c r="D72">
        <v>3</v>
      </c>
      <c r="F72">
        <v>258</v>
      </c>
    </row>
    <row r="73" spans="1:6" x14ac:dyDescent="0.35">
      <c r="A73" s="20" t="s">
        <v>128</v>
      </c>
      <c r="B73">
        <v>99</v>
      </c>
      <c r="C73">
        <v>69</v>
      </c>
      <c r="D73">
        <v>3</v>
      </c>
      <c r="E73">
        <v>24</v>
      </c>
      <c r="F73">
        <v>195</v>
      </c>
    </row>
    <row r="74" spans="1:6" x14ac:dyDescent="0.35">
      <c r="A74" s="20" t="s">
        <v>76</v>
      </c>
      <c r="B74">
        <v>75</v>
      </c>
      <c r="C74">
        <v>103</v>
      </c>
      <c r="D74">
        <v>4</v>
      </c>
      <c r="E74">
        <v>6</v>
      </c>
      <c r="F74">
        <v>188</v>
      </c>
    </row>
    <row r="75" spans="1:6" x14ac:dyDescent="0.35">
      <c r="A75" s="20" t="s">
        <v>81</v>
      </c>
      <c r="B75">
        <v>43</v>
      </c>
      <c r="C75">
        <v>90</v>
      </c>
      <c r="D75">
        <v>8</v>
      </c>
      <c r="E75">
        <v>6</v>
      </c>
      <c r="F75">
        <v>147</v>
      </c>
    </row>
    <row r="76" spans="1:6" x14ac:dyDescent="0.35">
      <c r="A76" s="20" t="s">
        <v>171</v>
      </c>
      <c r="B76">
        <v>26</v>
      </c>
      <c r="C76">
        <v>35</v>
      </c>
      <c r="D76">
        <v>4</v>
      </c>
      <c r="F76">
        <v>65</v>
      </c>
    </row>
    <row r="77" spans="1:6" x14ac:dyDescent="0.35">
      <c r="A77" s="20" t="s">
        <v>2558</v>
      </c>
      <c r="B77">
        <v>6272</v>
      </c>
      <c r="C77">
        <v>4672</v>
      </c>
      <c r="D77">
        <v>317</v>
      </c>
      <c r="E77">
        <v>736</v>
      </c>
      <c r="F77">
        <v>11997</v>
      </c>
    </row>
    <row r="81" spans="1:4" s="32" customFormat="1" x14ac:dyDescent="0.35"/>
    <row r="83" spans="1:4" x14ac:dyDescent="0.35">
      <c r="A83" s="19" t="s">
        <v>2557</v>
      </c>
      <c r="B83" t="s">
        <v>2549</v>
      </c>
    </row>
    <row r="84" spans="1:4" x14ac:dyDescent="0.35">
      <c r="A84" s="20" t="s">
        <v>2560</v>
      </c>
      <c r="B84">
        <v>6272</v>
      </c>
    </row>
    <row r="85" spans="1:4" x14ac:dyDescent="0.35">
      <c r="A85" s="20" t="s">
        <v>2561</v>
      </c>
      <c r="B85">
        <v>4672</v>
      </c>
    </row>
    <row r="86" spans="1:4" x14ac:dyDescent="0.35">
      <c r="A86" s="20" t="s">
        <v>2562</v>
      </c>
      <c r="B86">
        <v>317</v>
      </c>
    </row>
    <row r="87" spans="1:4" x14ac:dyDescent="0.35">
      <c r="A87" s="20" t="s">
        <v>2563</v>
      </c>
      <c r="B87">
        <v>736</v>
      </c>
    </row>
    <row r="88" spans="1:4" x14ac:dyDescent="0.35">
      <c r="A88" s="20" t="s">
        <v>2558</v>
      </c>
      <c r="B88">
        <v>11997</v>
      </c>
    </row>
    <row r="95" spans="1:4" x14ac:dyDescent="0.35">
      <c r="A95" s="19" t="s">
        <v>10</v>
      </c>
      <c r="B95" s="19" t="s">
        <v>11</v>
      </c>
      <c r="C95" t="s">
        <v>2549</v>
      </c>
      <c r="D95" t="s">
        <v>2550</v>
      </c>
    </row>
    <row r="96" spans="1:4" x14ac:dyDescent="0.35">
      <c r="A96" t="s">
        <v>19</v>
      </c>
      <c r="B96" t="s">
        <v>115</v>
      </c>
      <c r="C96">
        <v>579</v>
      </c>
      <c r="D96">
        <v>31884.999999999996</v>
      </c>
    </row>
    <row r="97" spans="1:4" x14ac:dyDescent="0.35">
      <c r="A97" t="s">
        <v>19</v>
      </c>
      <c r="B97" t="s">
        <v>20</v>
      </c>
      <c r="C97">
        <v>1</v>
      </c>
      <c r="D97">
        <v>10.9</v>
      </c>
    </row>
    <row r="98" spans="1:4" x14ac:dyDescent="0.35">
      <c r="A98" t="s">
        <v>19</v>
      </c>
      <c r="B98" t="s">
        <v>641</v>
      </c>
      <c r="C98">
        <v>9</v>
      </c>
      <c r="D98">
        <v>800.3</v>
      </c>
    </row>
    <row r="99" spans="1:4" x14ac:dyDescent="0.35">
      <c r="A99" t="s">
        <v>19</v>
      </c>
      <c r="B99" t="s">
        <v>967</v>
      </c>
      <c r="C99">
        <v>35</v>
      </c>
      <c r="D99">
        <v>1062.5999999999999</v>
      </c>
    </row>
    <row r="100" spans="1:4" x14ac:dyDescent="0.35">
      <c r="A100" t="s">
        <v>19</v>
      </c>
      <c r="B100" t="s">
        <v>84</v>
      </c>
      <c r="C100">
        <v>12</v>
      </c>
      <c r="D100">
        <v>326.20000000000005</v>
      </c>
    </row>
    <row r="101" spans="1:4" x14ac:dyDescent="0.35">
      <c r="A101" t="s">
        <v>19</v>
      </c>
      <c r="B101" t="s">
        <v>1383</v>
      </c>
      <c r="C101">
        <v>4</v>
      </c>
      <c r="D101">
        <v>167.5</v>
      </c>
    </row>
    <row r="102" spans="1:4" x14ac:dyDescent="0.35">
      <c r="A102" t="s">
        <v>19</v>
      </c>
      <c r="B102" t="s">
        <v>24</v>
      </c>
      <c r="C102">
        <v>341</v>
      </c>
      <c r="D102">
        <v>16168.7</v>
      </c>
    </row>
    <row r="103" spans="1:4" x14ac:dyDescent="0.35">
      <c r="A103" t="s">
        <v>19</v>
      </c>
      <c r="B103" t="s">
        <v>2204</v>
      </c>
      <c r="C103">
        <v>13</v>
      </c>
      <c r="D103">
        <v>322.40000000000003</v>
      </c>
    </row>
    <row r="104" spans="1:4" x14ac:dyDescent="0.35">
      <c r="A104" t="s">
        <v>19</v>
      </c>
      <c r="B104" t="s">
        <v>437</v>
      </c>
      <c r="C104">
        <v>31</v>
      </c>
      <c r="D104">
        <v>2092.8000000000002</v>
      </c>
    </row>
    <row r="105" spans="1:4" x14ac:dyDescent="0.35">
      <c r="A105" t="s">
        <v>19</v>
      </c>
      <c r="B105" t="s">
        <v>28</v>
      </c>
      <c r="C105">
        <v>279</v>
      </c>
      <c r="D105">
        <v>12662.500000000002</v>
      </c>
    </row>
    <row r="106" spans="1:4" x14ac:dyDescent="0.35">
      <c r="A106" t="s">
        <v>19</v>
      </c>
      <c r="B106" t="s">
        <v>208</v>
      </c>
      <c r="C106">
        <v>9</v>
      </c>
      <c r="D106">
        <v>343.2</v>
      </c>
    </row>
    <row r="107" spans="1:4" x14ac:dyDescent="0.35">
      <c r="A107" t="s">
        <v>19</v>
      </c>
      <c r="B107" t="s">
        <v>587</v>
      </c>
      <c r="C107">
        <v>49</v>
      </c>
      <c r="D107">
        <v>2188.2999999999997</v>
      </c>
    </row>
    <row r="108" spans="1:4" x14ac:dyDescent="0.35">
      <c r="A108" t="s">
        <v>19</v>
      </c>
      <c r="B108" t="s">
        <v>331</v>
      </c>
      <c r="C108">
        <v>59</v>
      </c>
      <c r="D108">
        <v>2661.5999999999995</v>
      </c>
    </row>
    <row r="109" spans="1:4" x14ac:dyDescent="0.35">
      <c r="A109" t="s">
        <v>19</v>
      </c>
      <c r="B109" t="s">
        <v>86</v>
      </c>
      <c r="C109">
        <v>8</v>
      </c>
      <c r="D109">
        <v>887.5</v>
      </c>
    </row>
    <row r="110" spans="1:4" x14ac:dyDescent="0.35">
      <c r="A110" t="s">
        <v>19</v>
      </c>
      <c r="B110" t="s">
        <v>147</v>
      </c>
      <c r="C110">
        <v>222</v>
      </c>
      <c r="D110">
        <v>11354.199999999993</v>
      </c>
    </row>
    <row r="111" spans="1:4" x14ac:dyDescent="0.35">
      <c r="A111" t="s">
        <v>19</v>
      </c>
      <c r="B111" t="s">
        <v>334</v>
      </c>
      <c r="C111">
        <v>36</v>
      </c>
      <c r="D111">
        <v>1558.4</v>
      </c>
    </row>
    <row r="112" spans="1:4" x14ac:dyDescent="0.35">
      <c r="A112" t="s">
        <v>19</v>
      </c>
      <c r="B112" t="s">
        <v>949</v>
      </c>
      <c r="C112">
        <v>30</v>
      </c>
      <c r="D112">
        <v>2223.9</v>
      </c>
    </row>
    <row r="113" spans="1:4" x14ac:dyDescent="0.35">
      <c r="A113" t="s">
        <v>19</v>
      </c>
      <c r="B113" t="s">
        <v>1426</v>
      </c>
      <c r="C113">
        <v>1</v>
      </c>
      <c r="D113">
        <v>26.2</v>
      </c>
    </row>
    <row r="114" spans="1:4" x14ac:dyDescent="0.35">
      <c r="A114" t="s">
        <v>19</v>
      </c>
      <c r="B114" t="s">
        <v>33</v>
      </c>
      <c r="C114">
        <v>3991</v>
      </c>
      <c r="D114">
        <v>215551.19999999981</v>
      </c>
    </row>
    <row r="115" spans="1:4" x14ac:dyDescent="0.35">
      <c r="A115" t="s">
        <v>19</v>
      </c>
      <c r="B115" t="s">
        <v>364</v>
      </c>
      <c r="C115">
        <v>45</v>
      </c>
      <c r="D115">
        <v>2687.3999999999996</v>
      </c>
    </row>
    <row r="116" spans="1:4" x14ac:dyDescent="0.35">
      <c r="A116" t="s">
        <v>19</v>
      </c>
      <c r="B116" t="s">
        <v>545</v>
      </c>
      <c r="C116">
        <v>39</v>
      </c>
      <c r="D116">
        <v>1463.3000000000002</v>
      </c>
    </row>
    <row r="117" spans="1:4" x14ac:dyDescent="0.35">
      <c r="A117" t="s">
        <v>19</v>
      </c>
      <c r="B117" t="s">
        <v>416</v>
      </c>
      <c r="C117">
        <v>6</v>
      </c>
      <c r="D117">
        <v>445.79999999999995</v>
      </c>
    </row>
    <row r="118" spans="1:4" x14ac:dyDescent="0.35">
      <c r="A118" t="s">
        <v>19</v>
      </c>
      <c r="B118" t="s">
        <v>258</v>
      </c>
      <c r="C118">
        <v>9</v>
      </c>
      <c r="D118">
        <v>273.59999999999997</v>
      </c>
    </row>
    <row r="119" spans="1:4" x14ac:dyDescent="0.35">
      <c r="A119" t="s">
        <v>19</v>
      </c>
      <c r="B119" t="s">
        <v>186</v>
      </c>
      <c r="C119">
        <v>60</v>
      </c>
      <c r="D119">
        <v>2690.4</v>
      </c>
    </row>
    <row r="120" spans="1:4" x14ac:dyDescent="0.35">
      <c r="A120" t="s">
        <v>19</v>
      </c>
      <c r="B120" t="s">
        <v>392</v>
      </c>
      <c r="C120">
        <v>2</v>
      </c>
      <c r="D120">
        <v>28.4</v>
      </c>
    </row>
    <row r="121" spans="1:4" x14ac:dyDescent="0.35">
      <c r="A121" t="s">
        <v>19</v>
      </c>
      <c r="B121" t="s">
        <v>670</v>
      </c>
      <c r="C121">
        <v>4</v>
      </c>
      <c r="D121">
        <v>204.8</v>
      </c>
    </row>
    <row r="122" spans="1:4" x14ac:dyDescent="0.35">
      <c r="A122" t="s">
        <v>19</v>
      </c>
      <c r="B122" t="s">
        <v>802</v>
      </c>
      <c r="C122">
        <v>31</v>
      </c>
      <c r="D122">
        <v>1607.8999999999999</v>
      </c>
    </row>
    <row r="123" spans="1:4" x14ac:dyDescent="0.35">
      <c r="A123" t="s">
        <v>19</v>
      </c>
      <c r="B123" t="s">
        <v>98</v>
      </c>
      <c r="C123">
        <v>88</v>
      </c>
      <c r="D123">
        <v>6444.9</v>
      </c>
    </row>
    <row r="124" spans="1:4" x14ac:dyDescent="0.35">
      <c r="A124" t="s">
        <v>19</v>
      </c>
      <c r="B124" t="s">
        <v>49</v>
      </c>
      <c r="C124">
        <v>25</v>
      </c>
      <c r="D124">
        <v>1809.3</v>
      </c>
    </row>
    <row r="125" spans="1:4" x14ac:dyDescent="0.35">
      <c r="A125" t="s">
        <v>19</v>
      </c>
      <c r="B125" t="s">
        <v>188</v>
      </c>
      <c r="C125">
        <v>178</v>
      </c>
      <c r="D125">
        <v>9680.399999999996</v>
      </c>
    </row>
    <row r="126" spans="1:4" x14ac:dyDescent="0.35">
      <c r="A126" t="s">
        <v>19</v>
      </c>
      <c r="B126" t="s">
        <v>52</v>
      </c>
      <c r="C126">
        <v>141</v>
      </c>
      <c r="D126">
        <v>9414.7999999999993</v>
      </c>
    </row>
    <row r="127" spans="1:4" x14ac:dyDescent="0.35">
      <c r="A127" t="s">
        <v>19</v>
      </c>
      <c r="B127" t="s">
        <v>338</v>
      </c>
      <c r="C127">
        <v>6</v>
      </c>
      <c r="D127">
        <v>206.1</v>
      </c>
    </row>
    <row r="128" spans="1:4" x14ac:dyDescent="0.35">
      <c r="A128" t="s">
        <v>19</v>
      </c>
      <c r="B128" t="s">
        <v>158</v>
      </c>
      <c r="C128">
        <v>178</v>
      </c>
      <c r="D128">
        <v>7691.3</v>
      </c>
    </row>
    <row r="129" spans="1:4" x14ac:dyDescent="0.35">
      <c r="A129" t="s">
        <v>19</v>
      </c>
      <c r="B129" t="s">
        <v>55</v>
      </c>
      <c r="C129">
        <v>699</v>
      </c>
      <c r="D129">
        <v>37784.900000000016</v>
      </c>
    </row>
    <row r="130" spans="1:4" x14ac:dyDescent="0.35">
      <c r="A130" t="s">
        <v>19</v>
      </c>
      <c r="B130" t="s">
        <v>342</v>
      </c>
      <c r="C130">
        <v>23</v>
      </c>
      <c r="D130">
        <v>1129.7</v>
      </c>
    </row>
    <row r="131" spans="1:4" x14ac:dyDescent="0.35">
      <c r="A131" t="s">
        <v>19</v>
      </c>
      <c r="B131" t="s">
        <v>59</v>
      </c>
      <c r="C131">
        <v>356</v>
      </c>
      <c r="D131">
        <v>20988.9</v>
      </c>
    </row>
    <row r="132" spans="1:4" x14ac:dyDescent="0.35">
      <c r="A132" t="s">
        <v>19</v>
      </c>
      <c r="B132" t="s">
        <v>62</v>
      </c>
      <c r="C132">
        <v>1768</v>
      </c>
      <c r="D132">
        <v>98367.099999999977</v>
      </c>
    </row>
    <row r="133" spans="1:4" x14ac:dyDescent="0.35">
      <c r="A133" t="s">
        <v>19</v>
      </c>
      <c r="B133" t="s">
        <v>103</v>
      </c>
      <c r="C133">
        <v>307</v>
      </c>
      <c r="D133">
        <v>21911.9</v>
      </c>
    </row>
    <row r="134" spans="1:4" x14ac:dyDescent="0.35">
      <c r="A134" t="s">
        <v>19</v>
      </c>
      <c r="B134" t="s">
        <v>201</v>
      </c>
      <c r="C134">
        <v>117</v>
      </c>
      <c r="D134">
        <v>5441.2</v>
      </c>
    </row>
    <row r="135" spans="1:4" x14ac:dyDescent="0.35">
      <c r="A135" t="s">
        <v>19</v>
      </c>
      <c r="B135" t="s">
        <v>429</v>
      </c>
      <c r="C135">
        <v>13</v>
      </c>
      <c r="D135">
        <v>392.8</v>
      </c>
    </row>
    <row r="136" spans="1:4" x14ac:dyDescent="0.35">
      <c r="A136" t="s">
        <v>19</v>
      </c>
      <c r="B136" t="s">
        <v>72</v>
      </c>
      <c r="C136">
        <v>364</v>
      </c>
      <c r="D136">
        <v>16172.000000000005</v>
      </c>
    </row>
    <row r="137" spans="1:4" x14ac:dyDescent="0.35">
      <c r="A137" t="s">
        <v>19</v>
      </c>
      <c r="B137" t="s">
        <v>74</v>
      </c>
      <c r="C137">
        <v>95</v>
      </c>
      <c r="D137">
        <v>4334.9999999999991</v>
      </c>
    </row>
    <row r="138" spans="1:4" x14ac:dyDescent="0.35">
      <c r="A138" t="s">
        <v>19</v>
      </c>
      <c r="B138" t="s">
        <v>77</v>
      </c>
      <c r="C138">
        <v>737</v>
      </c>
      <c r="D138">
        <v>37449.000000000007</v>
      </c>
    </row>
    <row r="139" spans="1:4" x14ac:dyDescent="0.35">
      <c r="A139" t="s">
        <v>19</v>
      </c>
      <c r="B139" t="s">
        <v>309</v>
      </c>
      <c r="C139">
        <v>39</v>
      </c>
      <c r="D139">
        <v>2447.5</v>
      </c>
    </row>
    <row r="140" spans="1:4" x14ac:dyDescent="0.35">
      <c r="A140" t="s">
        <v>19</v>
      </c>
      <c r="B140" t="s">
        <v>1116</v>
      </c>
      <c r="C140">
        <v>56</v>
      </c>
      <c r="D140">
        <v>3391.1</v>
      </c>
    </row>
    <row r="141" spans="1:4" x14ac:dyDescent="0.35">
      <c r="A141" t="s">
        <v>19</v>
      </c>
      <c r="B141" t="s">
        <v>700</v>
      </c>
      <c r="C141">
        <v>2</v>
      </c>
      <c r="D141">
        <v>30.8</v>
      </c>
    </row>
    <row r="142" spans="1:4" x14ac:dyDescent="0.35">
      <c r="A142" t="s">
        <v>19</v>
      </c>
      <c r="B142" t="s">
        <v>268</v>
      </c>
      <c r="C142">
        <v>8</v>
      </c>
      <c r="D142">
        <v>332.3</v>
      </c>
    </row>
    <row r="143" spans="1:4" x14ac:dyDescent="0.35">
      <c r="A143" t="s">
        <v>19</v>
      </c>
      <c r="B143" t="s">
        <v>377</v>
      </c>
      <c r="C143">
        <v>52</v>
      </c>
      <c r="D143">
        <v>3175.9999999999995</v>
      </c>
    </row>
    <row r="144" spans="1:4" x14ac:dyDescent="0.35">
      <c r="A144" t="s">
        <v>19</v>
      </c>
      <c r="B144" t="s">
        <v>108</v>
      </c>
      <c r="C144">
        <v>295</v>
      </c>
      <c r="D144">
        <v>20939.600000000002</v>
      </c>
    </row>
    <row r="145" spans="1:4" x14ac:dyDescent="0.35">
      <c r="A145" t="s">
        <v>19</v>
      </c>
      <c r="B145" t="s">
        <v>110</v>
      </c>
      <c r="C145">
        <v>195</v>
      </c>
      <c r="D145">
        <v>10185.899999999996</v>
      </c>
    </row>
    <row r="146" spans="1:4" x14ac:dyDescent="0.35">
      <c r="A146" t="s">
        <v>19</v>
      </c>
      <c r="B146" t="s">
        <v>292</v>
      </c>
      <c r="C146">
        <v>20</v>
      </c>
      <c r="D146">
        <v>958.7</v>
      </c>
    </row>
    <row r="147" spans="1:4" x14ac:dyDescent="0.35">
      <c r="A147" t="s">
        <v>19</v>
      </c>
      <c r="B147" t="s">
        <v>79</v>
      </c>
      <c r="C147">
        <v>6</v>
      </c>
      <c r="D147">
        <v>323</v>
      </c>
    </row>
    <row r="148" spans="1:4" x14ac:dyDescent="0.35">
      <c r="A148" t="s">
        <v>19</v>
      </c>
      <c r="B148" t="s">
        <v>608</v>
      </c>
      <c r="C148">
        <v>5</v>
      </c>
      <c r="D148">
        <v>167.70000000000002</v>
      </c>
    </row>
    <row r="149" spans="1:4" x14ac:dyDescent="0.35">
      <c r="A149" t="s">
        <v>19</v>
      </c>
      <c r="B149" t="s">
        <v>113</v>
      </c>
      <c r="C149">
        <v>94</v>
      </c>
      <c r="D149">
        <v>3978.5</v>
      </c>
    </row>
    <row r="150" spans="1:4" x14ac:dyDescent="0.35">
      <c r="A150" t="s">
        <v>19</v>
      </c>
      <c r="B150" t="s">
        <v>997</v>
      </c>
      <c r="C150">
        <v>28</v>
      </c>
      <c r="D150">
        <v>1405</v>
      </c>
    </row>
    <row r="151" spans="1:4" x14ac:dyDescent="0.35">
      <c r="A151" t="s">
        <v>19</v>
      </c>
      <c r="B151" t="s">
        <v>82</v>
      </c>
      <c r="C151">
        <v>179</v>
      </c>
      <c r="D151">
        <v>9869.0999999999985</v>
      </c>
    </row>
    <row r="152" spans="1:4" x14ac:dyDescent="0.35">
      <c r="A152" t="s">
        <v>19</v>
      </c>
      <c r="B152" t="s">
        <v>243</v>
      </c>
      <c r="C152">
        <v>15</v>
      </c>
      <c r="D152">
        <v>615.29999999999995</v>
      </c>
    </row>
    <row r="153" spans="1:4" x14ac:dyDescent="0.35">
      <c r="A153" t="s">
        <v>19</v>
      </c>
      <c r="B153" t="s">
        <v>1911</v>
      </c>
      <c r="C153">
        <v>3</v>
      </c>
      <c r="D153">
        <v>285</v>
      </c>
    </row>
    <row r="161" spans="1:2" x14ac:dyDescent="0.35">
      <c r="A161" t="s">
        <v>2540</v>
      </c>
    </row>
    <row r="164" spans="1:2" x14ac:dyDescent="0.35">
      <c r="A164" s="19" t="s">
        <v>2557</v>
      </c>
      <c r="B164" t="s">
        <v>2548</v>
      </c>
    </row>
    <row r="165" spans="1:2" x14ac:dyDescent="0.35">
      <c r="A165" s="20">
        <v>0</v>
      </c>
      <c r="B165">
        <v>175</v>
      </c>
    </row>
    <row r="166" spans="1:2" x14ac:dyDescent="0.35">
      <c r="A166" s="20">
        <v>1</v>
      </c>
      <c r="B166">
        <v>888</v>
      </c>
    </row>
    <row r="167" spans="1:2" x14ac:dyDescent="0.35">
      <c r="A167" s="20">
        <v>2</v>
      </c>
      <c r="B167">
        <v>537</v>
      </c>
    </row>
    <row r="168" spans="1:2" x14ac:dyDescent="0.35">
      <c r="A168" s="20">
        <v>3</v>
      </c>
      <c r="B168">
        <v>344</v>
      </c>
    </row>
    <row r="169" spans="1:2" x14ac:dyDescent="0.35">
      <c r="A169" s="20">
        <v>4</v>
      </c>
      <c r="B169">
        <v>200</v>
      </c>
    </row>
    <row r="170" spans="1:2" x14ac:dyDescent="0.35">
      <c r="A170" s="20">
        <v>5</v>
      </c>
      <c r="B170">
        <v>94</v>
      </c>
    </row>
    <row r="171" spans="1:2" x14ac:dyDescent="0.35">
      <c r="A171" s="20">
        <v>6</v>
      </c>
      <c r="B171">
        <v>51</v>
      </c>
    </row>
    <row r="172" spans="1:2" x14ac:dyDescent="0.35">
      <c r="A172" s="20">
        <v>7</v>
      </c>
      <c r="B172">
        <v>32</v>
      </c>
    </row>
    <row r="173" spans="1:2" x14ac:dyDescent="0.35">
      <c r="A173" s="20">
        <v>8</v>
      </c>
      <c r="B173">
        <v>23</v>
      </c>
    </row>
    <row r="174" spans="1:2" x14ac:dyDescent="0.35">
      <c r="A174" s="20">
        <v>9</v>
      </c>
      <c r="B174">
        <v>9</v>
      </c>
    </row>
    <row r="175" spans="1:2" x14ac:dyDescent="0.35">
      <c r="A175" s="20">
        <v>10</v>
      </c>
      <c r="B175">
        <v>8</v>
      </c>
    </row>
    <row r="176" spans="1:2" x14ac:dyDescent="0.35">
      <c r="A176" s="20">
        <v>11</v>
      </c>
      <c r="B176">
        <v>11</v>
      </c>
    </row>
    <row r="177" spans="1:17" x14ac:dyDescent="0.35">
      <c r="A177" s="20">
        <v>12</v>
      </c>
      <c r="B177">
        <v>4</v>
      </c>
    </row>
    <row r="178" spans="1:17" x14ac:dyDescent="0.35">
      <c r="A178" s="20">
        <v>13</v>
      </c>
      <c r="B178">
        <v>10</v>
      </c>
    </row>
    <row r="179" spans="1:17" x14ac:dyDescent="0.35">
      <c r="A179" s="20">
        <v>14</v>
      </c>
      <c r="B179">
        <v>13</v>
      </c>
    </row>
    <row r="180" spans="1:17" x14ac:dyDescent="0.35">
      <c r="A180" s="20" t="s">
        <v>2558</v>
      </c>
      <c r="B180">
        <v>2399</v>
      </c>
      <c r="O180" s="38"/>
      <c r="P180" s="39"/>
      <c r="Q180" s="40"/>
    </row>
    <row r="181" spans="1:17" x14ac:dyDescent="0.35">
      <c r="O181" s="41"/>
      <c r="P181" s="37"/>
      <c r="Q181" s="42"/>
    </row>
    <row r="182" spans="1:17" x14ac:dyDescent="0.35">
      <c r="O182" s="41"/>
      <c r="P182" s="37"/>
      <c r="Q182" s="42"/>
    </row>
    <row r="183" spans="1:17" x14ac:dyDescent="0.35">
      <c r="O183" s="41"/>
      <c r="P183" s="37"/>
      <c r="Q183" s="42"/>
    </row>
    <row r="184" spans="1:17" x14ac:dyDescent="0.35">
      <c r="O184" s="41"/>
      <c r="P184" s="37"/>
      <c r="Q184" s="42"/>
    </row>
    <row r="185" spans="1:17" x14ac:dyDescent="0.35">
      <c r="O185" s="41"/>
      <c r="P185" s="37"/>
      <c r="Q185" s="42"/>
    </row>
    <row r="186" spans="1:17" x14ac:dyDescent="0.35">
      <c r="O186" s="41"/>
      <c r="P186" s="37"/>
      <c r="Q186" s="42"/>
    </row>
    <row r="187" spans="1:17" x14ac:dyDescent="0.35">
      <c r="O187" s="41"/>
      <c r="P187" s="37"/>
      <c r="Q187" s="42"/>
    </row>
    <row r="188" spans="1:17" x14ac:dyDescent="0.35">
      <c r="A188" t="s">
        <v>2567</v>
      </c>
      <c r="O188" s="41"/>
      <c r="P188" s="37"/>
      <c r="Q188" s="42"/>
    </row>
    <row r="189" spans="1:17" x14ac:dyDescent="0.35">
      <c r="O189" s="41"/>
      <c r="P189" s="37"/>
      <c r="Q189" s="42"/>
    </row>
    <row r="190" spans="1:17" x14ac:dyDescent="0.35">
      <c r="O190" s="41"/>
      <c r="P190" s="37"/>
      <c r="Q190" s="42"/>
    </row>
    <row r="191" spans="1:17" x14ac:dyDescent="0.35">
      <c r="A191" s="19" t="s">
        <v>2548</v>
      </c>
      <c r="B191" s="19" t="s">
        <v>2559</v>
      </c>
      <c r="O191" s="41"/>
      <c r="P191" s="37"/>
      <c r="Q191" s="42"/>
    </row>
    <row r="192" spans="1:17" x14ac:dyDescent="0.35">
      <c r="A192" s="19" t="s">
        <v>2557</v>
      </c>
      <c r="B192">
        <v>1</v>
      </c>
      <c r="C192">
        <v>2</v>
      </c>
      <c r="D192">
        <v>3</v>
      </c>
      <c r="E192">
        <v>4</v>
      </c>
      <c r="F192">
        <v>5</v>
      </c>
      <c r="G192" t="s">
        <v>2558</v>
      </c>
      <c r="O192" s="41"/>
      <c r="P192" s="37"/>
      <c r="Q192" s="42"/>
    </row>
    <row r="193" spans="1:17" x14ac:dyDescent="0.35">
      <c r="A193" s="20" t="s">
        <v>2568</v>
      </c>
      <c r="B193">
        <v>7</v>
      </c>
      <c r="C193">
        <v>37</v>
      </c>
      <c r="D193">
        <v>150</v>
      </c>
      <c r="E193">
        <v>312</v>
      </c>
      <c r="F193">
        <v>224</v>
      </c>
      <c r="G193">
        <v>730</v>
      </c>
      <c r="O193" s="41"/>
      <c r="P193" s="37"/>
      <c r="Q193" s="42"/>
    </row>
    <row r="194" spans="1:17" x14ac:dyDescent="0.35">
      <c r="A194" s="20" t="s">
        <v>2569</v>
      </c>
      <c r="B194">
        <v>8</v>
      </c>
      <c r="C194">
        <v>51</v>
      </c>
      <c r="D194">
        <v>182</v>
      </c>
      <c r="E194">
        <v>373</v>
      </c>
      <c r="F194">
        <v>247</v>
      </c>
      <c r="G194">
        <v>861</v>
      </c>
      <c r="O194" s="41"/>
      <c r="P194" s="37"/>
      <c r="Q194" s="42"/>
    </row>
    <row r="195" spans="1:17" x14ac:dyDescent="0.35">
      <c r="A195" s="20" t="s">
        <v>2570</v>
      </c>
      <c r="B195">
        <v>6</v>
      </c>
      <c r="C195">
        <v>39</v>
      </c>
      <c r="D195">
        <v>163</v>
      </c>
      <c r="E195">
        <v>351</v>
      </c>
      <c r="F195">
        <v>250</v>
      </c>
      <c r="G195">
        <v>809</v>
      </c>
      <c r="O195" s="41"/>
      <c r="P195" s="37"/>
      <c r="Q195" s="42"/>
    </row>
    <row r="196" spans="1:17" x14ac:dyDescent="0.35">
      <c r="A196" s="20" t="s">
        <v>2558</v>
      </c>
      <c r="B196">
        <v>21</v>
      </c>
      <c r="C196">
        <v>127</v>
      </c>
      <c r="D196">
        <v>495</v>
      </c>
      <c r="E196">
        <v>1036</v>
      </c>
      <c r="F196">
        <v>721</v>
      </c>
      <c r="G196">
        <v>2400</v>
      </c>
      <c r="O196" s="41"/>
      <c r="P196" s="37"/>
      <c r="Q196" s="42"/>
    </row>
    <row r="197" spans="1:17" x14ac:dyDescent="0.35">
      <c r="O197" s="43"/>
      <c r="P197" s="44"/>
      <c r="Q197" s="45"/>
    </row>
    <row r="204" spans="1:17" x14ac:dyDescent="0.35">
      <c r="A204" s="19" t="s">
        <v>10</v>
      </c>
      <c r="B204" s="19" t="s">
        <v>11</v>
      </c>
      <c r="C204" t="s">
        <v>2550</v>
      </c>
      <c r="D204" t="s">
        <v>2549</v>
      </c>
      <c r="G204" t="str">
        <f>A204</f>
        <v>State</v>
      </c>
      <c r="H204" t="str">
        <f t="shared" ref="H204:I205" si="0">B204</f>
        <v>County</v>
      </c>
      <c r="I204" t="str">
        <f t="shared" si="0"/>
        <v>Sum of Amount</v>
      </c>
      <c r="M204" t="str">
        <f>A204</f>
        <v>State</v>
      </c>
      <c r="N204" t="str">
        <f>B204</f>
        <v>County</v>
      </c>
      <c r="O204" t="str">
        <f>D204</f>
        <v>Sum of Quantity</v>
      </c>
    </row>
    <row r="205" spans="1:17" x14ac:dyDescent="0.35">
      <c r="A205" t="s">
        <v>19</v>
      </c>
      <c r="B205" t="s">
        <v>115</v>
      </c>
      <c r="C205">
        <v>31884.999999999996</v>
      </c>
      <c r="D205">
        <v>579</v>
      </c>
      <c r="G205" t="str">
        <f>A205</f>
        <v>California</v>
      </c>
      <c r="H205" t="str">
        <f t="shared" si="0"/>
        <v>Alameda County</v>
      </c>
      <c r="I205">
        <f t="shared" si="0"/>
        <v>31884.999999999996</v>
      </c>
      <c r="M205" t="str">
        <f>A205</f>
        <v>California</v>
      </c>
      <c r="N205" t="str">
        <f>B205</f>
        <v>Alameda County</v>
      </c>
      <c r="O205">
        <v>579</v>
      </c>
    </row>
    <row r="206" spans="1:17" x14ac:dyDescent="0.35">
      <c r="A206" t="s">
        <v>19</v>
      </c>
      <c r="B206" t="s">
        <v>20</v>
      </c>
      <c r="C206">
        <v>10.9</v>
      </c>
      <c r="D206">
        <v>1</v>
      </c>
      <c r="G206" t="str">
        <f t="shared" ref="G206:G262" si="1">A206</f>
        <v>California</v>
      </c>
      <c r="H206" t="str">
        <f t="shared" ref="H206:H262" si="2">B206</f>
        <v>Alpine County</v>
      </c>
      <c r="I206">
        <f t="shared" ref="I206:I262" si="3">C206</f>
        <v>10.9</v>
      </c>
      <c r="M206" t="str">
        <f t="shared" ref="M206:M262" si="4">A206</f>
        <v>California</v>
      </c>
      <c r="N206" t="str">
        <f t="shared" ref="N206:N262" si="5">B206</f>
        <v>Alpine County</v>
      </c>
      <c r="O206">
        <v>1</v>
      </c>
    </row>
    <row r="207" spans="1:17" x14ac:dyDescent="0.35">
      <c r="A207" t="s">
        <v>19</v>
      </c>
      <c r="B207" t="s">
        <v>641</v>
      </c>
      <c r="C207">
        <v>800.3</v>
      </c>
      <c r="D207">
        <v>9</v>
      </c>
      <c r="G207" t="str">
        <f t="shared" si="1"/>
        <v>California</v>
      </c>
      <c r="H207" t="str">
        <f t="shared" si="2"/>
        <v>Amador County</v>
      </c>
      <c r="I207">
        <f t="shared" si="3"/>
        <v>800.3</v>
      </c>
      <c r="M207" t="str">
        <f t="shared" si="4"/>
        <v>California</v>
      </c>
      <c r="N207" t="str">
        <f t="shared" si="5"/>
        <v>Amador County</v>
      </c>
      <c r="O207">
        <v>9</v>
      </c>
    </row>
    <row r="208" spans="1:17" x14ac:dyDescent="0.35">
      <c r="A208" t="s">
        <v>19</v>
      </c>
      <c r="B208" t="s">
        <v>967</v>
      </c>
      <c r="C208">
        <v>1062.5999999999999</v>
      </c>
      <c r="D208">
        <v>35</v>
      </c>
      <c r="G208" t="str">
        <f t="shared" si="1"/>
        <v>California</v>
      </c>
      <c r="H208" t="str">
        <f t="shared" si="2"/>
        <v>Butte County</v>
      </c>
      <c r="I208">
        <f t="shared" si="3"/>
        <v>1062.5999999999999</v>
      </c>
      <c r="M208" t="str">
        <f t="shared" si="4"/>
        <v>California</v>
      </c>
      <c r="N208" t="str">
        <f t="shared" si="5"/>
        <v>Butte County</v>
      </c>
      <c r="O208">
        <v>35</v>
      </c>
    </row>
    <row r="209" spans="1:15" x14ac:dyDescent="0.35">
      <c r="A209" t="s">
        <v>19</v>
      </c>
      <c r="B209" t="s">
        <v>84</v>
      </c>
      <c r="C209">
        <v>326.20000000000005</v>
      </c>
      <c r="D209">
        <v>12</v>
      </c>
      <c r="G209" t="str">
        <f t="shared" si="1"/>
        <v>California</v>
      </c>
      <c r="H209" t="str">
        <f t="shared" si="2"/>
        <v>Calaveras County</v>
      </c>
      <c r="I209">
        <f t="shared" si="3"/>
        <v>326.20000000000005</v>
      </c>
      <c r="M209" t="str">
        <f t="shared" si="4"/>
        <v>California</v>
      </c>
      <c r="N209" t="str">
        <f t="shared" si="5"/>
        <v>Calaveras County</v>
      </c>
      <c r="O209">
        <v>12</v>
      </c>
    </row>
    <row r="210" spans="1:15" x14ac:dyDescent="0.35">
      <c r="A210" t="s">
        <v>19</v>
      </c>
      <c r="B210" t="s">
        <v>1383</v>
      </c>
      <c r="C210">
        <v>167.5</v>
      </c>
      <c r="D210">
        <v>4</v>
      </c>
      <c r="G210" t="str">
        <f t="shared" si="1"/>
        <v>California</v>
      </c>
      <c r="H210" t="str">
        <f t="shared" si="2"/>
        <v>Colusa County</v>
      </c>
      <c r="I210">
        <f t="shared" si="3"/>
        <v>167.5</v>
      </c>
      <c r="M210" t="str">
        <f t="shared" si="4"/>
        <v>California</v>
      </c>
      <c r="N210" t="str">
        <f t="shared" si="5"/>
        <v>Colusa County</v>
      </c>
      <c r="O210">
        <v>4</v>
      </c>
    </row>
    <row r="211" spans="1:15" x14ac:dyDescent="0.35">
      <c r="A211" t="s">
        <v>19</v>
      </c>
      <c r="B211" t="s">
        <v>24</v>
      </c>
      <c r="C211">
        <v>16168.7</v>
      </c>
      <c r="D211">
        <v>341</v>
      </c>
      <c r="G211" t="str">
        <f t="shared" si="1"/>
        <v>California</v>
      </c>
      <c r="H211" t="str">
        <f t="shared" si="2"/>
        <v>Contra Costa County</v>
      </c>
      <c r="I211">
        <f t="shared" si="3"/>
        <v>16168.7</v>
      </c>
      <c r="M211" t="str">
        <f t="shared" si="4"/>
        <v>California</v>
      </c>
      <c r="N211" t="str">
        <f t="shared" si="5"/>
        <v>Contra Costa County</v>
      </c>
      <c r="O211">
        <v>341</v>
      </c>
    </row>
    <row r="212" spans="1:15" x14ac:dyDescent="0.35">
      <c r="A212" t="s">
        <v>19</v>
      </c>
      <c r="B212" t="s">
        <v>2204</v>
      </c>
      <c r="C212">
        <v>322.40000000000003</v>
      </c>
      <c r="D212">
        <v>13</v>
      </c>
      <c r="G212" t="str">
        <f t="shared" si="1"/>
        <v>California</v>
      </c>
      <c r="H212" t="str">
        <f t="shared" si="2"/>
        <v>Del Norte County</v>
      </c>
      <c r="I212">
        <f t="shared" si="3"/>
        <v>322.40000000000003</v>
      </c>
      <c r="M212" t="str">
        <f t="shared" si="4"/>
        <v>California</v>
      </c>
      <c r="N212" t="str">
        <f t="shared" si="5"/>
        <v>Del Norte County</v>
      </c>
      <c r="O212">
        <v>13</v>
      </c>
    </row>
    <row r="213" spans="1:15" x14ac:dyDescent="0.35">
      <c r="A213" t="s">
        <v>19</v>
      </c>
      <c r="B213" t="s">
        <v>437</v>
      </c>
      <c r="C213">
        <v>2092.8000000000002</v>
      </c>
      <c r="D213">
        <v>31</v>
      </c>
      <c r="G213" t="str">
        <f t="shared" si="1"/>
        <v>California</v>
      </c>
      <c r="H213" t="str">
        <f t="shared" si="2"/>
        <v>El Dorado County</v>
      </c>
      <c r="I213">
        <f t="shared" si="3"/>
        <v>2092.8000000000002</v>
      </c>
      <c r="M213" t="str">
        <f t="shared" si="4"/>
        <v>California</v>
      </c>
      <c r="N213" t="str">
        <f t="shared" si="5"/>
        <v>El Dorado County</v>
      </c>
      <c r="O213">
        <v>31</v>
      </c>
    </row>
    <row r="214" spans="1:15" x14ac:dyDescent="0.35">
      <c r="A214" t="s">
        <v>19</v>
      </c>
      <c r="B214" t="s">
        <v>28</v>
      </c>
      <c r="C214">
        <v>12662.500000000002</v>
      </c>
      <c r="D214">
        <v>279</v>
      </c>
      <c r="G214" t="str">
        <f t="shared" si="1"/>
        <v>California</v>
      </c>
      <c r="H214" t="str">
        <f t="shared" si="2"/>
        <v>Fresno County</v>
      </c>
      <c r="I214">
        <f t="shared" si="3"/>
        <v>12662.500000000002</v>
      </c>
      <c r="M214" t="str">
        <f t="shared" si="4"/>
        <v>California</v>
      </c>
      <c r="N214" t="str">
        <f t="shared" si="5"/>
        <v>Fresno County</v>
      </c>
      <c r="O214">
        <v>279</v>
      </c>
    </row>
    <row r="215" spans="1:15" x14ac:dyDescent="0.35">
      <c r="A215" t="s">
        <v>19</v>
      </c>
      <c r="B215" t="s">
        <v>208</v>
      </c>
      <c r="C215">
        <v>343.2</v>
      </c>
      <c r="D215">
        <v>9</v>
      </c>
      <c r="G215" t="str">
        <f t="shared" si="1"/>
        <v>California</v>
      </c>
      <c r="H215" t="str">
        <f t="shared" si="2"/>
        <v>Glenn County</v>
      </c>
      <c r="I215">
        <f t="shared" si="3"/>
        <v>343.2</v>
      </c>
      <c r="M215" t="str">
        <f t="shared" si="4"/>
        <v>California</v>
      </c>
      <c r="N215" t="str">
        <f t="shared" si="5"/>
        <v>Glenn County</v>
      </c>
      <c r="O215">
        <v>9</v>
      </c>
    </row>
    <row r="216" spans="1:15" x14ac:dyDescent="0.35">
      <c r="A216" t="s">
        <v>19</v>
      </c>
      <c r="B216" t="s">
        <v>587</v>
      </c>
      <c r="C216">
        <v>2188.2999999999997</v>
      </c>
      <c r="D216">
        <v>49</v>
      </c>
      <c r="G216" t="str">
        <f t="shared" si="1"/>
        <v>California</v>
      </c>
      <c r="H216" t="str">
        <f t="shared" si="2"/>
        <v>Humboldt County</v>
      </c>
      <c r="I216">
        <f t="shared" si="3"/>
        <v>2188.2999999999997</v>
      </c>
      <c r="M216" t="str">
        <f t="shared" si="4"/>
        <v>California</v>
      </c>
      <c r="N216" t="str">
        <f t="shared" si="5"/>
        <v>Humboldt County</v>
      </c>
      <c r="O216">
        <v>49</v>
      </c>
    </row>
    <row r="217" spans="1:15" x14ac:dyDescent="0.35">
      <c r="A217" t="s">
        <v>19</v>
      </c>
      <c r="B217" t="s">
        <v>331</v>
      </c>
      <c r="C217">
        <v>2661.5999999999995</v>
      </c>
      <c r="D217">
        <v>59</v>
      </c>
      <c r="G217" t="str">
        <f t="shared" si="1"/>
        <v>California</v>
      </c>
      <c r="H217" t="str">
        <f t="shared" si="2"/>
        <v>Imperial County</v>
      </c>
      <c r="I217">
        <f t="shared" si="3"/>
        <v>2661.5999999999995</v>
      </c>
      <c r="M217" t="str">
        <f t="shared" si="4"/>
        <v>California</v>
      </c>
      <c r="N217" t="str">
        <f t="shared" si="5"/>
        <v>Imperial County</v>
      </c>
      <c r="O217">
        <v>59</v>
      </c>
    </row>
    <row r="218" spans="1:15" x14ac:dyDescent="0.35">
      <c r="A218" t="s">
        <v>19</v>
      </c>
      <c r="B218" t="s">
        <v>86</v>
      </c>
      <c r="C218">
        <v>887.5</v>
      </c>
      <c r="D218">
        <v>8</v>
      </c>
      <c r="G218" t="str">
        <f t="shared" si="1"/>
        <v>California</v>
      </c>
      <c r="H218" t="str">
        <f t="shared" si="2"/>
        <v>Inyo County</v>
      </c>
      <c r="I218">
        <f t="shared" si="3"/>
        <v>887.5</v>
      </c>
      <c r="M218" t="str">
        <f t="shared" si="4"/>
        <v>California</v>
      </c>
      <c r="N218" t="str">
        <f t="shared" si="5"/>
        <v>Inyo County</v>
      </c>
      <c r="O218">
        <v>8</v>
      </c>
    </row>
    <row r="219" spans="1:15" x14ac:dyDescent="0.35">
      <c r="A219" t="s">
        <v>19</v>
      </c>
      <c r="B219" t="s">
        <v>147</v>
      </c>
      <c r="C219">
        <v>11354.199999999993</v>
      </c>
      <c r="D219">
        <v>222</v>
      </c>
      <c r="G219" t="str">
        <f t="shared" si="1"/>
        <v>California</v>
      </c>
      <c r="H219" t="str">
        <f t="shared" si="2"/>
        <v>Kern County</v>
      </c>
      <c r="I219">
        <f t="shared" si="3"/>
        <v>11354.199999999993</v>
      </c>
      <c r="M219" t="str">
        <f t="shared" si="4"/>
        <v>California</v>
      </c>
      <c r="N219" t="str">
        <f t="shared" si="5"/>
        <v>Kern County</v>
      </c>
      <c r="O219">
        <v>222</v>
      </c>
    </row>
    <row r="220" spans="1:15" x14ac:dyDescent="0.35">
      <c r="A220" t="s">
        <v>19</v>
      </c>
      <c r="B220" t="s">
        <v>334</v>
      </c>
      <c r="C220">
        <v>1558.4</v>
      </c>
      <c r="D220">
        <v>36</v>
      </c>
      <c r="G220" t="str">
        <f t="shared" si="1"/>
        <v>California</v>
      </c>
      <c r="H220" t="str">
        <f t="shared" si="2"/>
        <v>Kings County</v>
      </c>
      <c r="I220">
        <f t="shared" si="3"/>
        <v>1558.4</v>
      </c>
      <c r="M220" t="str">
        <f t="shared" si="4"/>
        <v>California</v>
      </c>
      <c r="N220" t="str">
        <f t="shared" si="5"/>
        <v>Kings County</v>
      </c>
      <c r="O220">
        <v>36</v>
      </c>
    </row>
    <row r="221" spans="1:15" x14ac:dyDescent="0.35">
      <c r="A221" t="s">
        <v>19</v>
      </c>
      <c r="B221" t="s">
        <v>949</v>
      </c>
      <c r="C221">
        <v>2223.9</v>
      </c>
      <c r="D221">
        <v>30</v>
      </c>
      <c r="G221" t="str">
        <f t="shared" si="1"/>
        <v>California</v>
      </c>
      <c r="H221" t="str">
        <f t="shared" si="2"/>
        <v>Lake County</v>
      </c>
      <c r="I221">
        <f t="shared" si="3"/>
        <v>2223.9</v>
      </c>
      <c r="M221" t="str">
        <f t="shared" si="4"/>
        <v>California</v>
      </c>
      <c r="N221" t="str">
        <f t="shared" si="5"/>
        <v>Lake County</v>
      </c>
      <c r="O221">
        <v>30</v>
      </c>
    </row>
    <row r="222" spans="1:15" x14ac:dyDescent="0.35">
      <c r="A222" t="s">
        <v>19</v>
      </c>
      <c r="B222" t="s">
        <v>1426</v>
      </c>
      <c r="C222">
        <v>26.2</v>
      </c>
      <c r="D222">
        <v>1</v>
      </c>
      <c r="G222" t="str">
        <f t="shared" si="1"/>
        <v>California</v>
      </c>
      <c r="H222" t="str">
        <f t="shared" si="2"/>
        <v>Lassen County</v>
      </c>
      <c r="I222">
        <f t="shared" si="3"/>
        <v>26.2</v>
      </c>
      <c r="M222" t="str">
        <f t="shared" si="4"/>
        <v>California</v>
      </c>
      <c r="N222" t="str">
        <f t="shared" si="5"/>
        <v>Lassen County</v>
      </c>
      <c r="O222">
        <v>1</v>
      </c>
    </row>
    <row r="223" spans="1:15" x14ac:dyDescent="0.35">
      <c r="A223" t="s">
        <v>19</v>
      </c>
      <c r="B223" t="s">
        <v>33</v>
      </c>
      <c r="C223">
        <v>215551.19999999981</v>
      </c>
      <c r="D223">
        <v>3991</v>
      </c>
      <c r="G223" t="str">
        <f t="shared" si="1"/>
        <v>California</v>
      </c>
      <c r="H223" t="str">
        <f t="shared" si="2"/>
        <v>Los Angeles County</v>
      </c>
      <c r="I223">
        <f t="shared" si="3"/>
        <v>215551.19999999981</v>
      </c>
      <c r="M223" t="str">
        <f t="shared" si="4"/>
        <v>California</v>
      </c>
      <c r="N223" t="str">
        <f t="shared" si="5"/>
        <v>Los Angeles County</v>
      </c>
      <c r="O223">
        <v>3991</v>
      </c>
    </row>
    <row r="224" spans="1:15" x14ac:dyDescent="0.35">
      <c r="A224" t="s">
        <v>19</v>
      </c>
      <c r="B224" t="s">
        <v>364</v>
      </c>
      <c r="C224">
        <v>2687.3999999999996</v>
      </c>
      <c r="D224">
        <v>45</v>
      </c>
      <c r="G224" t="str">
        <f t="shared" si="1"/>
        <v>California</v>
      </c>
      <c r="H224" t="str">
        <f t="shared" si="2"/>
        <v>Madera County</v>
      </c>
      <c r="I224">
        <f t="shared" si="3"/>
        <v>2687.3999999999996</v>
      </c>
      <c r="M224" t="str">
        <f t="shared" si="4"/>
        <v>California</v>
      </c>
      <c r="N224" t="str">
        <f t="shared" si="5"/>
        <v>Madera County</v>
      </c>
      <c r="O224">
        <v>45</v>
      </c>
    </row>
    <row r="225" spans="1:15" x14ac:dyDescent="0.35">
      <c r="A225" t="s">
        <v>19</v>
      </c>
      <c r="B225" t="s">
        <v>545</v>
      </c>
      <c r="C225">
        <v>1463.3000000000002</v>
      </c>
      <c r="D225">
        <v>39</v>
      </c>
      <c r="G225" t="str">
        <f t="shared" si="1"/>
        <v>California</v>
      </c>
      <c r="H225" t="str">
        <f t="shared" si="2"/>
        <v>Marin County</v>
      </c>
      <c r="I225">
        <f t="shared" si="3"/>
        <v>1463.3000000000002</v>
      </c>
      <c r="M225" t="str">
        <f t="shared" si="4"/>
        <v>California</v>
      </c>
      <c r="N225" t="str">
        <f t="shared" si="5"/>
        <v>Marin County</v>
      </c>
      <c r="O225">
        <v>39</v>
      </c>
    </row>
    <row r="226" spans="1:15" x14ac:dyDescent="0.35">
      <c r="A226" t="s">
        <v>19</v>
      </c>
      <c r="B226" t="s">
        <v>416</v>
      </c>
      <c r="C226">
        <v>445.79999999999995</v>
      </c>
      <c r="D226">
        <v>6</v>
      </c>
      <c r="G226" t="str">
        <f t="shared" si="1"/>
        <v>California</v>
      </c>
      <c r="H226" t="str">
        <f t="shared" si="2"/>
        <v>Mariposa County</v>
      </c>
      <c r="I226">
        <f t="shared" si="3"/>
        <v>445.79999999999995</v>
      </c>
      <c r="M226" t="str">
        <f t="shared" si="4"/>
        <v>California</v>
      </c>
      <c r="N226" t="str">
        <f t="shared" si="5"/>
        <v>Mariposa County</v>
      </c>
      <c r="O226">
        <v>6</v>
      </c>
    </row>
    <row r="227" spans="1:15" x14ac:dyDescent="0.35">
      <c r="A227" t="s">
        <v>19</v>
      </c>
      <c r="B227" t="s">
        <v>258</v>
      </c>
      <c r="C227">
        <v>273.59999999999997</v>
      </c>
      <c r="D227">
        <v>9</v>
      </c>
      <c r="G227" t="str">
        <f t="shared" si="1"/>
        <v>California</v>
      </c>
      <c r="H227" t="str">
        <f t="shared" si="2"/>
        <v>Mendocino County</v>
      </c>
      <c r="I227">
        <f t="shared" si="3"/>
        <v>273.59999999999997</v>
      </c>
      <c r="M227" t="str">
        <f t="shared" si="4"/>
        <v>California</v>
      </c>
      <c r="N227" t="str">
        <f t="shared" si="5"/>
        <v>Mendocino County</v>
      </c>
      <c r="O227">
        <v>9</v>
      </c>
    </row>
    <row r="228" spans="1:15" x14ac:dyDescent="0.35">
      <c r="A228" t="s">
        <v>19</v>
      </c>
      <c r="B228" t="s">
        <v>186</v>
      </c>
      <c r="C228">
        <v>2690.4</v>
      </c>
      <c r="D228">
        <v>60</v>
      </c>
      <c r="G228" t="str">
        <f t="shared" si="1"/>
        <v>California</v>
      </c>
      <c r="H228" t="str">
        <f t="shared" si="2"/>
        <v>Merced County</v>
      </c>
      <c r="I228">
        <f t="shared" si="3"/>
        <v>2690.4</v>
      </c>
      <c r="M228" t="str">
        <f t="shared" si="4"/>
        <v>California</v>
      </c>
      <c r="N228" t="str">
        <f t="shared" si="5"/>
        <v>Merced County</v>
      </c>
      <c r="O228">
        <v>60</v>
      </c>
    </row>
    <row r="229" spans="1:15" x14ac:dyDescent="0.35">
      <c r="A229" t="s">
        <v>19</v>
      </c>
      <c r="B229" t="s">
        <v>392</v>
      </c>
      <c r="C229">
        <v>28.4</v>
      </c>
      <c r="D229">
        <v>2</v>
      </c>
      <c r="G229" t="str">
        <f t="shared" si="1"/>
        <v>California</v>
      </c>
      <c r="H229" t="str">
        <f t="shared" si="2"/>
        <v>Modoc County</v>
      </c>
      <c r="I229">
        <f t="shared" si="3"/>
        <v>28.4</v>
      </c>
      <c r="M229" t="str">
        <f t="shared" si="4"/>
        <v>California</v>
      </c>
      <c r="N229" t="str">
        <f t="shared" si="5"/>
        <v>Modoc County</v>
      </c>
      <c r="O229">
        <v>2</v>
      </c>
    </row>
    <row r="230" spans="1:15" x14ac:dyDescent="0.35">
      <c r="A230" t="s">
        <v>19</v>
      </c>
      <c r="B230" t="s">
        <v>670</v>
      </c>
      <c r="C230">
        <v>204.8</v>
      </c>
      <c r="D230">
        <v>4</v>
      </c>
      <c r="G230" t="str">
        <f t="shared" si="1"/>
        <v>California</v>
      </c>
      <c r="H230" t="str">
        <f t="shared" si="2"/>
        <v>Mono County</v>
      </c>
      <c r="I230">
        <f t="shared" si="3"/>
        <v>204.8</v>
      </c>
      <c r="M230" t="str">
        <f t="shared" si="4"/>
        <v>California</v>
      </c>
      <c r="N230" t="str">
        <f t="shared" si="5"/>
        <v>Mono County</v>
      </c>
      <c r="O230">
        <v>4</v>
      </c>
    </row>
    <row r="231" spans="1:15" x14ac:dyDescent="0.35">
      <c r="A231" t="s">
        <v>19</v>
      </c>
      <c r="B231" t="s">
        <v>802</v>
      </c>
      <c r="C231">
        <v>1607.8999999999999</v>
      </c>
      <c r="D231">
        <v>31</v>
      </c>
      <c r="G231" t="str">
        <f t="shared" si="1"/>
        <v>California</v>
      </c>
      <c r="H231" t="str">
        <f t="shared" si="2"/>
        <v>Monterey County</v>
      </c>
      <c r="I231">
        <f t="shared" si="3"/>
        <v>1607.8999999999999</v>
      </c>
      <c r="M231" t="str">
        <f t="shared" si="4"/>
        <v>California</v>
      </c>
      <c r="N231" t="str">
        <f t="shared" si="5"/>
        <v>Monterey County</v>
      </c>
      <c r="O231">
        <v>31</v>
      </c>
    </row>
    <row r="232" spans="1:15" x14ac:dyDescent="0.35">
      <c r="A232" t="s">
        <v>19</v>
      </c>
      <c r="B232" t="s">
        <v>98</v>
      </c>
      <c r="C232">
        <v>6444.9</v>
      </c>
      <c r="D232">
        <v>88</v>
      </c>
      <c r="G232" t="str">
        <f t="shared" si="1"/>
        <v>California</v>
      </c>
      <c r="H232" t="str">
        <f t="shared" si="2"/>
        <v>Napa County</v>
      </c>
      <c r="I232">
        <f t="shared" si="3"/>
        <v>6444.9</v>
      </c>
      <c r="M232" t="str">
        <f t="shared" si="4"/>
        <v>California</v>
      </c>
      <c r="N232" t="str">
        <f t="shared" si="5"/>
        <v>Napa County</v>
      </c>
      <c r="O232">
        <v>88</v>
      </c>
    </row>
    <row r="233" spans="1:15" x14ac:dyDescent="0.35">
      <c r="A233" t="s">
        <v>19</v>
      </c>
      <c r="B233" t="s">
        <v>49</v>
      </c>
      <c r="C233">
        <v>1809.3</v>
      </c>
      <c r="D233">
        <v>25</v>
      </c>
      <c r="G233" t="str">
        <f t="shared" si="1"/>
        <v>California</v>
      </c>
      <c r="H233" t="str">
        <f t="shared" si="2"/>
        <v>Nevada County</v>
      </c>
      <c r="I233">
        <f t="shared" si="3"/>
        <v>1809.3</v>
      </c>
      <c r="M233" t="str">
        <f t="shared" si="4"/>
        <v>California</v>
      </c>
      <c r="N233" t="str">
        <f t="shared" si="5"/>
        <v>Nevada County</v>
      </c>
      <c r="O233">
        <v>25</v>
      </c>
    </row>
    <row r="234" spans="1:15" x14ac:dyDescent="0.35">
      <c r="A234" t="s">
        <v>19</v>
      </c>
      <c r="B234" t="s">
        <v>188</v>
      </c>
      <c r="C234">
        <v>9680.399999999996</v>
      </c>
      <c r="D234">
        <v>178</v>
      </c>
      <c r="G234" t="str">
        <f t="shared" si="1"/>
        <v>California</v>
      </c>
      <c r="H234" t="str">
        <f t="shared" si="2"/>
        <v>Orange County</v>
      </c>
      <c r="I234">
        <f t="shared" si="3"/>
        <v>9680.399999999996</v>
      </c>
      <c r="M234" t="str">
        <f t="shared" si="4"/>
        <v>California</v>
      </c>
      <c r="N234" t="str">
        <f t="shared" si="5"/>
        <v>Orange County</v>
      </c>
      <c r="O234">
        <v>178</v>
      </c>
    </row>
    <row r="235" spans="1:15" x14ac:dyDescent="0.35">
      <c r="A235" t="s">
        <v>19</v>
      </c>
      <c r="B235" t="s">
        <v>52</v>
      </c>
      <c r="C235">
        <v>9414.7999999999993</v>
      </c>
      <c r="D235">
        <v>141</v>
      </c>
      <c r="G235" t="str">
        <f t="shared" si="1"/>
        <v>California</v>
      </c>
      <c r="H235" t="str">
        <f t="shared" si="2"/>
        <v>Placer County</v>
      </c>
      <c r="I235">
        <f t="shared" si="3"/>
        <v>9414.7999999999993</v>
      </c>
      <c r="M235" t="str">
        <f t="shared" si="4"/>
        <v>California</v>
      </c>
      <c r="N235" t="str">
        <f t="shared" si="5"/>
        <v>Placer County</v>
      </c>
      <c r="O235">
        <v>141</v>
      </c>
    </row>
    <row r="236" spans="1:15" x14ac:dyDescent="0.35">
      <c r="A236" t="s">
        <v>19</v>
      </c>
      <c r="B236" t="s">
        <v>338</v>
      </c>
      <c r="C236">
        <v>206.1</v>
      </c>
      <c r="D236">
        <v>6</v>
      </c>
      <c r="G236" t="str">
        <f t="shared" si="1"/>
        <v>California</v>
      </c>
      <c r="H236" t="str">
        <f t="shared" si="2"/>
        <v>Plumas County</v>
      </c>
      <c r="I236">
        <f t="shared" si="3"/>
        <v>206.1</v>
      </c>
      <c r="M236" t="str">
        <f t="shared" si="4"/>
        <v>California</v>
      </c>
      <c r="N236" t="str">
        <f t="shared" si="5"/>
        <v>Plumas County</v>
      </c>
      <c r="O236">
        <v>6</v>
      </c>
    </row>
    <row r="237" spans="1:15" x14ac:dyDescent="0.35">
      <c r="A237" t="s">
        <v>19</v>
      </c>
      <c r="B237" t="s">
        <v>158</v>
      </c>
      <c r="C237">
        <v>7691.3</v>
      </c>
      <c r="D237">
        <v>178</v>
      </c>
      <c r="G237" t="str">
        <f t="shared" si="1"/>
        <v>California</v>
      </c>
      <c r="H237" t="str">
        <f t="shared" si="2"/>
        <v>Riverside County</v>
      </c>
      <c r="I237">
        <f t="shared" si="3"/>
        <v>7691.3</v>
      </c>
      <c r="M237" t="str">
        <f t="shared" si="4"/>
        <v>California</v>
      </c>
      <c r="N237" t="str">
        <f t="shared" si="5"/>
        <v>Riverside County</v>
      </c>
      <c r="O237">
        <v>178</v>
      </c>
    </row>
    <row r="238" spans="1:15" x14ac:dyDescent="0.35">
      <c r="A238" t="s">
        <v>19</v>
      </c>
      <c r="B238" t="s">
        <v>55</v>
      </c>
      <c r="C238">
        <v>37784.900000000016</v>
      </c>
      <c r="D238">
        <v>699</v>
      </c>
      <c r="G238" t="str">
        <f t="shared" si="1"/>
        <v>California</v>
      </c>
      <c r="H238" t="str">
        <f t="shared" si="2"/>
        <v>Sacramento County</v>
      </c>
      <c r="I238">
        <f t="shared" si="3"/>
        <v>37784.900000000016</v>
      </c>
      <c r="M238" t="str">
        <f t="shared" si="4"/>
        <v>California</v>
      </c>
      <c r="N238" t="str">
        <f t="shared" si="5"/>
        <v>Sacramento County</v>
      </c>
      <c r="O238">
        <v>699</v>
      </c>
    </row>
    <row r="239" spans="1:15" x14ac:dyDescent="0.35">
      <c r="A239" t="s">
        <v>19</v>
      </c>
      <c r="B239" t="s">
        <v>342</v>
      </c>
      <c r="C239">
        <v>1129.7</v>
      </c>
      <c r="D239">
        <v>23</v>
      </c>
      <c r="G239" t="str">
        <f t="shared" si="1"/>
        <v>California</v>
      </c>
      <c r="H239" t="str">
        <f t="shared" si="2"/>
        <v>San Benito County</v>
      </c>
      <c r="I239">
        <f t="shared" si="3"/>
        <v>1129.7</v>
      </c>
      <c r="M239" t="str">
        <f t="shared" si="4"/>
        <v>California</v>
      </c>
      <c r="N239" t="str">
        <f t="shared" si="5"/>
        <v>San Benito County</v>
      </c>
      <c r="O239">
        <v>23</v>
      </c>
    </row>
    <row r="240" spans="1:15" x14ac:dyDescent="0.35">
      <c r="A240" t="s">
        <v>19</v>
      </c>
      <c r="B240" t="s">
        <v>59</v>
      </c>
      <c r="C240">
        <v>20988.9</v>
      </c>
      <c r="D240">
        <v>356</v>
      </c>
      <c r="G240" t="str">
        <f t="shared" si="1"/>
        <v>California</v>
      </c>
      <c r="H240" t="str">
        <f t="shared" si="2"/>
        <v>San Bernardino County</v>
      </c>
      <c r="I240">
        <f t="shared" si="3"/>
        <v>20988.9</v>
      </c>
      <c r="M240" t="str">
        <f t="shared" si="4"/>
        <v>California</v>
      </c>
      <c r="N240" t="str">
        <f t="shared" si="5"/>
        <v>San Bernardino County</v>
      </c>
      <c r="O240">
        <v>356</v>
      </c>
    </row>
    <row r="241" spans="1:15" x14ac:dyDescent="0.35">
      <c r="A241" t="s">
        <v>19</v>
      </c>
      <c r="B241" t="s">
        <v>62</v>
      </c>
      <c r="C241">
        <v>98367.099999999977</v>
      </c>
      <c r="D241">
        <v>1768</v>
      </c>
      <c r="G241" t="str">
        <f t="shared" si="1"/>
        <v>California</v>
      </c>
      <c r="H241" t="str">
        <f t="shared" si="2"/>
        <v>San Diego County</v>
      </c>
      <c r="I241">
        <f t="shared" si="3"/>
        <v>98367.099999999977</v>
      </c>
      <c r="M241" t="str">
        <f t="shared" si="4"/>
        <v>California</v>
      </c>
      <c r="N241" t="str">
        <f t="shared" si="5"/>
        <v>San Diego County</v>
      </c>
      <c r="O241">
        <v>1768</v>
      </c>
    </row>
    <row r="242" spans="1:15" x14ac:dyDescent="0.35">
      <c r="A242" t="s">
        <v>19</v>
      </c>
      <c r="B242" t="s">
        <v>103</v>
      </c>
      <c r="C242">
        <v>21911.9</v>
      </c>
      <c r="D242">
        <v>307</v>
      </c>
      <c r="G242" t="str">
        <f t="shared" si="1"/>
        <v>California</v>
      </c>
      <c r="H242" t="str">
        <f t="shared" si="2"/>
        <v>San Francisco</v>
      </c>
      <c r="I242">
        <f t="shared" si="3"/>
        <v>21911.9</v>
      </c>
      <c r="M242" t="str">
        <f t="shared" si="4"/>
        <v>California</v>
      </c>
      <c r="N242" t="str">
        <f t="shared" si="5"/>
        <v>San Francisco</v>
      </c>
      <c r="O242">
        <v>307</v>
      </c>
    </row>
    <row r="243" spans="1:15" x14ac:dyDescent="0.35">
      <c r="A243" t="s">
        <v>19</v>
      </c>
      <c r="B243" t="s">
        <v>201</v>
      </c>
      <c r="C243">
        <v>5441.2</v>
      </c>
      <c r="D243">
        <v>117</v>
      </c>
      <c r="G243" t="str">
        <f t="shared" si="1"/>
        <v>California</v>
      </c>
      <c r="H243" t="str">
        <f t="shared" si="2"/>
        <v>San Joaquin County</v>
      </c>
      <c r="I243">
        <f t="shared" si="3"/>
        <v>5441.2</v>
      </c>
      <c r="M243" t="str">
        <f t="shared" si="4"/>
        <v>California</v>
      </c>
      <c r="N243" t="str">
        <f t="shared" si="5"/>
        <v>San Joaquin County</v>
      </c>
      <c r="O243">
        <v>117</v>
      </c>
    </row>
    <row r="244" spans="1:15" x14ac:dyDescent="0.35">
      <c r="A244" t="s">
        <v>19</v>
      </c>
      <c r="B244" t="s">
        <v>429</v>
      </c>
      <c r="C244">
        <v>392.8</v>
      </c>
      <c r="D244">
        <v>13</v>
      </c>
      <c r="G244" t="str">
        <f t="shared" si="1"/>
        <v>California</v>
      </c>
      <c r="H244" t="str">
        <f t="shared" si="2"/>
        <v>San Luis Obispo County</v>
      </c>
      <c r="I244">
        <f t="shared" si="3"/>
        <v>392.8</v>
      </c>
      <c r="M244" t="str">
        <f t="shared" si="4"/>
        <v>California</v>
      </c>
      <c r="N244" t="str">
        <f t="shared" si="5"/>
        <v>San Luis Obispo County</v>
      </c>
      <c r="O244">
        <v>13</v>
      </c>
    </row>
    <row r="245" spans="1:15" x14ac:dyDescent="0.35">
      <c r="A245" t="s">
        <v>19</v>
      </c>
      <c r="B245" t="s">
        <v>72</v>
      </c>
      <c r="C245">
        <v>16172.000000000005</v>
      </c>
      <c r="D245">
        <v>364</v>
      </c>
      <c r="G245" t="str">
        <f t="shared" si="1"/>
        <v>California</v>
      </c>
      <c r="H245" t="str">
        <f t="shared" si="2"/>
        <v>San Mateo County</v>
      </c>
      <c r="I245">
        <f t="shared" si="3"/>
        <v>16172.000000000005</v>
      </c>
      <c r="M245" t="str">
        <f t="shared" si="4"/>
        <v>California</v>
      </c>
      <c r="N245" t="str">
        <f t="shared" si="5"/>
        <v>San Mateo County</v>
      </c>
      <c r="O245">
        <v>364</v>
      </c>
    </row>
    <row r="246" spans="1:15" x14ac:dyDescent="0.35">
      <c r="A246" t="s">
        <v>19</v>
      </c>
      <c r="B246" t="s">
        <v>74</v>
      </c>
      <c r="C246">
        <v>4334.9999999999991</v>
      </c>
      <c r="D246">
        <v>95</v>
      </c>
      <c r="G246" t="str">
        <f t="shared" si="1"/>
        <v>California</v>
      </c>
      <c r="H246" t="str">
        <f t="shared" si="2"/>
        <v>Santa Barbara County</v>
      </c>
      <c r="I246">
        <f t="shared" si="3"/>
        <v>4334.9999999999991</v>
      </c>
      <c r="M246" t="str">
        <f t="shared" si="4"/>
        <v>California</v>
      </c>
      <c r="N246" t="str">
        <f t="shared" si="5"/>
        <v>Santa Barbara County</v>
      </c>
      <c r="O246">
        <v>95</v>
      </c>
    </row>
    <row r="247" spans="1:15" x14ac:dyDescent="0.35">
      <c r="A247" t="s">
        <v>19</v>
      </c>
      <c r="B247" t="s">
        <v>77</v>
      </c>
      <c r="C247">
        <v>37449.000000000007</v>
      </c>
      <c r="D247">
        <v>737</v>
      </c>
      <c r="G247" t="str">
        <f t="shared" si="1"/>
        <v>California</v>
      </c>
      <c r="H247" t="str">
        <f t="shared" si="2"/>
        <v>Santa Clara County</v>
      </c>
      <c r="I247">
        <f t="shared" si="3"/>
        <v>37449.000000000007</v>
      </c>
      <c r="M247" t="str">
        <f t="shared" si="4"/>
        <v>California</v>
      </c>
      <c r="N247" t="str">
        <f t="shared" si="5"/>
        <v>Santa Clara County</v>
      </c>
      <c r="O247">
        <v>737</v>
      </c>
    </row>
    <row r="248" spans="1:15" x14ac:dyDescent="0.35">
      <c r="A248" t="s">
        <v>19</v>
      </c>
      <c r="B248" t="s">
        <v>309</v>
      </c>
      <c r="C248">
        <v>2447.5</v>
      </c>
      <c r="D248">
        <v>39</v>
      </c>
      <c r="G248" t="str">
        <f t="shared" si="1"/>
        <v>California</v>
      </c>
      <c r="H248" t="str">
        <f t="shared" si="2"/>
        <v>Santa Cruz County</v>
      </c>
      <c r="I248">
        <f t="shared" si="3"/>
        <v>2447.5</v>
      </c>
      <c r="M248" t="str">
        <f t="shared" si="4"/>
        <v>California</v>
      </c>
      <c r="N248" t="str">
        <f t="shared" si="5"/>
        <v>Santa Cruz County</v>
      </c>
      <c r="O248">
        <v>39</v>
      </c>
    </row>
    <row r="249" spans="1:15" x14ac:dyDescent="0.35">
      <c r="A249" t="s">
        <v>19</v>
      </c>
      <c r="B249" t="s">
        <v>1116</v>
      </c>
      <c r="C249">
        <v>3391.1</v>
      </c>
      <c r="D249">
        <v>56</v>
      </c>
      <c r="G249" t="str">
        <f t="shared" si="1"/>
        <v>California</v>
      </c>
      <c r="H249" t="str">
        <f t="shared" si="2"/>
        <v>Shasta County</v>
      </c>
      <c r="I249">
        <f t="shared" si="3"/>
        <v>3391.1</v>
      </c>
      <c r="M249" t="str">
        <f t="shared" si="4"/>
        <v>California</v>
      </c>
      <c r="N249" t="str">
        <f t="shared" si="5"/>
        <v>Shasta County</v>
      </c>
      <c r="O249">
        <v>56</v>
      </c>
    </row>
    <row r="250" spans="1:15" x14ac:dyDescent="0.35">
      <c r="A250" t="s">
        <v>19</v>
      </c>
      <c r="B250" t="s">
        <v>700</v>
      </c>
      <c r="C250">
        <v>30.8</v>
      </c>
      <c r="D250">
        <v>2</v>
      </c>
      <c r="G250" t="str">
        <f t="shared" si="1"/>
        <v>California</v>
      </c>
      <c r="H250" t="str">
        <f t="shared" si="2"/>
        <v>Sierra County</v>
      </c>
      <c r="I250">
        <f t="shared" si="3"/>
        <v>30.8</v>
      </c>
      <c r="M250" t="str">
        <f t="shared" si="4"/>
        <v>California</v>
      </c>
      <c r="N250" t="str">
        <f t="shared" si="5"/>
        <v>Sierra County</v>
      </c>
      <c r="O250">
        <v>2</v>
      </c>
    </row>
    <row r="251" spans="1:15" x14ac:dyDescent="0.35">
      <c r="A251" t="s">
        <v>19</v>
      </c>
      <c r="B251" t="s">
        <v>268</v>
      </c>
      <c r="C251">
        <v>332.3</v>
      </c>
      <c r="D251">
        <v>8</v>
      </c>
      <c r="G251" t="str">
        <f t="shared" si="1"/>
        <v>California</v>
      </c>
      <c r="H251" t="str">
        <f t="shared" si="2"/>
        <v>Siskiyou County</v>
      </c>
      <c r="I251">
        <f t="shared" si="3"/>
        <v>332.3</v>
      </c>
      <c r="M251" t="str">
        <f t="shared" si="4"/>
        <v>California</v>
      </c>
      <c r="N251" t="str">
        <f t="shared" si="5"/>
        <v>Siskiyou County</v>
      </c>
      <c r="O251">
        <v>8</v>
      </c>
    </row>
    <row r="252" spans="1:15" x14ac:dyDescent="0.35">
      <c r="A252" t="s">
        <v>19</v>
      </c>
      <c r="B252" t="s">
        <v>377</v>
      </c>
      <c r="C252">
        <v>3175.9999999999995</v>
      </c>
      <c r="D252">
        <v>52</v>
      </c>
      <c r="G252" t="str">
        <f t="shared" si="1"/>
        <v>California</v>
      </c>
      <c r="H252" t="str">
        <f t="shared" si="2"/>
        <v>Solano County</v>
      </c>
      <c r="I252">
        <f t="shared" si="3"/>
        <v>3175.9999999999995</v>
      </c>
      <c r="M252" t="str">
        <f t="shared" si="4"/>
        <v>California</v>
      </c>
      <c r="N252" t="str">
        <f t="shared" si="5"/>
        <v>Solano County</v>
      </c>
      <c r="O252">
        <v>52</v>
      </c>
    </row>
    <row r="253" spans="1:15" x14ac:dyDescent="0.35">
      <c r="A253" t="s">
        <v>19</v>
      </c>
      <c r="B253" t="s">
        <v>108</v>
      </c>
      <c r="C253">
        <v>20939.600000000002</v>
      </c>
      <c r="D253">
        <v>295</v>
      </c>
      <c r="G253" t="str">
        <f t="shared" si="1"/>
        <v>California</v>
      </c>
      <c r="H253" t="str">
        <f t="shared" si="2"/>
        <v>Sonoma County</v>
      </c>
      <c r="I253">
        <f t="shared" si="3"/>
        <v>20939.600000000002</v>
      </c>
      <c r="M253" t="str">
        <f t="shared" si="4"/>
        <v>California</v>
      </c>
      <c r="N253" t="str">
        <f t="shared" si="5"/>
        <v>Sonoma County</v>
      </c>
      <c r="O253">
        <v>295</v>
      </c>
    </row>
    <row r="254" spans="1:15" x14ac:dyDescent="0.35">
      <c r="A254" t="s">
        <v>19</v>
      </c>
      <c r="B254" t="s">
        <v>110</v>
      </c>
      <c r="C254">
        <v>10185.899999999996</v>
      </c>
      <c r="D254">
        <v>195</v>
      </c>
      <c r="G254" t="str">
        <f t="shared" si="1"/>
        <v>California</v>
      </c>
      <c r="H254" t="str">
        <f t="shared" si="2"/>
        <v>Stanislaus County</v>
      </c>
      <c r="I254">
        <f t="shared" si="3"/>
        <v>10185.899999999996</v>
      </c>
      <c r="M254" t="str">
        <f t="shared" si="4"/>
        <v>California</v>
      </c>
      <c r="N254" t="str">
        <f t="shared" si="5"/>
        <v>Stanislaus County</v>
      </c>
      <c r="O254">
        <v>195</v>
      </c>
    </row>
    <row r="255" spans="1:15" x14ac:dyDescent="0.35">
      <c r="A255" t="s">
        <v>19</v>
      </c>
      <c r="B255" t="s">
        <v>292</v>
      </c>
      <c r="C255">
        <v>958.7</v>
      </c>
      <c r="D255">
        <v>20</v>
      </c>
      <c r="G255" t="str">
        <f t="shared" si="1"/>
        <v>California</v>
      </c>
      <c r="H255" t="str">
        <f t="shared" si="2"/>
        <v>Sutter County</v>
      </c>
      <c r="I255">
        <f t="shared" si="3"/>
        <v>958.7</v>
      </c>
      <c r="M255" t="str">
        <f t="shared" si="4"/>
        <v>California</v>
      </c>
      <c r="N255" t="str">
        <f t="shared" si="5"/>
        <v>Sutter County</v>
      </c>
      <c r="O255">
        <v>20</v>
      </c>
    </row>
    <row r="256" spans="1:15" x14ac:dyDescent="0.35">
      <c r="A256" t="s">
        <v>19</v>
      </c>
      <c r="B256" t="s">
        <v>79</v>
      </c>
      <c r="C256">
        <v>323</v>
      </c>
      <c r="D256">
        <v>6</v>
      </c>
      <c r="G256" t="str">
        <f t="shared" si="1"/>
        <v>California</v>
      </c>
      <c r="H256" t="str">
        <f t="shared" si="2"/>
        <v>Tehama County</v>
      </c>
      <c r="I256">
        <f t="shared" si="3"/>
        <v>323</v>
      </c>
      <c r="M256" t="str">
        <f t="shared" si="4"/>
        <v>California</v>
      </c>
      <c r="N256" t="str">
        <f t="shared" si="5"/>
        <v>Tehama County</v>
      </c>
      <c r="O256">
        <v>6</v>
      </c>
    </row>
    <row r="257" spans="1:15" x14ac:dyDescent="0.35">
      <c r="A257" t="s">
        <v>19</v>
      </c>
      <c r="B257" t="s">
        <v>608</v>
      </c>
      <c r="C257">
        <v>167.70000000000002</v>
      </c>
      <c r="D257">
        <v>5</v>
      </c>
      <c r="G257" t="str">
        <f t="shared" si="1"/>
        <v>California</v>
      </c>
      <c r="H257" t="str">
        <f t="shared" si="2"/>
        <v>Trinity County</v>
      </c>
      <c r="I257">
        <f t="shared" si="3"/>
        <v>167.70000000000002</v>
      </c>
      <c r="M257" t="str">
        <f t="shared" si="4"/>
        <v>California</v>
      </c>
      <c r="N257" t="str">
        <f t="shared" si="5"/>
        <v>Trinity County</v>
      </c>
      <c r="O257">
        <v>5</v>
      </c>
    </row>
    <row r="258" spans="1:15" x14ac:dyDescent="0.35">
      <c r="A258" t="s">
        <v>19</v>
      </c>
      <c r="B258" t="s">
        <v>113</v>
      </c>
      <c r="C258">
        <v>3978.5</v>
      </c>
      <c r="D258">
        <v>94</v>
      </c>
      <c r="G258" t="str">
        <f t="shared" si="1"/>
        <v>California</v>
      </c>
      <c r="H258" t="str">
        <f t="shared" si="2"/>
        <v>Tulare County</v>
      </c>
      <c r="I258">
        <f t="shared" si="3"/>
        <v>3978.5</v>
      </c>
      <c r="M258" t="str">
        <f t="shared" si="4"/>
        <v>California</v>
      </c>
      <c r="N258" t="str">
        <f t="shared" si="5"/>
        <v>Tulare County</v>
      </c>
      <c r="O258">
        <v>94</v>
      </c>
    </row>
    <row r="259" spans="1:15" x14ac:dyDescent="0.35">
      <c r="A259" t="s">
        <v>19</v>
      </c>
      <c r="B259" t="s">
        <v>997</v>
      </c>
      <c r="C259">
        <v>1405</v>
      </c>
      <c r="D259">
        <v>28</v>
      </c>
      <c r="G259" t="str">
        <f t="shared" si="1"/>
        <v>California</v>
      </c>
      <c r="H259" t="str">
        <f t="shared" si="2"/>
        <v>Tuolumne County</v>
      </c>
      <c r="I259">
        <f t="shared" si="3"/>
        <v>1405</v>
      </c>
      <c r="M259" t="str">
        <f t="shared" si="4"/>
        <v>California</v>
      </c>
      <c r="N259" t="str">
        <f t="shared" si="5"/>
        <v>Tuolumne County</v>
      </c>
      <c r="O259">
        <v>28</v>
      </c>
    </row>
    <row r="260" spans="1:15" x14ac:dyDescent="0.35">
      <c r="A260" t="s">
        <v>19</v>
      </c>
      <c r="B260" t="s">
        <v>82</v>
      </c>
      <c r="C260">
        <v>9869.0999999999985</v>
      </c>
      <c r="D260">
        <v>179</v>
      </c>
      <c r="G260" t="str">
        <f t="shared" si="1"/>
        <v>California</v>
      </c>
      <c r="H260" t="str">
        <f t="shared" si="2"/>
        <v>Ventura County</v>
      </c>
      <c r="I260">
        <f t="shared" si="3"/>
        <v>9869.0999999999985</v>
      </c>
      <c r="M260" t="str">
        <f t="shared" si="4"/>
        <v>California</v>
      </c>
      <c r="N260" t="str">
        <f t="shared" si="5"/>
        <v>Ventura County</v>
      </c>
      <c r="O260">
        <v>179</v>
      </c>
    </row>
    <row r="261" spans="1:15" x14ac:dyDescent="0.35">
      <c r="A261" t="s">
        <v>19</v>
      </c>
      <c r="B261" t="s">
        <v>243</v>
      </c>
      <c r="C261">
        <v>615.29999999999995</v>
      </c>
      <c r="D261">
        <v>15</v>
      </c>
      <c r="G261" t="str">
        <f t="shared" si="1"/>
        <v>California</v>
      </c>
      <c r="H261" t="str">
        <f t="shared" si="2"/>
        <v>Yolo County</v>
      </c>
      <c r="I261">
        <f t="shared" si="3"/>
        <v>615.29999999999995</v>
      </c>
      <c r="M261" t="str">
        <f t="shared" si="4"/>
        <v>California</v>
      </c>
      <c r="N261" t="str">
        <f t="shared" si="5"/>
        <v>Yolo County</v>
      </c>
      <c r="O261">
        <v>15</v>
      </c>
    </row>
    <row r="262" spans="1:15" x14ac:dyDescent="0.35">
      <c r="A262" t="s">
        <v>19</v>
      </c>
      <c r="B262" t="s">
        <v>1911</v>
      </c>
      <c r="C262">
        <v>285</v>
      </c>
      <c r="D262">
        <v>3</v>
      </c>
      <c r="G262" t="str">
        <f t="shared" si="1"/>
        <v>California</v>
      </c>
      <c r="H262" t="str">
        <f t="shared" si="2"/>
        <v>Yuba County</v>
      </c>
      <c r="I262">
        <f t="shared" si="3"/>
        <v>285</v>
      </c>
      <c r="M262" t="str">
        <f t="shared" si="4"/>
        <v>California</v>
      </c>
      <c r="N262" t="str">
        <f t="shared" si="5"/>
        <v>Yuba County</v>
      </c>
      <c r="O262">
        <v>3</v>
      </c>
    </row>
  </sheetData>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L12"/>
  <sheetViews>
    <sheetView showGridLines="0" workbookViewId="0">
      <selection activeCell="O10" sqref="O10"/>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5" max="5" width="8.7265625" bestFit="1" customWidth="1"/>
    <col min="6" max="6" width="10.36328125" bestFit="1" customWidth="1"/>
    <col min="8" max="8" width="10.453125" bestFit="1" customWidth="1"/>
    <col min="9" max="9" width="7" bestFit="1" customWidth="1"/>
    <col min="10" max="10" width="6" bestFit="1" customWidth="1"/>
    <col min="11" max="11" width="5.453125" bestFit="1" customWidth="1"/>
    <col min="12" max="12" width="8.36328125" bestFit="1" customWidth="1"/>
  </cols>
  <sheetData>
    <row r="4" spans="1:12" x14ac:dyDescent="0.35">
      <c r="H4" t="s">
        <v>2564</v>
      </c>
    </row>
    <row r="5" spans="1:12" x14ac:dyDescent="0.35">
      <c r="A5" s="19" t="s">
        <v>2550</v>
      </c>
      <c r="B5" s="19" t="s">
        <v>2559</v>
      </c>
    </row>
    <row r="6" spans="1:12" ht="15" thickBot="1" x14ac:dyDescent="0.4">
      <c r="A6" s="19" t="s">
        <v>2557</v>
      </c>
      <c r="B6" t="s">
        <v>2560</v>
      </c>
      <c r="C6" t="s">
        <v>2561</v>
      </c>
      <c r="D6" t="s">
        <v>2562</v>
      </c>
      <c r="E6" t="s">
        <v>2563</v>
      </c>
      <c r="F6" t="s">
        <v>2558</v>
      </c>
      <c r="H6" s="23"/>
      <c r="I6" s="24" t="str">
        <f>B6</f>
        <v>Female</v>
      </c>
      <c r="J6" s="24" t="str">
        <f t="shared" ref="J6:L6" si="0">C6</f>
        <v>Male</v>
      </c>
      <c r="K6" s="24" t="str">
        <f t="shared" si="0"/>
        <v>Other</v>
      </c>
      <c r="L6" s="25" t="str">
        <f t="shared" si="0"/>
        <v>Unknown</v>
      </c>
    </row>
    <row r="7" spans="1:12" ht="24.75" customHeight="1" thickTop="1" thickBot="1" x14ac:dyDescent="0.4">
      <c r="A7" s="20" t="s">
        <v>18</v>
      </c>
      <c r="B7" s="22">
        <v>0.18961825201634841</v>
      </c>
      <c r="C7" s="22">
        <v>0.12262322351336576</v>
      </c>
      <c r="D7" s="22">
        <v>1.060537752469185E-2</v>
      </c>
      <c r="E7" s="22">
        <v>3.0599220547662797E-2</v>
      </c>
      <c r="F7" s="22">
        <v>0.35344607360206881</v>
      </c>
      <c r="H7" s="26" t="str">
        <f>A7</f>
        <v>App</v>
      </c>
      <c r="I7" s="27">
        <f t="shared" ref="I7:L11" si="1">B7</f>
        <v>0.18961825201634841</v>
      </c>
      <c r="J7" s="27">
        <f t="shared" si="1"/>
        <v>0.12262322351336576</v>
      </c>
      <c r="K7" s="27">
        <f t="shared" si="1"/>
        <v>1.060537752469185E-2</v>
      </c>
      <c r="L7" s="28">
        <f t="shared" si="1"/>
        <v>3.0599220547662797E-2</v>
      </c>
    </row>
    <row r="8" spans="1:12" ht="24.75" customHeight="1" thickTop="1" thickBot="1" x14ac:dyDescent="0.4">
      <c r="A8" s="20" t="s">
        <v>51</v>
      </c>
      <c r="B8" s="22">
        <v>5.0283982091147303E-2</v>
      </c>
      <c r="C8" s="22">
        <v>4.3060781812819873E-2</v>
      </c>
      <c r="D8" s="22">
        <v>1.5320025675641944E-3</v>
      </c>
      <c r="E8" s="22">
        <v>1.7794988689097006E-2</v>
      </c>
      <c r="F8" s="22">
        <v>0.11267175516062837</v>
      </c>
      <c r="H8" s="26" t="str">
        <f t="shared" ref="H8:H11" si="2">A8</f>
        <v>Instagram</v>
      </c>
      <c r="I8" s="27">
        <f t="shared" si="1"/>
        <v>5.0283982091147303E-2</v>
      </c>
      <c r="J8" s="27">
        <f t="shared" si="1"/>
        <v>4.3060781812819873E-2</v>
      </c>
      <c r="K8" s="27">
        <f t="shared" si="1"/>
        <v>1.5320025675641944E-3</v>
      </c>
      <c r="L8" s="28">
        <f t="shared" si="1"/>
        <v>1.7794988689097006E-2</v>
      </c>
    </row>
    <row r="9" spans="1:12" ht="24.75" customHeight="1" thickTop="1" thickBot="1" x14ac:dyDescent="0.4">
      <c r="A9" s="20" t="s">
        <v>70</v>
      </c>
      <c r="B9" s="22">
        <v>6.3496059750411282E-2</v>
      </c>
      <c r="C9" s="22">
        <v>4.6071629863988765E-2</v>
      </c>
      <c r="D9" s="22">
        <v>2.306247051322625E-3</v>
      </c>
      <c r="E9" s="22">
        <v>3.8927934093844286E-3</v>
      </c>
      <c r="F9" s="22">
        <v>0.11576673007510711</v>
      </c>
      <c r="H9" s="26" t="str">
        <f t="shared" si="2"/>
        <v>Partner App</v>
      </c>
      <c r="I9" s="27">
        <f t="shared" si="1"/>
        <v>6.3496059750411282E-2</v>
      </c>
      <c r="J9" s="27">
        <f t="shared" si="1"/>
        <v>4.6071629863988765E-2</v>
      </c>
      <c r="K9" s="27">
        <f t="shared" si="1"/>
        <v>2.306247051322625E-3</v>
      </c>
      <c r="L9" s="28">
        <f t="shared" si="1"/>
        <v>3.8927934093844286E-3</v>
      </c>
    </row>
    <row r="10" spans="1:12" ht="24.75" customHeight="1" thickTop="1" thickBot="1" x14ac:dyDescent="0.4">
      <c r="A10" s="20" t="s">
        <v>40</v>
      </c>
      <c r="B10" s="22">
        <v>9.6337892927149532E-2</v>
      </c>
      <c r="C10" s="22">
        <v>6.7920115842382611E-2</v>
      </c>
      <c r="D10" s="22">
        <v>5.4979832664581261E-3</v>
      </c>
      <c r="E10" s="22">
        <v>1.2933041488102518E-2</v>
      </c>
      <c r="F10" s="22">
        <v>0.1826890335240928</v>
      </c>
      <c r="H10" s="26" t="str">
        <f t="shared" si="2"/>
        <v>Target.com</v>
      </c>
      <c r="I10" s="27">
        <f t="shared" si="1"/>
        <v>9.6337892927149532E-2</v>
      </c>
      <c r="J10" s="27">
        <f t="shared" si="1"/>
        <v>6.7920115842382611E-2</v>
      </c>
      <c r="K10" s="27">
        <f t="shared" si="1"/>
        <v>5.4979832664581261E-3</v>
      </c>
      <c r="L10" s="28">
        <f t="shared" si="1"/>
        <v>1.2933041488102518E-2</v>
      </c>
    </row>
    <row r="11" spans="1:12" ht="24.75" customHeight="1" thickTop="1" x14ac:dyDescent="0.35">
      <c r="A11" s="20" t="s">
        <v>35</v>
      </c>
      <c r="B11" s="22">
        <v>0.12522098709469262</v>
      </c>
      <c r="C11" s="22">
        <v>9.1492740283116228E-2</v>
      </c>
      <c r="D11" s="22">
        <v>6.3042760790965081E-3</v>
      </c>
      <c r="E11" s="22">
        <v>1.2408404181197551E-2</v>
      </c>
      <c r="F11" s="22">
        <v>0.23542640763810288</v>
      </c>
      <c r="H11" s="29" t="str">
        <f t="shared" si="2"/>
        <v>Website</v>
      </c>
      <c r="I11" s="30">
        <f t="shared" si="1"/>
        <v>0.12522098709469262</v>
      </c>
      <c r="J11" s="30">
        <f t="shared" si="1"/>
        <v>9.1492740283116228E-2</v>
      </c>
      <c r="K11" s="30">
        <f t="shared" si="1"/>
        <v>6.3042760790965081E-3</v>
      </c>
      <c r="L11" s="31">
        <f t="shared" si="1"/>
        <v>1.2408404181197551E-2</v>
      </c>
    </row>
    <row r="12" spans="1:12" x14ac:dyDescent="0.35">
      <c r="A12" s="20" t="s">
        <v>2558</v>
      </c>
      <c r="B12" s="22">
        <v>0.52495717387974916</v>
      </c>
      <c r="C12" s="22">
        <v>0.3711684913156732</v>
      </c>
      <c r="D12" s="22">
        <v>2.6245886489133303E-2</v>
      </c>
      <c r="E12" s="22">
        <v>7.7628448315444312E-2</v>
      </c>
      <c r="F12" s="22">
        <v>1</v>
      </c>
    </row>
  </sheetData>
  <conditionalFormatting sqref="I7:L11">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H24"/>
  <sheetViews>
    <sheetView zoomScaleNormal="100" workbookViewId="0">
      <selection activeCell="M25" sqref="M25"/>
    </sheetView>
  </sheetViews>
  <sheetFormatPr defaultRowHeight="14.5" x14ac:dyDescent="0.35"/>
  <cols>
    <col min="1" max="1" width="3.36328125" customWidth="1"/>
    <col min="2" max="2" width="12.6328125" bestFit="1" customWidth="1"/>
  </cols>
  <sheetData>
    <row r="3" spans="2:8" x14ac:dyDescent="0.35">
      <c r="B3" t="s">
        <v>2518</v>
      </c>
    </row>
    <row r="5" spans="2:8" x14ac:dyDescent="0.35">
      <c r="B5" t="s">
        <v>2519</v>
      </c>
    </row>
    <row r="6" spans="2:8" x14ac:dyDescent="0.35">
      <c r="B6" s="5"/>
      <c r="C6" t="s">
        <v>2520</v>
      </c>
      <c r="D6" t="s">
        <v>2526</v>
      </c>
    </row>
    <row r="7" spans="2:8" x14ac:dyDescent="0.35">
      <c r="B7" s="6"/>
      <c r="C7" t="s">
        <v>2521</v>
      </c>
      <c r="D7" t="s">
        <v>2527</v>
      </c>
    </row>
    <row r="8" spans="2:8" x14ac:dyDescent="0.35">
      <c r="B8" s="7"/>
      <c r="C8" t="s">
        <v>2522</v>
      </c>
      <c r="D8" t="s">
        <v>2528</v>
      </c>
    </row>
    <row r="9" spans="2:8" x14ac:dyDescent="0.35">
      <c r="B9" s="8"/>
      <c r="C9" t="s">
        <v>2523</v>
      </c>
      <c r="D9" t="s">
        <v>2529</v>
      </c>
    </row>
    <row r="10" spans="2:8" x14ac:dyDescent="0.35">
      <c r="B10" s="9"/>
      <c r="C10" t="s">
        <v>2524</v>
      </c>
      <c r="D10" t="s">
        <v>2530</v>
      </c>
    </row>
    <row r="11" spans="2:8" x14ac:dyDescent="0.35">
      <c r="B11" s="2"/>
      <c r="C11" t="s">
        <v>2525</v>
      </c>
      <c r="D11" t="s">
        <v>2531</v>
      </c>
    </row>
    <row r="13" spans="2:8" x14ac:dyDescent="0.35">
      <c r="B13" t="s">
        <v>2532</v>
      </c>
    </row>
    <row r="14" spans="2:8" x14ac:dyDescent="0.35">
      <c r="B14" t="s">
        <v>2533</v>
      </c>
      <c r="C14" t="s">
        <v>2538</v>
      </c>
    </row>
    <row r="15" spans="2:8" x14ac:dyDescent="0.35">
      <c r="B15" t="s">
        <v>2534</v>
      </c>
      <c r="C15" t="s">
        <v>2</v>
      </c>
    </row>
    <row r="16" spans="2:8" x14ac:dyDescent="0.35">
      <c r="B16" t="s">
        <v>2535</v>
      </c>
      <c r="C16" t="s">
        <v>4</v>
      </c>
      <c r="H16" t="s">
        <v>2533</v>
      </c>
    </row>
    <row r="17" spans="2:3" x14ac:dyDescent="0.35">
      <c r="B17" t="s">
        <v>2536</v>
      </c>
      <c r="C17" t="s">
        <v>2539</v>
      </c>
    </row>
    <row r="18" spans="2:3" x14ac:dyDescent="0.35">
      <c r="B18" t="s">
        <v>2537</v>
      </c>
      <c r="C18" t="s">
        <v>2540</v>
      </c>
    </row>
    <row r="21" spans="2:3" x14ac:dyDescent="0.35">
      <c r="B21" t="s">
        <v>2541</v>
      </c>
    </row>
    <row r="22" spans="2:3" x14ac:dyDescent="0.35">
      <c r="B22" t="s">
        <v>2542</v>
      </c>
      <c r="C22" t="s">
        <v>2543</v>
      </c>
    </row>
    <row r="23" spans="2:3" x14ac:dyDescent="0.35">
      <c r="B23" t="s">
        <v>2544</v>
      </c>
      <c r="C23" t="s">
        <v>2545</v>
      </c>
    </row>
    <row r="24" spans="2:3" x14ac:dyDescent="0.35">
      <c r="B24" s="10" t="s">
        <v>2546</v>
      </c>
      <c r="C24" t="s">
        <v>2547</v>
      </c>
    </row>
  </sheetData>
  <phoneticPr fontId="2"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Questions &amp; KPIs</vt:lpstr>
      <vt:lpstr>Pivots</vt:lpstr>
      <vt:lpstr>Pivots_2</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Amin Shaikh</cp:lastModifiedBy>
  <cp:lastPrinted>2026-02-07T19:28:22Z</cp:lastPrinted>
  <dcterms:created xsi:type="dcterms:W3CDTF">2025-06-13T02:42:26Z</dcterms:created>
  <dcterms:modified xsi:type="dcterms:W3CDTF">2026-04-24T11:42:20Z</dcterms:modified>
</cp:coreProperties>
</file>